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externalReferences>
    <externalReference r:id="rId7"/>
  </externalReferences>
  <definedNames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11" i="11" l="1"/>
  <c r="H10" i="11"/>
  <c r="M9" i="11"/>
  <c r="H9" i="11"/>
  <c r="I9" i="11" s="1"/>
  <c r="G9" i="11"/>
  <c r="H8" i="11"/>
  <c r="H7" i="11"/>
  <c r="M6" i="11"/>
  <c r="N6" i="11" s="1"/>
  <c r="H6" i="11"/>
  <c r="G6" i="11"/>
  <c r="N9" i="11" l="1"/>
  <c r="I6" i="11"/>
  <c r="O9" i="11"/>
  <c r="J6" i="11"/>
  <c r="J9" i="11" s="1"/>
  <c r="Q6" i="1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<sst xmlns="http://schemas.openxmlformats.org/spreadsheetml/2006/main" count="884" uniqueCount="373">
  <si>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</si>
  <si>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</si>
  <si>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</si>
  <si>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</si>
  <si>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</si>
  <si>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</si>
  <si>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</si>
  <si>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</si>
  <si>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</si>
  <si>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</si>
  <si>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</si>
  <si>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</si>
  <si>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</si>
  <si>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</si>
  <si>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</si>
  <si>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</si>
  <si>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</si>
  <si>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</si>
  <si>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</si>
  <si>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</si>
  <si>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</si>
  <si>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</si>
  <si>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</si>
  <si>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</si>
  <si>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</si>
  <si>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</si>
  <si>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</si>
  <si>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</si>
  <si>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</si>
  <si>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</si>
  <si>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</si>
  <si>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</si>
  <si>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</si>
  <si>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</si>
  <si>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</si>
  <si>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</si>
  <si>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</si>
  <si>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</si>
  <si>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</si>
  <si>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</si>
  <si>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</si>
  <si>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</si>
  <si>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</si>
  <si>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</si>
  <si>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</si>
  <si>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</si>
  <si>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</si>
  <si>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</si>
  <si>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</si>
  <si>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</si>
  <si>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</si>
  <si>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</si>
  <si>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</si>
  <si>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</si>
  <si>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</si>
  <si>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</si>
  <si>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</si>
  <si>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</si>
  <si>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</si>
  <si>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</si>
  <si>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</si>
  <si>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</si>
  <si>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</si>
  <si>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</si>
  <si>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</si>
  <si>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</si>
  <si>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</si>
  <si>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</si>
  <si>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</si>
  <si>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</si>
  <si>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</si>
  <si>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</si>
  <si>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</si>
  <si>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</si>
  <si>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</si>
  <si>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</si>
  <si>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</si>
  <si>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</si>
  <si>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</si>
  <si>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</si>
  <si>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</si>
  <si>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</si>
  <si>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</si>
  <si>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</si>
  <si>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</si>
  <si>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</si>
  <si>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</si>
  <si>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</si>
  <si>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</si>
  <si>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</si>
  <si>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</si>
  <si>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</si>
  <si>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</si>
  <si>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</si>
  <si>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</si>
  <si>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</si>
  <si>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</si>
  <si>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</si>
  <si>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</si>
  <si>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</si>
  <si>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</si>
  <si>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</si>
  <si>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</si>
  <si>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</si>
  <si>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</si>
  <si>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</si>
  <si>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</si>
  <si>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</si>
  <si>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</si>
  <si>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</si>
  <si>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</si>
  <si>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</si>
  <si>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</si>
  <si>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</si>
  <si>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</si>
  <si>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</si>
  <si>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</si>
  <si>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</si>
  <si>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</si>
  <si>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</si>
  <si>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</si>
  <si>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</si>
  <si>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</si>
  <si>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</si>
  <si>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</si>
  <si>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</si>
  <si>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</si>
  <si>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</si>
  <si>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</si>
  <si>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</si>
  <si>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</si>
  <si>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</si>
  <si>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</si>
  <si>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</si>
  <si>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</si>
  <si>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</si>
  <si>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</si>
  <si>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</si>
  <si>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</si>
  <si>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</si>
  <si>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</si>
  <si>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</si>
  <si>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</si>
  <si>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</si>
  <si>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</si>
  <si>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</si>
  <si>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</si>
  <si>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</si>
  <si>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</si>
  <si>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</si>
  <si>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</si>
  <si>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</si>
  <si>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</si>
  <si>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</si>
  <si>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</si>
  <si>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</si>
  <si>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</si>
  <si>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</si>
  <si>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</si>
  <si>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</si>
  <si>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</si>
  <si>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</si>
  <si>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</si>
  <si>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</si>
  <si>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</si>
  <si>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</si>
  <si>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</si>
  <si>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</si>
  <si>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</si>
  <si>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</si>
  <si>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</si>
  <si>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</si>
  <si>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</si>
  <si>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</si>
  <si>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</si>
  <si>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</si>
  <si>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</si>
  <si>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</si>
  <si>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</si>
  <si>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</si>
  <si>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</si>
  <si>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</si>
  <si>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</si>
  <si>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</si>
  <si>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</si>
  <si>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</si>
  <si>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</si>
  <si>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</si>
  <si>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</si>
  <si>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</si>
  <si>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</si>
  <si>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</si>
  <si>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</si>
  <si>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</si>
  <si>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</si>
  <si>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</si>
  <si>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</si>
  <si>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</si>
  <si>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</si>
  <si>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</si>
  <si>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</si>
  <si>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</si>
  <si>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</si>
  <si>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</si>
  <si>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</si>
  <si>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</si>
  <si>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</si>
  <si>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</si>
  <si>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</si>
  <si>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</si>
  <si>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</si>
  <si>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</si>
  <si>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</si>
  <si>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</si>
  <si>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</si>
  <si>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</si>
  <si>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</si>
  <si>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</si>
  <si>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</si>
  <si>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</si>
  <si>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</si>
  <si>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</si>
  <si>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</si>
  <si>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</si>
  <si>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</si>
  <si>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</si>
  <si>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</si>
  <si>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</si>
  <si>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</si>
  <si>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</si>
  <si>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</si>
  <si>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</si>
  <si>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</si>
  <si>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</si>
  <si>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</si>
  <si>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</si>
  <si>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</si>
  <si>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</si>
  <si>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</si>
  <si>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</si>
  <si>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</si>
  <si>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</si>
  <si>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</si>
  <si>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</si>
  <si>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</si>
  <si>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</si>
  <si>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</si>
  <si>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</si>
  <si>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</si>
  <si>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</si>
  <si>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</si>
  <si>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</si>
  <si>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</si>
  <si>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</si>
  <si>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</si>
  <si>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</si>
  <si>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</si>
  <si>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</si>
  <si>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</si>
  <si>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</si>
  <si>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</si>
  <si>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</si>
  <si>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</si>
  <si>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</si>
  <si>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</si>
  <si>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</si>
  <si>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</si>
  <si>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</si>
  <si>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</si>
  <si>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</si>
  <si>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</si>
  <si>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</si>
  <si>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</si>
  <si>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</si>
  <si>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</si>
  <si>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</si>
  <si>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</si>
  <si>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</si>
  <si>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</si>
  <si>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</si>
  <si>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</si>
  <si>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</si>
  <si>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</si>
  <si>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</si>
  <si>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</si>
  <si>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</si>
  <si>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</si>
  <si>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</si>
  <si>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</si>
  <si>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</si>
  <si>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</si>
  <si>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</si>
  <si>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</si>
  <si>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</si>
  <si>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</si>
  <si>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</si>
  <si>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</si>
  <si>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</si>
  <si>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</si>
  <si>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</si>
  <si>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</si>
  <si>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</si>
  <si>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</si>
  <si>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</si>
  <si>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</si>
  <si>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</si>
  <si>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</si>
  <si>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</si>
  <si>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</si>
  <si>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</si>
  <si>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</si>
  <si>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</si>
  <si>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</si>
  <si>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</si>
  <si>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</si>
  <si>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</si>
  <si>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</si>
  <si>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</si>
  <si>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</si>
  <si>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</si>
  <si>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</si>
  <si>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</si>
  <si>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</si>
  <si>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</si>
  <si>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</si>
  <si>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</si>
  <si>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</si>
  <si>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</si>
  <si>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</si>
  <si>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</si>
  <si>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</si>
  <si>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</si>
  <si>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</si>
  <si>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</si>
  <si>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</si>
  <si>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</si>
  <si>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</si>
  <si>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</si>
  <si>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</si>
  <si>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</si>
  <si>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</si>
  <si>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</si>
  <si>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</si>
  <si>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</si>
  <si>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</si>
  <si>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</si>
  <si>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</si>
  <si>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</si>
  <si>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</si>
  <si>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</si>
  <si>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</si>
  <si>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</si>
  <si>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</si>
  <si>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</si>
  <si>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</si>
  <si>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</si>
  <si>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</si>
  <si>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</si>
  <si>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</si>
  <si>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</si>
  <si>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</si>
  <si>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</si>
  <si>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</si>
  <si>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</si>
  <si>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</si>
  <si>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</si>
  <si>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</si>
  <si>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星期一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</si>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</sst>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53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 wrapText="1"/>
    </xf>
    <xf numFmtId="176" fontId="18" fillId="0" borderId="51" xfId="0" applyNumberFormat="1" applyFont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 wrapText="1"/>
    </xf>
    <xf numFmtId="177" fontId="17" fillId="0" borderId="47" xfId="0" applyNumberFormat="1" applyFont="1" applyBorder="1" applyAlignment="1">
      <alignment horizontal="center" vertical="center" wrapText="1"/>
    </xf>
    <xf numFmtId="177" fontId="17" fillId="0" borderId="51" xfId="0" applyNumberFormat="1" applyFont="1" applyBorder="1" applyAlignment="1">
      <alignment horizontal="center" vertical="center" wrapText="1"/>
    </xf>
    <xf numFmtId="177" fontId="17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17" fillId="0" borderId="30" xfId="0" applyNumberFormat="1" applyFont="1" applyBorder="1" applyAlignment="1">
      <alignment horizontal="center" vertical="center" wrapText="1"/>
    </xf>
    <xf numFmtId="177" fontId="17" fillId="0" borderId="48" xfId="0" applyNumberFormat="1" applyFont="1" applyBorder="1" applyAlignment="1">
      <alignment horizontal="center" vertical="center" wrapText="1"/>
    </xf>
    <xf numFmtId="177" fontId="17" fillId="0" borderId="52" xfId="0" applyNumberFormat="1" applyFont="1" applyBorder="1" applyAlignment="1">
      <alignment horizontal="center" vertical="center" wrapText="1"/>
    </xf>
    <xf numFmtId="177" fontId="17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17" fillId="0" borderId="12" xfId="0" applyNumberFormat="1" applyFont="1" applyBorder="1" applyAlignment="1">
      <alignment horizontal="center" vertical="center" wrapText="1"/>
    </xf>
    <xf numFmtId="177" fontId="18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17" fillId="0" borderId="45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18" fillId="0" borderId="47" xfId="0" applyNumberFormat="1" applyFont="1" applyBorder="1" applyAlignment="1">
      <alignment horizontal="center" vertical="center" wrapText="1"/>
    </xf>
    <xf numFmtId="177" fontId="18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vertical="center"/>
    </xf>
    <xf numFmtId="0" fontId="20" fillId="3" borderId="62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left" vertical="center"/>
    </xf>
    <xf numFmtId="0" fontId="21" fillId="0" borderId="75" xfId="0" applyFont="1" applyBorder="1" applyAlignment="1">
      <alignment horizontal="center" vertical="center"/>
    </xf>
    <xf numFmtId="177" fontId="22" fillId="0" borderId="75" xfId="0" applyNumberFormat="1" applyFont="1" applyBorder="1" applyAlignment="1">
      <alignment horizontal="center" vertical="center"/>
    </xf>
    <xf numFmtId="177" fontId="16" fillId="0" borderId="75" xfId="0" applyNumberFormat="1" applyFont="1" applyBorder="1" applyAlignment="1">
      <alignment horizontal="center" vertical="center"/>
    </xf>
    <xf numFmtId="178" fontId="22" fillId="0" borderId="75" xfId="0" applyNumberFormat="1" applyFont="1" applyBorder="1" applyAlignment="1">
      <alignment horizontal="center" vertical="center"/>
    </xf>
    <xf numFmtId="178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1" fillId="0" borderId="75" xfId="0" quotePrefix="1" applyFont="1" applyBorder="1" applyAlignment="1">
      <alignment horizontal="center" vertical="center"/>
    </xf>
    <xf numFmtId="177" fontId="21" fillId="0" borderId="75" xfId="0" quotePrefix="1" applyNumberFormat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177" fontId="22" fillId="0" borderId="81" xfId="0" applyNumberFormat="1" applyFont="1" applyBorder="1" applyAlignment="1">
      <alignment horizontal="center" vertical="center"/>
    </xf>
    <xf numFmtId="177" fontId="16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7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179" fontId="21" fillId="5" borderId="75" xfId="0" applyNumberFormat="1" applyFont="1" applyFill="1" applyBorder="1" applyAlignment="1">
      <alignment vertical="center"/>
    </xf>
    <xf numFmtId="178" fontId="21" fillId="5" borderId="75" xfId="0" applyNumberFormat="1" applyFont="1" applyFill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19" fillId="3" borderId="71" xfId="0" applyFont="1" applyFill="1" applyBorder="1" applyAlignment="1">
      <alignment horizontal="center" vertical="center"/>
    </xf>
    <xf numFmtId="0" fontId="19" fillId="3" borderId="70" xfId="0" applyFont="1" applyFill="1" applyBorder="1" applyAlignment="1">
      <alignment horizontal="center" vertical="center"/>
    </xf>
    <xf numFmtId="0" fontId="19" fillId="3" borderId="69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5" borderId="75" xfId="0" applyFont="1" applyFill="1" applyBorder="1" applyAlignment="1">
      <alignment horizontal="center" vertical="center"/>
    </xf>
    <xf numFmtId="180" fontId="21" fillId="5" borderId="75" xfId="0" applyNumberFormat="1" applyFont="1" applyFill="1" applyBorder="1" applyAlignment="1">
      <alignment horizontal="center" vertical="center"/>
    </xf>
    <xf numFmtId="178" fontId="21" fillId="5" borderId="75" xfId="0" applyNumberFormat="1" applyFont="1" applyFill="1" applyBorder="1" applyAlignment="1">
      <alignment horizontal="center" vertical="center"/>
    </xf>
    <xf numFmtId="0" fontId="21" fillId="5" borderId="75" xfId="0" applyFont="1" applyFill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50" t="s">
        <v>227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</row>
    <row r="3" spans="2:47" ht="20.15" customHeight="1" x14ac:dyDescent="0.25">
      <c r="B3" s="152" t="s">
        <v>181</v>
      </c>
      <c r="C3" s="110" t="s">
        <v>163</v>
      </c>
      <c r="D3" s="160"/>
      <c r="E3" s="160"/>
      <c r="F3" s="160"/>
      <c r="G3" s="160"/>
      <c r="H3" s="161"/>
      <c r="I3" s="164" t="s">
        <v>8</v>
      </c>
      <c r="J3" s="160"/>
      <c r="K3" s="160"/>
      <c r="L3" s="160"/>
      <c r="M3" s="160"/>
      <c r="N3" s="160"/>
      <c r="O3" s="160"/>
      <c r="P3" s="165"/>
      <c r="Q3" s="110" t="s">
        <v>77</v>
      </c>
      <c r="R3" s="160"/>
      <c r="S3" s="165"/>
      <c r="T3" s="110" t="s">
        <v>10</v>
      </c>
      <c r="U3" s="160"/>
      <c r="V3" s="160"/>
      <c r="W3" s="165"/>
      <c r="X3" s="110" t="s">
        <v>80</v>
      </c>
      <c r="Y3" s="111"/>
      <c r="Z3" s="110" t="s">
        <v>11</v>
      </c>
      <c r="AA3" s="111"/>
      <c r="AB3" s="13" t="s">
        <v>13</v>
      </c>
      <c r="AC3" s="110" t="s">
        <v>14</v>
      </c>
      <c r="AD3" s="111"/>
      <c r="AE3" s="114" t="s">
        <v>88</v>
      </c>
      <c r="AF3" s="115"/>
      <c r="AG3" s="115"/>
      <c r="AH3" s="115"/>
      <c r="AI3" s="115"/>
      <c r="AJ3" s="115"/>
      <c r="AK3" s="116"/>
      <c r="AL3" s="110" t="s">
        <v>18</v>
      </c>
      <c r="AM3" s="156"/>
      <c r="AN3" s="157"/>
      <c r="AO3" s="156" t="s">
        <v>16</v>
      </c>
      <c r="AP3" s="156"/>
      <c r="AQ3" s="156"/>
      <c r="AR3" s="159"/>
    </row>
    <row r="4" spans="2:47" ht="30" customHeight="1" x14ac:dyDescent="0.25">
      <c r="B4" s="153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62" t="s">
        <v>62</v>
      </c>
      <c r="J4" s="163"/>
      <c r="K4" s="3" t="s">
        <v>6</v>
      </c>
      <c r="L4" s="3" t="s">
        <v>66</v>
      </c>
      <c r="M4" s="3" t="s">
        <v>164</v>
      </c>
      <c r="N4" s="3" t="s">
        <v>165</v>
      </c>
      <c r="O4" s="117" t="s">
        <v>7</v>
      </c>
      <c r="P4" s="118"/>
      <c r="Q4" s="155" t="s">
        <v>71</v>
      </c>
      <c r="R4" s="118"/>
      <c r="S4" s="3" t="s">
        <v>51</v>
      </c>
      <c r="T4" s="3" t="s">
        <v>75</v>
      </c>
      <c r="U4" s="155" t="s">
        <v>78</v>
      </c>
      <c r="V4" s="118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12" t="s">
        <v>89</v>
      </c>
      <c r="AF4" s="113"/>
      <c r="AG4" s="112" t="s">
        <v>92</v>
      </c>
      <c r="AH4" s="113"/>
      <c r="AI4" s="10" t="s">
        <v>166</v>
      </c>
      <c r="AJ4" s="10" t="s">
        <v>167</v>
      </c>
      <c r="AK4" s="11" t="s">
        <v>115</v>
      </c>
      <c r="AL4" s="155" t="s">
        <v>110</v>
      </c>
      <c r="AM4" s="118"/>
      <c r="AN4" s="29" t="s">
        <v>111</v>
      </c>
      <c r="AO4" s="26" t="s">
        <v>12</v>
      </c>
      <c r="AP4" s="3" t="s">
        <v>1</v>
      </c>
      <c r="AQ4" s="131" t="s">
        <v>161</v>
      </c>
      <c r="AR4" s="158"/>
      <c r="AU4" s="20"/>
    </row>
    <row r="5" spans="2:47" ht="20.15" customHeight="1" x14ac:dyDescent="0.25">
      <c r="B5" s="154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54">
        <v>6.846787929534912</v>
      </c>
      <c r="D6" s="54">
        <v>18.64691925048828</v>
      </c>
      <c r="E6" s="54">
        <v>415.8802185058594</v>
      </c>
      <c r="F6" s="54"/>
      <c r="G6" s="54"/>
      <c r="H6" s="55">
        <v>417.267333984375</v>
      </c>
      <c r="I6" s="56">
        <v>0</v>
      </c>
      <c r="J6" s="54"/>
      <c r="K6" s="54">
        <v>43.09895706176758</v>
      </c>
      <c r="L6" s="54">
        <v>1.356788992881775</v>
      </c>
      <c r="M6" s="54">
        <v>108.58833312988281</v>
      </c>
      <c r="N6" s="54">
        <v>112.05150604248047</v>
      </c>
      <c r="O6" s="54">
        <v>20.61465835571289</v>
      </c>
      <c r="P6" s="54"/>
      <c r="Q6" s="54"/>
      <c r="R6" s="54"/>
      <c r="S6" s="54">
        <v>139.17100524902344</v>
      </c>
      <c r="T6" s="54">
        <v>1.6100000143051147</v>
      </c>
      <c r="U6" s="54">
        <v>0.30354827642440796</v>
      </c>
      <c r="V6" s="54"/>
      <c r="W6" s="54">
        <v>90.6756362915039</v>
      </c>
      <c r="X6" s="54">
        <v>0.5276343822479248</v>
      </c>
      <c r="Y6" s="54"/>
      <c r="Z6" s="54">
        <v>0.7285879850387573</v>
      </c>
      <c r="AA6" s="54">
        <v>148.8932342529297</v>
      </c>
      <c r="AB6" s="54">
        <v>162.83998107910156</v>
      </c>
      <c r="AC6" s="54">
        <v>0.4549334645271301</v>
      </c>
      <c r="AD6" s="54">
        <v>154.33303833007812</v>
      </c>
      <c r="AE6" s="57">
        <v>34.40999984741211</v>
      </c>
      <c r="AF6" s="57"/>
      <c r="AG6" s="57"/>
      <c r="AH6" s="57">
        <v>8.6899995803833</v>
      </c>
      <c r="AI6" s="57">
        <v>16.56999969482422</v>
      </c>
      <c r="AJ6" s="57">
        <v>11.289999961853027</v>
      </c>
      <c r="AK6" s="57">
        <v>6.960000038146973</v>
      </c>
      <c r="AL6" s="54">
        <v>7.881220817565918</v>
      </c>
      <c r="AM6" s="58"/>
      <c r="AN6" s="59">
        <v>52.607784271240234</v>
      </c>
      <c r="AO6" s="60"/>
      <c r="AP6" s="61">
        <v>-79.36921691894531</v>
      </c>
      <c r="AQ6" s="61">
        <v>0.29181134700775146</v>
      </c>
      <c r="AR6" s="62"/>
    </row>
    <row r="7" spans="2:47" ht="13.5" customHeight="1" x14ac:dyDescent="0.25">
      <c r="B7" s="14">
        <v>0.375</v>
      </c>
      <c r="C7" s="54">
        <v>28.273292541503906</v>
      </c>
      <c r="D7" s="54">
        <v>18.26171875</v>
      </c>
      <c r="E7" s="54">
        <v>415.6472473144531</v>
      </c>
      <c r="F7" s="54">
        <v>1.1040312051773071</v>
      </c>
      <c r="G7" s="54">
        <v>0</v>
      </c>
      <c r="H7" s="55">
        <v>417.164306640625</v>
      </c>
      <c r="I7" s="56">
        <v>1.0886863470077515</v>
      </c>
      <c r="J7" s="54">
        <v>0.02016601525247097</v>
      </c>
      <c r="K7" s="54">
        <v>44.65422439575195</v>
      </c>
      <c r="L7" s="54">
        <v>1.4199942350387573</v>
      </c>
      <c r="M7" s="54">
        <v>110.29731750488281</v>
      </c>
      <c r="N7" s="54">
        <v>111.80555725097656</v>
      </c>
      <c r="O7" s="54">
        <v>20.1890811920166</v>
      </c>
      <c r="P7" s="54">
        <v>20.248046875</v>
      </c>
      <c r="Q7" s="54"/>
      <c r="R7" s="54">
        <v>2.595458984375</v>
      </c>
      <c r="S7" s="54">
        <v>139.30120849609375</v>
      </c>
      <c r="T7" s="54">
        <v>1.6100000143051147</v>
      </c>
      <c r="U7" s="54">
        <v>0.2984239459037781</v>
      </c>
      <c r="V7" s="54">
        <v>0.29967188835144043</v>
      </c>
      <c r="W7" s="54">
        <v>90.2850112915039</v>
      </c>
      <c r="X7" s="54">
        <v>0.5315886735916138</v>
      </c>
      <c r="Y7" s="54" t="s">
        <v>82</v>
      </c>
      <c r="Z7" s="54">
        <v>0.7410300970077515</v>
      </c>
      <c r="AA7" s="54">
        <v>149.3417205810547</v>
      </c>
      <c r="AB7" s="54">
        <v>162.4565887451172</v>
      </c>
      <c r="AC7" s="54">
        <v>0.7434172630310059</v>
      </c>
      <c r="AD7" s="54">
        <v>154.8538818359375</v>
      </c>
      <c r="AE7" s="57"/>
      <c r="AF7" s="57"/>
      <c r="AG7" s="57"/>
      <c r="AH7" s="57"/>
      <c r="AI7" s="57"/>
      <c r="AJ7" s="57"/>
      <c r="AK7" s="57"/>
      <c r="AL7" s="54">
        <v>29.17751693725586</v>
      </c>
      <c r="AM7" s="58">
        <v>0.009471680037677288</v>
      </c>
      <c r="AN7" s="59">
        <v>61.277488708496094</v>
      </c>
      <c r="AO7" s="60"/>
      <c r="AP7" s="61">
        <v>-81.60445404052734</v>
      </c>
      <c r="AQ7" s="61">
        <v>0.30714699625968933</v>
      </c>
      <c r="AR7" s="62">
        <v>0.00028833007672801614</v>
      </c>
    </row>
    <row r="8" spans="2:47" ht="13.5" customHeight="1" x14ac:dyDescent="0.25">
      <c r="B8" s="14">
        <v>0.41666666666666669</v>
      </c>
      <c r="C8" s="54">
        <v>53.3094596862793</v>
      </c>
      <c r="D8" s="54">
        <v>18.28342056274414</v>
      </c>
      <c r="E8" s="54">
        <v>415.2750549316406</v>
      </c>
      <c r="F8" s="54">
        <v>1.1457968950271606</v>
      </c>
      <c r="G8" s="54">
        <v>0</v>
      </c>
      <c r="H8" s="55">
        <v>416.75799560546875</v>
      </c>
      <c r="I8" s="56">
        <v>24.811922073364258</v>
      </c>
      <c r="J8" s="54">
        <v>0.020048828795552254</v>
      </c>
      <c r="K8" s="54">
        <v>43.80786895751953</v>
      </c>
      <c r="L8" s="54">
        <v>1.362485647201538</v>
      </c>
      <c r="M8" s="54">
        <v>108.27908325195312</v>
      </c>
      <c r="N8" s="54">
        <v>111.82725524902344</v>
      </c>
      <c r="O8" s="54">
        <v>20.266895294189453</v>
      </c>
      <c r="P8" s="54">
        <v>20.2666015625</v>
      </c>
      <c r="Q8" s="54"/>
      <c r="R8" s="54">
        <v>2.563232421875</v>
      </c>
      <c r="S8" s="54">
        <v>139.27951049804688</v>
      </c>
      <c r="T8" s="54">
        <v>1.6100000143051147</v>
      </c>
      <c r="U8" s="54">
        <v>0.3000694215297699</v>
      </c>
      <c r="V8" s="54">
        <v>0.30003124475479126</v>
      </c>
      <c r="W8" s="54">
        <v>90.44415283203125</v>
      </c>
      <c r="X8" s="54">
        <v>0.5277760028839111</v>
      </c>
      <c r="Y8" s="54" t="s">
        <v>82</v>
      </c>
      <c r="Z8" s="54">
        <v>0.738946795463562</v>
      </c>
      <c r="AA8" s="54">
        <v>149.2476806640625</v>
      </c>
      <c r="AB8" s="54">
        <v>162.49276733398438</v>
      </c>
      <c r="AC8" s="54">
        <v>0.4242621660232544</v>
      </c>
      <c r="AD8" s="54">
        <v>154.8466339111328</v>
      </c>
      <c r="AE8" s="57"/>
      <c r="AF8" s="57"/>
      <c r="AG8" s="57"/>
      <c r="AH8" s="57"/>
      <c r="AI8" s="57"/>
      <c r="AJ8" s="57"/>
      <c r="AK8" s="57"/>
      <c r="AL8" s="54">
        <v>0</v>
      </c>
      <c r="AM8" s="58">
        <v>0.008703124709427357</v>
      </c>
      <c r="AN8" s="59">
        <v>60.695167541503906</v>
      </c>
      <c r="AO8" s="60"/>
      <c r="AP8" s="61">
        <v>-81.12702941894531</v>
      </c>
      <c r="AQ8" s="61">
        <v>0.2845052182674408</v>
      </c>
      <c r="AR8" s="62">
        <v>0.00028894044226035476</v>
      </c>
    </row>
    <row r="9" spans="2:47" ht="13.5" customHeight="1" x14ac:dyDescent="0.25">
      <c r="B9" s="14">
        <v>0.45833333333333298</v>
      </c>
      <c r="C9" s="54">
        <v>54.89727783203125</v>
      </c>
      <c r="D9" s="54">
        <v>19.254558563232422</v>
      </c>
      <c r="E9" s="54">
        <v>413.5809020996094</v>
      </c>
      <c r="F9" s="54">
        <v>0.3513437509536743</v>
      </c>
      <c r="G9" s="54">
        <v>0</v>
      </c>
      <c r="H9" s="55">
        <v>416.33306884765625</v>
      </c>
      <c r="I9" s="56">
        <v>23.064960479736328</v>
      </c>
      <c r="J9" s="54">
        <v>0.019215820357203484</v>
      </c>
      <c r="K9" s="54">
        <v>42.8602409362793</v>
      </c>
      <c r="L9" s="54">
        <v>1.3726129531860352</v>
      </c>
      <c r="M9" s="54">
        <v>107.41102600097656</v>
      </c>
      <c r="N9" s="54">
        <v>109.6209487915039</v>
      </c>
      <c r="O9" s="54">
        <v>20.149106979370117</v>
      </c>
      <c r="P9" s="54">
        <v>20.259765625</v>
      </c>
      <c r="Q9" s="54"/>
      <c r="R9" s="54">
        <v>2.55322265625</v>
      </c>
      <c r="S9" s="54">
        <v>139.8075714111328</v>
      </c>
      <c r="T9" s="54">
        <v>1.6100000143051147</v>
      </c>
      <c r="U9" s="54">
        <v>0.2977364957332611</v>
      </c>
      <c r="V9" s="54">
        <v>0.29984375834465027</v>
      </c>
      <c r="W9" s="54">
        <v>90.10416412353516</v>
      </c>
      <c r="X9" s="54">
        <v>0.5294901132583618</v>
      </c>
      <c r="Y9" s="54" t="s">
        <v>82</v>
      </c>
      <c r="Z9" s="54">
        <v>0.7409144043922424</v>
      </c>
      <c r="AA9" s="54">
        <v>149.9710693359375</v>
      </c>
      <c r="AB9" s="54">
        <v>162.58680725097656</v>
      </c>
      <c r="AC9" s="54">
        <v>0.5077040195465088</v>
      </c>
      <c r="AD9" s="54">
        <v>155.38917541503906</v>
      </c>
      <c r="AE9" s="57"/>
      <c r="AF9" s="57"/>
      <c r="AG9" s="57"/>
      <c r="AH9" s="57"/>
      <c r="AI9" s="57"/>
      <c r="AJ9" s="57"/>
      <c r="AK9" s="57"/>
      <c r="AL9" s="54">
        <v>15.672019004821777</v>
      </c>
      <c r="AM9" s="58">
        <v>0.010207030922174454</v>
      </c>
      <c r="AN9" s="59">
        <v>61.48003387451172</v>
      </c>
      <c r="AO9" s="60"/>
      <c r="AP9" s="61">
        <v>-81.27169799804688</v>
      </c>
      <c r="AQ9" s="61">
        <v>0.29853877425193787</v>
      </c>
      <c r="AR9" s="62">
        <v>0.0002899475221056491</v>
      </c>
    </row>
    <row r="10" spans="2:47" ht="13.5" customHeight="1" x14ac:dyDescent="0.25">
      <c r="B10" s="14">
        <v>0.5</v>
      </c>
      <c r="C10" s="54">
        <v>54.93706512451172</v>
      </c>
      <c r="D10" s="54">
        <v>20.057510375976562</v>
      </c>
      <c r="E10" s="54">
        <v>414.2798767089844</v>
      </c>
      <c r="F10" s="54">
        <v>0.30204686522483826</v>
      </c>
      <c r="G10" s="54">
        <v>0</v>
      </c>
      <c r="H10" s="55">
        <v>416.0451965332031</v>
      </c>
      <c r="I10" s="56">
        <v>19.697628021240234</v>
      </c>
      <c r="J10" s="54">
        <v>0.01987011730670929</v>
      </c>
      <c r="K10" s="54">
        <v>45.26909637451172</v>
      </c>
      <c r="L10" s="54">
        <v>1.4312970638275146</v>
      </c>
      <c r="M10" s="54">
        <v>108.97352600097656</v>
      </c>
      <c r="N10" s="54">
        <v>109.88859558105469</v>
      </c>
      <c r="O10" s="54">
        <v>20.064754486083984</v>
      </c>
      <c r="P10" s="54">
        <v>20.287109375</v>
      </c>
      <c r="Q10" s="54"/>
      <c r="R10" s="54">
        <v>2.558837890625</v>
      </c>
      <c r="S10" s="54">
        <v>139.40248107910156</v>
      </c>
      <c r="T10" s="54">
        <v>1.6100000143051147</v>
      </c>
      <c r="U10" s="54">
        <v>0.2965049743652344</v>
      </c>
      <c r="V10" s="54">
        <v>0.30024999380111694</v>
      </c>
      <c r="W10" s="54">
        <v>90.33564758300781</v>
      </c>
      <c r="X10" s="54">
        <v>0.5328968167304993</v>
      </c>
      <c r="Y10" s="54" t="s">
        <v>82</v>
      </c>
      <c r="Z10" s="54">
        <v>0.7416666746139526</v>
      </c>
      <c r="AA10" s="54">
        <v>149.2838592529297</v>
      </c>
      <c r="AB10" s="54">
        <v>162.55062866210938</v>
      </c>
      <c r="AC10" s="54">
        <v>0.49938511848449707</v>
      </c>
      <c r="AD10" s="54">
        <v>155.28067016601562</v>
      </c>
      <c r="AE10" s="57"/>
      <c r="AF10" s="57"/>
      <c r="AG10" s="57"/>
      <c r="AH10" s="57"/>
      <c r="AI10" s="57"/>
      <c r="AJ10" s="57"/>
      <c r="AK10" s="57"/>
      <c r="AL10" s="54">
        <v>17.78428840637207</v>
      </c>
      <c r="AM10" s="58">
        <v>0.010381347499787807</v>
      </c>
      <c r="AN10" s="59">
        <v>60.868778228759766</v>
      </c>
      <c r="AO10" s="60"/>
      <c r="AP10" s="61">
        <v>-81.3946762084961</v>
      </c>
      <c r="AQ10" s="61">
        <v>0.2894965410232544</v>
      </c>
      <c r="AR10" s="62">
        <v>0.0002902221749536693</v>
      </c>
    </row>
    <row r="11" spans="2:47" ht="13.5" customHeight="1" x14ac:dyDescent="0.25">
      <c r="B11" s="14">
        <v>0.54166666666666696</v>
      </c>
      <c r="C11" s="54">
        <v>52.488426208496094</v>
      </c>
      <c r="D11" s="54">
        <v>20.44270896911621</v>
      </c>
      <c r="E11" s="54">
        <v>415.798583984375</v>
      </c>
      <c r="F11" s="54">
        <v>0.21134375035762787</v>
      </c>
      <c r="G11" s="54">
        <v>0</v>
      </c>
      <c r="H11" s="55">
        <v>415.8710021972656</v>
      </c>
      <c r="I11" s="56">
        <v>22.229455947875977</v>
      </c>
      <c r="J11" s="54">
        <v>0.01954980380833149</v>
      </c>
      <c r="K11" s="54">
        <v>46.260128021240234</v>
      </c>
      <c r="L11" s="54">
        <v>1.4734339714050293</v>
      </c>
      <c r="M11" s="54">
        <v>109.95008850097656</v>
      </c>
      <c r="N11" s="54">
        <v>113.59230041503906</v>
      </c>
      <c r="O11" s="54">
        <v>20.647918701171875</v>
      </c>
      <c r="P11" s="54">
        <v>20.2646484375</v>
      </c>
      <c r="Q11" s="54"/>
      <c r="R11" s="54">
        <v>2.480224609375</v>
      </c>
      <c r="S11" s="54">
        <v>139.29397583007812</v>
      </c>
      <c r="T11" s="54">
        <v>1.6100000143051147</v>
      </c>
      <c r="U11" s="54">
        <v>0.30175578594207764</v>
      </c>
      <c r="V11" s="54">
        <v>0.29996874928474426</v>
      </c>
      <c r="W11" s="54">
        <v>90.32118225097656</v>
      </c>
      <c r="X11" s="54">
        <v>0.52834552526474</v>
      </c>
      <c r="Y11" s="54" t="s">
        <v>82</v>
      </c>
      <c r="Z11" s="54">
        <v>0.7331597805023193</v>
      </c>
      <c r="AA11" s="54">
        <v>149.4864044189453</v>
      </c>
      <c r="AB11" s="54">
        <v>162.8616943359375</v>
      </c>
      <c r="AC11" s="54">
        <v>0.3426287770271301</v>
      </c>
      <c r="AD11" s="54">
        <v>155.30960083007812</v>
      </c>
      <c r="AE11" s="57"/>
      <c r="AF11" s="57"/>
      <c r="AG11" s="57"/>
      <c r="AH11" s="57"/>
      <c r="AI11" s="57"/>
      <c r="AJ11" s="57"/>
      <c r="AK11" s="57"/>
      <c r="AL11" s="54">
        <v>40.57074737548828</v>
      </c>
      <c r="AM11" s="58">
        <v>0.009542969055473804</v>
      </c>
      <c r="AN11" s="59">
        <v>59.60286331176758</v>
      </c>
      <c r="AO11" s="60"/>
      <c r="AP11" s="61">
        <v>-81.32234191894531</v>
      </c>
      <c r="AQ11" s="61">
        <v>0.27119502425193787</v>
      </c>
      <c r="AR11" s="62">
        <v>0.00028892516274936497</v>
      </c>
    </row>
    <row r="12" spans="2:47" ht="13.5" customHeight="1" x14ac:dyDescent="0.25">
      <c r="B12" s="14">
        <v>0.58333333333333304</v>
      </c>
      <c r="C12" s="54">
        <v>43.268951416015625</v>
      </c>
      <c r="D12" s="54">
        <v>20.41558265686035</v>
      </c>
      <c r="E12" s="54">
        <v>415.71221923828125</v>
      </c>
      <c r="F12" s="54">
        <v>0</v>
      </c>
      <c r="G12" s="54">
        <v>0</v>
      </c>
      <c r="H12" s="55">
        <v>415.76666259765625</v>
      </c>
      <c r="I12" s="56">
        <v>23.216869354248047</v>
      </c>
      <c r="J12" s="54">
        <v>0.019863281399011612</v>
      </c>
      <c r="K12" s="54">
        <v>45.493343353271484</v>
      </c>
      <c r="L12" s="54">
        <v>1.432472586631775</v>
      </c>
      <c r="M12" s="54">
        <v>109.89583587646484</v>
      </c>
      <c r="N12" s="54">
        <v>112.4493637084961</v>
      </c>
      <c r="O12" s="54">
        <v>20.61037826538086</v>
      </c>
      <c r="P12" s="54">
        <v>20.2822265625</v>
      </c>
      <c r="Q12" s="54"/>
      <c r="R12" s="54">
        <v>2.362548828125</v>
      </c>
      <c r="S12" s="54">
        <v>139.20716857910156</v>
      </c>
      <c r="T12" s="54">
        <v>1.6100000143051147</v>
      </c>
      <c r="U12" s="54">
        <v>0.30215737223625183</v>
      </c>
      <c r="V12" s="54">
        <v>0.3002343773841858</v>
      </c>
      <c r="W12" s="54">
        <v>90.53096008300781</v>
      </c>
      <c r="X12" s="54">
        <v>0.5274218320846558</v>
      </c>
      <c r="Y12" s="54" t="s">
        <v>82</v>
      </c>
      <c r="Z12" s="54">
        <v>0.7464120984077454</v>
      </c>
      <c r="AA12" s="54">
        <v>150.2242431640625</v>
      </c>
      <c r="AB12" s="54">
        <v>162.95571899414062</v>
      </c>
      <c r="AC12" s="54">
        <v>0.3446180522441864</v>
      </c>
      <c r="AD12" s="54">
        <v>155.53384399414062</v>
      </c>
      <c r="AE12" s="57">
        <v>35.04999923706055</v>
      </c>
      <c r="AF12" s="57"/>
      <c r="AG12" s="57"/>
      <c r="AH12" s="57">
        <v>8.229999542236328</v>
      </c>
      <c r="AI12" s="57">
        <v>16.790000915527344</v>
      </c>
      <c r="AJ12" s="57">
        <v>6.989999771118164</v>
      </c>
      <c r="AK12" s="57">
        <v>6.909999847412109</v>
      </c>
      <c r="AL12" s="54">
        <v>0</v>
      </c>
      <c r="AM12" s="58">
        <v>0.012561035342514515</v>
      </c>
      <c r="AN12" s="59">
        <v>60.95558166503906</v>
      </c>
      <c r="AO12" s="60"/>
      <c r="AP12" s="61">
        <v>-81.50318145751953</v>
      </c>
      <c r="AQ12" s="61">
        <v>0.29571759700775146</v>
      </c>
      <c r="AR12" s="62">
        <v>0.0002887725713662803</v>
      </c>
    </row>
    <row r="13" spans="2:47" ht="13.5" customHeight="1" x14ac:dyDescent="0.25">
      <c r="B13" s="14">
        <v>0.625</v>
      </c>
      <c r="C13" s="54">
        <v>34.37861633300781</v>
      </c>
      <c r="D13" s="54">
        <v>20.51323890686035</v>
      </c>
      <c r="E13" s="54">
        <v>415.1154479980469</v>
      </c>
      <c r="F13" s="54">
        <v>0</v>
      </c>
      <c r="G13" s="54">
        <v>0</v>
      </c>
      <c r="H13" s="55">
        <v>415.62451171875</v>
      </c>
      <c r="I13" s="56">
        <v>10.734953880310059</v>
      </c>
      <c r="J13" s="54">
        <v>0.020162109285593033</v>
      </c>
      <c r="K13" s="54">
        <v>45.471641540527344</v>
      </c>
      <c r="L13" s="54">
        <v>1.450376272201538</v>
      </c>
      <c r="M13" s="54">
        <v>110.06402587890625</v>
      </c>
      <c r="N13" s="54">
        <v>112.5506362915039</v>
      </c>
      <c r="O13" s="54">
        <v>20.00257110595703</v>
      </c>
      <c r="P13" s="54">
        <v>20.19140625</v>
      </c>
      <c r="Q13" s="54"/>
      <c r="R13" s="54">
        <v>2.527587890625</v>
      </c>
      <c r="S13" s="54">
        <v>139.11312866210938</v>
      </c>
      <c r="T13" s="54">
        <v>1.6100000143051147</v>
      </c>
      <c r="U13" s="54">
        <v>0.3029137849807739</v>
      </c>
      <c r="V13" s="54">
        <v>0.30000001192092896</v>
      </c>
      <c r="W13" s="54">
        <v>90.53096008300781</v>
      </c>
      <c r="X13" s="54">
        <v>0.528163492679596</v>
      </c>
      <c r="Y13" s="54" t="s">
        <v>82</v>
      </c>
      <c r="Z13" s="54">
        <v>0.7425347566604614</v>
      </c>
      <c r="AA13" s="54">
        <v>149.1464080810547</v>
      </c>
      <c r="AB13" s="54">
        <v>162.7965850830078</v>
      </c>
      <c r="AC13" s="54">
        <v>0.350151926279068</v>
      </c>
      <c r="AD13" s="54">
        <v>155.8304443359375</v>
      </c>
      <c r="AE13" s="57"/>
      <c r="AF13" s="57"/>
      <c r="AG13" s="57"/>
      <c r="AH13" s="57"/>
      <c r="AI13" s="57"/>
      <c r="AJ13" s="57"/>
      <c r="AK13" s="57"/>
      <c r="AL13" s="54">
        <v>48.60749435424805</v>
      </c>
      <c r="AM13" s="58">
        <v>0.011117675341665745</v>
      </c>
      <c r="AN13" s="59">
        <v>61.23046875</v>
      </c>
      <c r="AO13" s="60"/>
      <c r="AP13" s="61">
        <v>-81.62615966796875</v>
      </c>
      <c r="AQ13" s="61">
        <v>0.29296875</v>
      </c>
      <c r="AR13" s="62">
        <v>0.00028959655901417136</v>
      </c>
    </row>
    <row r="14" spans="2:47" ht="13.5" customHeight="1" x14ac:dyDescent="0.25">
      <c r="B14" s="14">
        <v>0.66666666666666696</v>
      </c>
      <c r="C14" s="54">
        <v>26.349102020263672</v>
      </c>
      <c r="D14" s="54">
        <v>20.56206703186035</v>
      </c>
      <c r="E14" s="54">
        <v>415.5458984375</v>
      </c>
      <c r="F14" s="54">
        <v>0</v>
      </c>
      <c r="G14" s="54">
        <v>0</v>
      </c>
      <c r="H14" s="55">
        <v>415.7027893066406</v>
      </c>
      <c r="I14" s="56">
        <v>0</v>
      </c>
      <c r="J14" s="54">
        <v>0.019887695088982582</v>
      </c>
      <c r="K14" s="54">
        <v>44.675926208496094</v>
      </c>
      <c r="L14" s="54">
        <v>1.396574854850769</v>
      </c>
      <c r="M14" s="54">
        <v>108.78907012939453</v>
      </c>
      <c r="N14" s="54">
        <v>111.25578308105469</v>
      </c>
      <c r="O14" s="54">
        <v>19.723159790039062</v>
      </c>
      <c r="P14" s="54">
        <v>19.689453125</v>
      </c>
      <c r="Q14" s="54"/>
      <c r="R14" s="54">
        <v>2.2862548828125</v>
      </c>
      <c r="S14" s="54">
        <v>139.2578125</v>
      </c>
      <c r="T14" s="54">
        <v>1.6100000143051147</v>
      </c>
      <c r="U14" s="54">
        <v>0.3003474473953247</v>
      </c>
      <c r="V14" s="54">
        <v>0.2998906373977661</v>
      </c>
      <c r="W14" s="54">
        <v>90.2850112915039</v>
      </c>
      <c r="X14" s="54">
        <v>0.527231752872467</v>
      </c>
      <c r="Y14" s="54" t="s">
        <v>82</v>
      </c>
      <c r="Z14" s="54">
        <v>0.7398148775100708</v>
      </c>
      <c r="AA14" s="54">
        <v>148.6979217529297</v>
      </c>
      <c r="AB14" s="54">
        <v>162.7676544189453</v>
      </c>
      <c r="AC14" s="54">
        <v>0.3375650942325592</v>
      </c>
      <c r="AD14" s="54">
        <v>155.72915649414062</v>
      </c>
      <c r="AE14" s="57"/>
      <c r="AF14" s="57"/>
      <c r="AG14" s="57"/>
      <c r="AH14" s="57"/>
      <c r="AI14" s="57"/>
      <c r="AJ14" s="57"/>
      <c r="AK14" s="57"/>
      <c r="AL14" s="54">
        <v>8.58289909362793</v>
      </c>
      <c r="AM14" s="58">
        <v>0.013184081763029099</v>
      </c>
      <c r="AN14" s="59">
        <v>59.38584899902344</v>
      </c>
      <c r="AO14" s="60"/>
      <c r="AP14" s="61">
        <v>-81.56105041503906</v>
      </c>
      <c r="AQ14" s="61">
        <v>0.25050637125968933</v>
      </c>
      <c r="AR14" s="62">
        <v>0.00028833007672801614</v>
      </c>
    </row>
    <row r="15" spans="2:47" ht="13.5" customHeight="1" x14ac:dyDescent="0.25">
      <c r="B15" s="14">
        <v>0.70833333333333304</v>
      </c>
      <c r="C15" s="54">
        <v>17.910879135131836</v>
      </c>
      <c r="D15" s="54">
        <v>20.448135375976562</v>
      </c>
      <c r="E15" s="54">
        <v>415.0286865234375</v>
      </c>
      <c r="F15" s="54">
        <v>0</v>
      </c>
      <c r="G15" s="54">
        <v>0</v>
      </c>
      <c r="H15" s="55">
        <v>415.6893615722656</v>
      </c>
      <c r="I15" s="56">
        <v>26.66015625</v>
      </c>
      <c r="J15" s="54">
        <v>0.019331054762005806</v>
      </c>
      <c r="K15" s="54">
        <v>43.619789123535156</v>
      </c>
      <c r="L15" s="54">
        <v>1.3639323711395264</v>
      </c>
      <c r="M15" s="54">
        <v>108.38758850097656</v>
      </c>
      <c r="N15" s="54">
        <v>109.70775604248047</v>
      </c>
      <c r="O15" s="54">
        <v>20.47537612915039</v>
      </c>
      <c r="P15" s="54">
        <v>19.8740234375</v>
      </c>
      <c r="Q15" s="54"/>
      <c r="R15" s="54">
        <v>2.3662109375</v>
      </c>
      <c r="S15" s="54">
        <v>139.67013549804688</v>
      </c>
      <c r="T15" s="54">
        <v>1.6100000143051147</v>
      </c>
      <c r="U15" s="54">
        <v>0.3021842837333679</v>
      </c>
      <c r="V15" s="54">
        <v>0.30034375190734863</v>
      </c>
      <c r="W15" s="54">
        <v>89.97395324707031</v>
      </c>
      <c r="X15" s="54">
        <v>0.5295230746269226</v>
      </c>
      <c r="Y15" s="54" t="s">
        <v>82</v>
      </c>
      <c r="Z15" s="54">
        <v>0.7300926446914673</v>
      </c>
      <c r="AA15" s="54">
        <v>148.7557830810547</v>
      </c>
      <c r="AB15" s="54">
        <v>162.4638214111328</v>
      </c>
      <c r="AC15" s="54">
        <v>0.32740160822868347</v>
      </c>
      <c r="AD15" s="54">
        <v>154.79600524902344</v>
      </c>
      <c r="AE15" s="57"/>
      <c r="AF15" s="57"/>
      <c r="AG15" s="57"/>
      <c r="AH15" s="57"/>
      <c r="AI15" s="57"/>
      <c r="AJ15" s="57"/>
      <c r="AK15" s="57"/>
      <c r="AL15" s="54">
        <v>9.291810989379883</v>
      </c>
      <c r="AM15" s="58">
        <v>0.009336425922811031</v>
      </c>
      <c r="AN15" s="59">
        <v>62.268516540527344</v>
      </c>
      <c r="AO15" s="60"/>
      <c r="AP15" s="61">
        <v>-81.74189758300781</v>
      </c>
      <c r="AQ15" s="61">
        <v>0.30584490299224854</v>
      </c>
      <c r="AR15" s="62">
        <v>0.0002892761258408427</v>
      </c>
    </row>
    <row r="16" spans="2:47" ht="13.5" customHeight="1" x14ac:dyDescent="0.25">
      <c r="B16" s="14">
        <v>0.75</v>
      </c>
      <c r="C16" s="54">
        <v>9.964553833007812</v>
      </c>
      <c r="D16" s="54">
        <v>20.377605438232422</v>
      </c>
      <c r="E16" s="54">
        <v>414.0927429199219</v>
      </c>
      <c r="F16" s="54">
        <v>0</v>
      </c>
      <c r="G16" s="54">
        <v>0</v>
      </c>
      <c r="H16" s="55">
        <v>415.62677001953125</v>
      </c>
      <c r="I16" s="56">
        <v>0</v>
      </c>
      <c r="J16" s="54">
        <v>0.019583985209465027</v>
      </c>
      <c r="K16" s="54">
        <v>42.84577560424805</v>
      </c>
      <c r="L16" s="54">
        <v>1.3389757871627808</v>
      </c>
      <c r="M16" s="54">
        <v>108.60460662841797</v>
      </c>
      <c r="N16" s="54">
        <v>111.40045928955078</v>
      </c>
      <c r="O16" s="54">
        <v>20.396757125854492</v>
      </c>
      <c r="P16" s="54">
        <v>20.2509765625</v>
      </c>
      <c r="Q16" s="54"/>
      <c r="R16" s="54">
        <v>2.5035400390625</v>
      </c>
      <c r="S16" s="54">
        <v>139.30120849609375</v>
      </c>
      <c r="T16" s="54">
        <v>1.6100000143051147</v>
      </c>
      <c r="U16" s="54">
        <v>0.30064770579338074</v>
      </c>
      <c r="V16" s="54">
        <v>0.29976561665534973</v>
      </c>
      <c r="W16" s="54">
        <v>90.38628387451172</v>
      </c>
      <c r="X16" s="54">
        <v>0.530501127243042</v>
      </c>
      <c r="Y16" s="54" t="s">
        <v>82</v>
      </c>
      <c r="Z16" s="54">
        <v>0.7364004850387573</v>
      </c>
      <c r="AA16" s="54">
        <v>149.11024475097656</v>
      </c>
      <c r="AB16" s="54">
        <v>162.6229705810547</v>
      </c>
      <c r="AC16" s="54">
        <v>0.33709490299224854</v>
      </c>
      <c r="AD16" s="54">
        <v>154.940673828125</v>
      </c>
      <c r="AE16" s="57"/>
      <c r="AF16" s="57"/>
      <c r="AG16" s="57"/>
      <c r="AH16" s="57"/>
      <c r="AI16" s="57"/>
      <c r="AJ16" s="57"/>
      <c r="AK16" s="57"/>
      <c r="AL16" s="54">
        <v>10.007957458496094</v>
      </c>
      <c r="AM16" s="58">
        <v>0.01006298791617155</v>
      </c>
      <c r="AN16" s="59">
        <v>60.532405853271484</v>
      </c>
      <c r="AO16" s="60"/>
      <c r="AP16" s="61">
        <v>-81.70572662353516</v>
      </c>
      <c r="AQ16" s="61">
        <v>0.28768807649612427</v>
      </c>
      <c r="AR16" s="62">
        <v>0.0002899169921875</v>
      </c>
    </row>
    <row r="17" spans="2:44" ht="13.5" customHeight="1" x14ac:dyDescent="0.25">
      <c r="B17" s="14">
        <v>0.79166666666666696</v>
      </c>
      <c r="C17" s="54">
        <v>4.890046119689941</v>
      </c>
      <c r="D17" s="54">
        <v>20.399307250976562</v>
      </c>
      <c r="E17" s="54">
        <v>417.21697998046875</v>
      </c>
      <c r="F17" s="54">
        <v>0.10234375298023224</v>
      </c>
      <c r="G17" s="54">
        <v>0</v>
      </c>
      <c r="H17" s="55">
        <v>415.7171936035156</v>
      </c>
      <c r="I17" s="56">
        <v>27.672887802124023</v>
      </c>
      <c r="J17" s="54">
        <v>0.01954980380833149</v>
      </c>
      <c r="K17" s="54">
        <v>42.88917922973633</v>
      </c>
      <c r="L17" s="54">
        <v>1.3281251192092896</v>
      </c>
      <c r="M17" s="54">
        <v>110.28103637695312</v>
      </c>
      <c r="N17" s="54">
        <v>110.6264419555664</v>
      </c>
      <c r="O17" s="54">
        <v>20.163820266723633</v>
      </c>
      <c r="P17" s="54">
        <v>20.2734375</v>
      </c>
      <c r="Q17" s="54"/>
      <c r="R17" s="54">
        <v>2.5731201171875</v>
      </c>
      <c r="S17" s="54">
        <v>139.84375</v>
      </c>
      <c r="T17" s="54">
        <v>1.6100000143051147</v>
      </c>
      <c r="U17" s="54">
        <v>0.30021682381629944</v>
      </c>
      <c r="V17" s="54">
        <v>0.30009374022483826</v>
      </c>
      <c r="W17" s="54">
        <v>91.25434112548828</v>
      </c>
      <c r="X17" s="54">
        <v>0.5290560126304626</v>
      </c>
      <c r="Y17" s="54" t="s">
        <v>82</v>
      </c>
      <c r="Z17" s="54">
        <v>0.7313657999038696</v>
      </c>
      <c r="AA17" s="54">
        <v>150.81741333007812</v>
      </c>
      <c r="AB17" s="54">
        <v>162.93402099609375</v>
      </c>
      <c r="AC17" s="54">
        <v>0.32917389273643494</v>
      </c>
      <c r="AD17" s="54">
        <v>155.0057830810547</v>
      </c>
      <c r="AE17" s="57"/>
      <c r="AF17" s="57"/>
      <c r="AG17" s="57"/>
      <c r="AH17" s="57"/>
      <c r="AI17" s="57"/>
      <c r="AJ17" s="57"/>
      <c r="AK17" s="57"/>
      <c r="AL17" s="54">
        <v>1.9061052799224854</v>
      </c>
      <c r="AM17" s="58">
        <v>0.007181640714406967</v>
      </c>
      <c r="AN17" s="59">
        <v>61.183448791503906</v>
      </c>
      <c r="AO17" s="60"/>
      <c r="AP17" s="61">
        <v>-81.5899887084961</v>
      </c>
      <c r="AQ17" s="61">
        <v>0.29296875</v>
      </c>
      <c r="AR17" s="62">
        <v>0.0002900543331634253</v>
      </c>
    </row>
    <row r="18" spans="2:44" ht="13.5" customHeight="1" x14ac:dyDescent="0.25">
      <c r="B18" s="42">
        <v>0.83333333333333404</v>
      </c>
      <c r="C18" s="63">
        <v>5.638744354248047</v>
      </c>
      <c r="D18" s="63">
        <v>19.84592056274414</v>
      </c>
      <c r="E18" s="63">
        <v>419.35992431640625</v>
      </c>
      <c r="F18" s="63">
        <v>0.3362968862056732</v>
      </c>
      <c r="G18" s="63">
        <v>0</v>
      </c>
      <c r="H18" s="64">
        <v>417.38800048828125</v>
      </c>
      <c r="I18" s="65">
        <v>25.191696166992188</v>
      </c>
      <c r="J18" s="63">
        <v>0.019716797396540642</v>
      </c>
      <c r="K18" s="63">
        <v>42.80960464477539</v>
      </c>
      <c r="L18" s="63">
        <v>1.3308377265930176</v>
      </c>
      <c r="M18" s="63">
        <v>109.01150512695312</v>
      </c>
      <c r="N18" s="63">
        <v>112.73871612548828</v>
      </c>
      <c r="O18" s="63">
        <v>20.18683624267578</v>
      </c>
      <c r="P18" s="63">
        <v>20.2783203125</v>
      </c>
      <c r="Q18" s="63"/>
      <c r="R18" s="63">
        <v>2.5322265625</v>
      </c>
      <c r="S18" s="63">
        <v>139.7786407470703</v>
      </c>
      <c r="T18" s="63">
        <v>1.6100000143051147</v>
      </c>
      <c r="U18" s="63">
        <v>0.29887494444847107</v>
      </c>
      <c r="V18" s="63">
        <v>0.3001406192779541</v>
      </c>
      <c r="W18" s="63">
        <v>90.69733428955078</v>
      </c>
      <c r="X18" s="63">
        <v>0.5310153365135193</v>
      </c>
      <c r="Y18" s="63">
        <v>0.5278326869010925</v>
      </c>
      <c r="Z18" s="63">
        <v>0.7370370626449585</v>
      </c>
      <c r="AA18" s="63">
        <v>150.82464599609375</v>
      </c>
      <c r="AB18" s="63">
        <v>163.02806091308594</v>
      </c>
      <c r="AC18" s="63">
        <v>0.33394819498062134</v>
      </c>
      <c r="AD18" s="63">
        <v>155.38917541503906</v>
      </c>
      <c r="AE18" s="66">
        <v>33.79999923706055</v>
      </c>
      <c r="AF18" s="66"/>
      <c r="AG18" s="66"/>
      <c r="AH18" s="66">
        <v>13.710000038146973</v>
      </c>
      <c r="AI18" s="66"/>
      <c r="AJ18" s="66"/>
      <c r="AK18" s="66">
        <v>6.800000190734863</v>
      </c>
      <c r="AL18" s="63">
        <v>0</v>
      </c>
      <c r="AM18" s="67">
        <v>0.008804687298834324</v>
      </c>
      <c r="AN18" s="68">
        <v>58.72757339477539</v>
      </c>
      <c r="AO18" s="60"/>
      <c r="AP18" s="61">
        <v>-81.48148345947266</v>
      </c>
      <c r="AQ18" s="61">
        <v>0.2868923544883728</v>
      </c>
      <c r="AR18" s="69">
        <v>0.0002894134377129376</v>
      </c>
    </row>
    <row r="19" spans="2:44" ht="18" customHeight="1" x14ac:dyDescent="0.25">
      <c r="B19" s="122" t="s">
        <v>181</v>
      </c>
      <c r="C19" s="36" t="s">
        <v>168</v>
      </c>
      <c r="D19" s="36" t="s">
        <v>171</v>
      </c>
      <c r="E19" s="137" t="s">
        <v>17</v>
      </c>
      <c r="F19" s="138"/>
      <c r="G19" s="139"/>
      <c r="H19" s="140" t="s">
        <v>108</v>
      </c>
      <c r="I19" s="138"/>
      <c r="J19" s="138"/>
      <c r="K19" s="138"/>
      <c r="L19" s="141"/>
      <c r="M19" s="142" t="s">
        <v>123</v>
      </c>
      <c r="N19" s="138"/>
      <c r="O19" s="138"/>
      <c r="P19" s="138"/>
      <c r="Q19" s="139"/>
      <c r="R19" s="140" t="s">
        <v>147</v>
      </c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9"/>
      <c r="AG19" s="143" t="s">
        <v>24</v>
      </c>
      <c r="AH19" s="139"/>
      <c r="AI19" s="119" t="s">
        <v>173</v>
      </c>
      <c r="AJ19" s="120"/>
      <c r="AK19" s="120"/>
      <c r="AL19" s="120"/>
      <c r="AM19" s="121"/>
      <c r="AN19" s="143" t="s">
        <v>47</v>
      </c>
      <c r="AO19" s="144"/>
      <c r="AP19" s="138" t="s">
        <v>180</v>
      </c>
      <c r="AQ19" s="145"/>
      <c r="AR19" s="146"/>
    </row>
    <row r="20" spans="2:44" ht="20.15" customHeight="1" x14ac:dyDescent="0.25">
      <c r="B20" s="123"/>
      <c r="C20" s="3" t="s">
        <v>169</v>
      </c>
      <c r="D20" s="3" t="s">
        <v>113</v>
      </c>
      <c r="E20" s="3" t="s">
        <v>15</v>
      </c>
      <c r="F20" s="117" t="s">
        <v>100</v>
      </c>
      <c r="G20" s="118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31" t="s">
        <v>148</v>
      </c>
      <c r="AE20" s="118"/>
      <c r="AF20" s="17" t="s">
        <v>151</v>
      </c>
      <c r="AG20" s="17" t="s">
        <v>153</v>
      </c>
      <c r="AH20" s="17" t="s">
        <v>155</v>
      </c>
      <c r="AI20" s="112" t="s">
        <v>89</v>
      </c>
      <c r="AJ20" s="113"/>
      <c r="AK20" s="112" t="s">
        <v>92</v>
      </c>
      <c r="AL20" s="113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2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54">
        <v>-79.36921691894531</v>
      </c>
      <c r="D22" s="54">
        <v>-79.11602783203125</v>
      </c>
      <c r="E22" s="54">
        <v>103.12861633300781</v>
      </c>
      <c r="F22" s="54">
        <v>0.08304398506879807</v>
      </c>
      <c r="G22" s="54"/>
      <c r="H22" s="54"/>
      <c r="I22" s="54"/>
      <c r="J22" s="54"/>
      <c r="K22" s="54"/>
      <c r="L22" s="55"/>
      <c r="M22" s="70">
        <v>27.19183921813965</v>
      </c>
      <c r="N22" s="54">
        <v>46.57841491699219</v>
      </c>
      <c r="O22" s="54">
        <v>39.5</v>
      </c>
      <c r="P22" s="54">
        <v>22</v>
      </c>
      <c r="Q22" s="54">
        <v>3.4552950859069824</v>
      </c>
      <c r="R22" s="54">
        <v>19.751880645751953</v>
      </c>
      <c r="S22" s="71">
        <v>92.30323791503906</v>
      </c>
      <c r="T22" s="71">
        <v>12</v>
      </c>
      <c r="U22" s="71">
        <v>0</v>
      </c>
      <c r="V22" s="71">
        <v>43.59809112548828</v>
      </c>
      <c r="W22" s="71">
        <v>76.92057800292969</v>
      </c>
      <c r="X22" s="71">
        <v>27.5</v>
      </c>
      <c r="Y22" s="71">
        <v>74.37734985351562</v>
      </c>
      <c r="Z22" s="71">
        <v>15.140335083007812</v>
      </c>
      <c r="AA22" s="71">
        <v>18.75542640686035</v>
      </c>
      <c r="AB22" s="71"/>
      <c r="AC22" s="58"/>
      <c r="AD22" s="58">
        <v>0</v>
      </c>
      <c r="AE22" s="58"/>
      <c r="AF22" s="58">
        <v>50.376155853271484</v>
      </c>
      <c r="AG22" s="58">
        <v>18.753616333007812</v>
      </c>
      <c r="AH22" s="58"/>
      <c r="AI22" s="72"/>
      <c r="AJ22" s="72"/>
      <c r="AK22" s="72"/>
      <c r="AL22" s="72"/>
      <c r="AM22" s="72"/>
      <c r="AN22" s="58">
        <v>54.74536895751953</v>
      </c>
      <c r="AO22" s="59">
        <v>50</v>
      </c>
      <c r="AP22" s="60">
        <v>24.233217239379883</v>
      </c>
      <c r="AQ22" s="61">
        <v>42.6179084777832</v>
      </c>
      <c r="AR22" s="62">
        <v>0.09766387939453125</v>
      </c>
    </row>
    <row r="23" spans="2:44" ht="13.5" customHeight="1" x14ac:dyDescent="0.25">
      <c r="B23" s="14">
        <v>0.375</v>
      </c>
      <c r="C23" s="54">
        <v>-81.60445404052734</v>
      </c>
      <c r="D23" s="54">
        <v>-81.38744354248047</v>
      </c>
      <c r="E23" s="54">
        <v>103.12861633300781</v>
      </c>
      <c r="F23" s="54">
        <v>0.080946184694767</v>
      </c>
      <c r="G23" s="54">
        <v>7.778549479553476E-05</v>
      </c>
      <c r="H23" s="54"/>
      <c r="I23" s="54"/>
      <c r="J23" s="54"/>
      <c r="K23" s="54"/>
      <c r="L23" s="55"/>
      <c r="M23" s="70">
        <v>27.416088104248047</v>
      </c>
      <c r="N23" s="54">
        <v>47.120948791503906</v>
      </c>
      <c r="O23" s="54">
        <v>39.5</v>
      </c>
      <c r="P23" s="54">
        <v>22</v>
      </c>
      <c r="Q23" s="54">
        <v>3.4700520038604736</v>
      </c>
      <c r="R23" s="54">
        <v>20.005064010620117</v>
      </c>
      <c r="S23" s="71">
        <v>92.91449737548828</v>
      </c>
      <c r="T23" s="71">
        <v>12</v>
      </c>
      <c r="U23" s="71">
        <v>0</v>
      </c>
      <c r="V23" s="71">
        <v>14.301216125488281</v>
      </c>
      <c r="W23" s="71">
        <v>61.984596252441406</v>
      </c>
      <c r="X23" s="71">
        <v>27.5</v>
      </c>
      <c r="Y23" s="71">
        <v>74.15310668945312</v>
      </c>
      <c r="Z23" s="71">
        <v>16.259765625</v>
      </c>
      <c r="AA23" s="71">
        <v>20.22569465637207</v>
      </c>
      <c r="AB23" s="71"/>
      <c r="AC23" s="58"/>
      <c r="AD23" s="58">
        <v>1.0692274570465088</v>
      </c>
      <c r="AE23" s="58">
        <v>0.0011858521029353142</v>
      </c>
      <c r="AF23" s="58">
        <v>19.58550262451172</v>
      </c>
      <c r="AG23" s="58">
        <v>20.862268447875977</v>
      </c>
      <c r="AH23" s="58"/>
      <c r="AI23" s="72"/>
      <c r="AJ23" s="72"/>
      <c r="AK23" s="72"/>
      <c r="AL23" s="72"/>
      <c r="AM23" s="72"/>
      <c r="AN23" s="58">
        <v>53.94241714477539</v>
      </c>
      <c r="AO23" s="59">
        <v>50</v>
      </c>
      <c r="AP23" s="60">
        <v>24.459274291992188</v>
      </c>
      <c r="AQ23" s="61">
        <v>40.910736083984375</v>
      </c>
      <c r="AR23" s="62">
        <v>0.075958251953125</v>
      </c>
    </row>
    <row r="24" spans="2:44" ht="13.5" customHeight="1" x14ac:dyDescent="0.25">
      <c r="B24" s="14">
        <v>0.41666666666666702</v>
      </c>
      <c r="C24" s="54">
        <v>-81.12702941894531</v>
      </c>
      <c r="D24" s="54">
        <v>-80.91724395751953</v>
      </c>
      <c r="E24" s="54">
        <v>103.12861633300781</v>
      </c>
      <c r="F24" s="54">
        <v>0.083984375</v>
      </c>
      <c r="G24" s="54">
        <v>7.818222366040573E-05</v>
      </c>
      <c r="H24" s="54"/>
      <c r="I24" s="54"/>
      <c r="J24" s="54"/>
      <c r="K24" s="54"/>
      <c r="L24" s="55"/>
      <c r="M24" s="70">
        <v>27.01822853088379</v>
      </c>
      <c r="N24" s="54">
        <v>46.39033508300781</v>
      </c>
      <c r="O24" s="54">
        <v>39.5</v>
      </c>
      <c r="P24" s="54">
        <v>22</v>
      </c>
      <c r="Q24" s="54">
        <v>3.5021700859069824</v>
      </c>
      <c r="R24" s="54">
        <v>20.373987197875977</v>
      </c>
      <c r="S24" s="71">
        <v>93.1929931640625</v>
      </c>
      <c r="T24" s="71">
        <v>37.29999923706055</v>
      </c>
      <c r="U24" s="71">
        <v>73.07110595703125</v>
      </c>
      <c r="V24" s="71">
        <v>20.106338500976562</v>
      </c>
      <c r="W24" s="71">
        <v>20.350479125976562</v>
      </c>
      <c r="X24" s="71">
        <v>10</v>
      </c>
      <c r="Y24" s="71">
        <v>0</v>
      </c>
      <c r="Z24" s="71">
        <v>16.26519012451172</v>
      </c>
      <c r="AA24" s="71">
        <v>73.78472900390625</v>
      </c>
      <c r="AB24" s="71"/>
      <c r="AC24" s="58"/>
      <c r="AD24" s="58">
        <v>1.5483940839767456</v>
      </c>
      <c r="AE24" s="58">
        <v>0.0014284057542681694</v>
      </c>
      <c r="AF24" s="58">
        <v>19.994213104248047</v>
      </c>
      <c r="AG24" s="58">
        <v>22.89496421813965</v>
      </c>
      <c r="AH24" s="58"/>
      <c r="AI24" s="72"/>
      <c r="AJ24" s="72"/>
      <c r="AK24" s="72"/>
      <c r="AL24" s="72"/>
      <c r="AM24" s="72"/>
      <c r="AN24" s="58">
        <v>51.953125</v>
      </c>
      <c r="AO24" s="59">
        <v>50</v>
      </c>
      <c r="AP24" s="60">
        <v>24.73958396911621</v>
      </c>
      <c r="AQ24" s="61">
        <v>40.09693145751953</v>
      </c>
      <c r="AR24" s="62">
        <v>0.0651092529296875</v>
      </c>
    </row>
    <row r="25" spans="2:44" ht="13.5" customHeight="1" x14ac:dyDescent="0.25">
      <c r="B25" s="14">
        <v>0.45833333333333298</v>
      </c>
      <c r="C25" s="54">
        <v>-81.27169799804688</v>
      </c>
      <c r="D25" s="54">
        <v>-80.94618225097656</v>
      </c>
      <c r="E25" s="54">
        <v>103.125</v>
      </c>
      <c r="F25" s="54">
        <v>0.12471064925193787</v>
      </c>
      <c r="G25" s="54">
        <v>0.00011007308785337955</v>
      </c>
      <c r="H25" s="54"/>
      <c r="I25" s="54"/>
      <c r="J25" s="54"/>
      <c r="K25" s="54"/>
      <c r="L25" s="55"/>
      <c r="M25" s="70">
        <v>26.417823791503906</v>
      </c>
      <c r="N25" s="54">
        <v>46.78096008300781</v>
      </c>
      <c r="O25" s="54">
        <v>39.5</v>
      </c>
      <c r="P25" s="54">
        <v>22</v>
      </c>
      <c r="Q25" s="54">
        <v>3.4431424140930176</v>
      </c>
      <c r="R25" s="54">
        <v>20.5078125</v>
      </c>
      <c r="S25" s="71">
        <v>95.27271270751953</v>
      </c>
      <c r="T25" s="71">
        <v>37.29999923706055</v>
      </c>
      <c r="U25" s="71">
        <v>72.96459197998047</v>
      </c>
      <c r="V25" s="71">
        <v>19.7265625</v>
      </c>
      <c r="W25" s="71">
        <v>20.572917938232422</v>
      </c>
      <c r="X25" s="71">
        <v>10</v>
      </c>
      <c r="Y25" s="71">
        <v>0</v>
      </c>
      <c r="Z25" s="71">
        <v>19.028501510620117</v>
      </c>
      <c r="AA25" s="71">
        <v>57.394752502441406</v>
      </c>
      <c r="AB25" s="71"/>
      <c r="AC25" s="58"/>
      <c r="AD25" s="58">
        <v>1.54833984375</v>
      </c>
      <c r="AE25" s="58">
        <v>0.0012682494707405567</v>
      </c>
      <c r="AF25" s="58">
        <v>19.451677322387695</v>
      </c>
      <c r="AG25" s="58">
        <v>16.57986068725586</v>
      </c>
      <c r="AH25" s="58"/>
      <c r="AI25" s="72"/>
      <c r="AJ25" s="72"/>
      <c r="AK25" s="72"/>
      <c r="AL25" s="72"/>
      <c r="AM25" s="72"/>
      <c r="AN25" s="58">
        <v>47.88772964477539</v>
      </c>
      <c r="AO25" s="59">
        <v>50</v>
      </c>
      <c r="AP25" s="60">
        <v>25.327329635620117</v>
      </c>
      <c r="AQ25" s="61">
        <v>40.52372741699219</v>
      </c>
      <c r="AR25" s="62">
        <v>0.0868072509765625</v>
      </c>
    </row>
    <row r="26" spans="2:44" ht="13.5" customHeight="1" x14ac:dyDescent="0.25">
      <c r="B26" s="14">
        <v>0.5</v>
      </c>
      <c r="C26" s="54">
        <v>-81.3946762084961</v>
      </c>
      <c r="D26" s="54">
        <v>-81.07638549804688</v>
      </c>
      <c r="E26" s="54">
        <v>103.125</v>
      </c>
      <c r="F26" s="54">
        <v>0.10583043843507767</v>
      </c>
      <c r="G26" s="54">
        <v>0.00011056518269469962</v>
      </c>
      <c r="H26" s="54"/>
      <c r="I26" s="54"/>
      <c r="J26" s="54"/>
      <c r="K26" s="54"/>
      <c r="L26" s="55"/>
      <c r="M26" s="70">
        <v>26.953125</v>
      </c>
      <c r="N26" s="54">
        <v>46.01055908203125</v>
      </c>
      <c r="O26" s="54">
        <v>39.5</v>
      </c>
      <c r="P26" s="54">
        <v>22</v>
      </c>
      <c r="Q26" s="54">
        <v>3.551649332046509</v>
      </c>
      <c r="R26" s="54">
        <v>20.78993034362793</v>
      </c>
      <c r="S26" s="71">
        <v>94.42997741699219</v>
      </c>
      <c r="T26" s="71">
        <v>37.29999923706055</v>
      </c>
      <c r="U26" s="71">
        <v>73.22808074951172</v>
      </c>
      <c r="V26" s="71">
        <v>19.422744750976562</v>
      </c>
      <c r="W26" s="71">
        <v>20.632596969604492</v>
      </c>
      <c r="X26" s="71">
        <v>10</v>
      </c>
      <c r="Y26" s="71">
        <v>0</v>
      </c>
      <c r="Z26" s="71">
        <v>20.856842041015625</v>
      </c>
      <c r="AA26" s="71">
        <v>53.298614501953125</v>
      </c>
      <c r="AB26" s="71"/>
      <c r="AC26" s="58"/>
      <c r="AD26" s="58">
        <v>1.5484483242034912</v>
      </c>
      <c r="AE26" s="58">
        <v>0.001478027319535613</v>
      </c>
      <c r="AF26" s="58">
        <v>19.451677322387695</v>
      </c>
      <c r="AG26" s="58">
        <v>19.397424697875977</v>
      </c>
      <c r="AH26" s="58"/>
      <c r="AI26" s="72"/>
      <c r="AJ26" s="72"/>
      <c r="AK26" s="72"/>
      <c r="AL26" s="72"/>
      <c r="AM26" s="72"/>
      <c r="AN26" s="58">
        <v>46.36140060424805</v>
      </c>
      <c r="AO26" s="59">
        <v>50</v>
      </c>
      <c r="AP26" s="60">
        <v>25.508174896240234</v>
      </c>
      <c r="AQ26" s="61">
        <v>43.605323791503906</v>
      </c>
      <c r="AR26" s="62">
        <v>0.09766387939453125</v>
      </c>
    </row>
    <row r="27" spans="2:44" ht="13.5" customHeight="1" x14ac:dyDescent="0.25">
      <c r="B27" s="14">
        <v>0.54166666666666596</v>
      </c>
      <c r="C27" s="54">
        <v>-81.32234191894531</v>
      </c>
      <c r="D27" s="54">
        <v>-81.0040512084961</v>
      </c>
      <c r="E27" s="54">
        <v>103.125</v>
      </c>
      <c r="F27" s="54">
        <v>0.07175926119089127</v>
      </c>
      <c r="G27" s="54">
        <v>0.00011552048090379685</v>
      </c>
      <c r="H27" s="54"/>
      <c r="I27" s="54"/>
      <c r="J27" s="54"/>
      <c r="K27" s="54"/>
      <c r="L27" s="55"/>
      <c r="M27" s="70">
        <v>27.969472885131836</v>
      </c>
      <c r="N27" s="54">
        <v>48.45920181274414</v>
      </c>
      <c r="O27" s="54">
        <v>39.5</v>
      </c>
      <c r="P27" s="54">
        <v>22</v>
      </c>
      <c r="Q27" s="54">
        <v>3.551649332046509</v>
      </c>
      <c r="R27" s="54">
        <v>20.96354103088379</v>
      </c>
      <c r="S27" s="71">
        <v>95.30888366699219</v>
      </c>
      <c r="T27" s="71">
        <v>37.29999923706055</v>
      </c>
      <c r="U27" s="71">
        <v>73.05989837646484</v>
      </c>
      <c r="V27" s="71">
        <v>18.08810806274414</v>
      </c>
      <c r="W27" s="71">
        <v>20.92013931274414</v>
      </c>
      <c r="X27" s="71">
        <v>10</v>
      </c>
      <c r="Y27" s="71">
        <v>0</v>
      </c>
      <c r="Z27" s="71">
        <v>22.225839614868164</v>
      </c>
      <c r="AA27" s="71">
        <v>51.009117126464844</v>
      </c>
      <c r="AB27" s="71"/>
      <c r="AC27" s="58"/>
      <c r="AD27" s="58">
        <v>1.5484483242034912</v>
      </c>
      <c r="AE27" s="58">
        <v>0.0013105468824505806</v>
      </c>
      <c r="AF27" s="58">
        <v>19.451677322387695</v>
      </c>
      <c r="AG27" s="58">
        <v>17.31770896911621</v>
      </c>
      <c r="AH27" s="58"/>
      <c r="AI27" s="72"/>
      <c r="AJ27" s="72"/>
      <c r="AK27" s="72"/>
      <c r="AL27" s="72"/>
      <c r="AM27" s="72"/>
      <c r="AN27" s="58">
        <v>45.6452522277832</v>
      </c>
      <c r="AO27" s="59">
        <v>50</v>
      </c>
      <c r="AP27" s="60">
        <v>25.670934677124023</v>
      </c>
      <c r="AQ27" s="61">
        <v>40.07522964477539</v>
      </c>
      <c r="AR27" s="62">
        <v>0.0868072509765625</v>
      </c>
    </row>
    <row r="28" spans="2:44" ht="13.5" customHeight="1" x14ac:dyDescent="0.25">
      <c r="B28" s="14">
        <v>0.58333333333333304</v>
      </c>
      <c r="C28" s="54">
        <v>-81.50318145751953</v>
      </c>
      <c r="D28" s="54">
        <v>-80.98234558105469</v>
      </c>
      <c r="E28" s="54">
        <v>103.125</v>
      </c>
      <c r="F28" s="54">
        <v>0.08405671268701553</v>
      </c>
      <c r="G28" s="54">
        <v>0.00010035323793999851</v>
      </c>
      <c r="H28" s="54"/>
      <c r="I28" s="54"/>
      <c r="J28" s="54"/>
      <c r="K28" s="54"/>
      <c r="L28" s="55"/>
      <c r="M28" s="70">
        <v>26.902488708496094</v>
      </c>
      <c r="N28" s="54">
        <v>48.26027297973633</v>
      </c>
      <c r="O28" s="54">
        <v>39.5</v>
      </c>
      <c r="P28" s="54">
        <v>22</v>
      </c>
      <c r="Q28" s="54">
        <v>3.4470486640930176</v>
      </c>
      <c r="R28" s="54">
        <v>21.25650978088379</v>
      </c>
      <c r="S28" s="71">
        <v>94.94357299804688</v>
      </c>
      <c r="T28" s="71">
        <v>37.29999923706055</v>
      </c>
      <c r="U28" s="71">
        <v>73.06550598144531</v>
      </c>
      <c r="V28" s="71">
        <v>19.97612953186035</v>
      </c>
      <c r="W28" s="71">
        <v>21.950956344604492</v>
      </c>
      <c r="X28" s="71">
        <v>10</v>
      </c>
      <c r="Y28" s="71">
        <v>0</v>
      </c>
      <c r="Z28" s="71">
        <v>14.104094505310059</v>
      </c>
      <c r="AA28" s="71">
        <v>83.45269775390625</v>
      </c>
      <c r="AB28" s="71"/>
      <c r="AC28" s="58"/>
      <c r="AD28" s="58">
        <v>1.5483940839767456</v>
      </c>
      <c r="AE28" s="58">
        <v>0.001177917467430234</v>
      </c>
      <c r="AF28" s="58">
        <v>19.437210083007812</v>
      </c>
      <c r="AG28" s="58">
        <v>18.17491340637207</v>
      </c>
      <c r="AH28" s="58"/>
      <c r="AI28" s="72">
        <v>6.289999961853027</v>
      </c>
      <c r="AJ28" s="72"/>
      <c r="AK28" s="72"/>
      <c r="AL28" s="72"/>
      <c r="AM28" s="72"/>
      <c r="AN28" s="58">
        <v>45.63801956176758</v>
      </c>
      <c r="AO28" s="59">
        <v>50</v>
      </c>
      <c r="AP28" s="60">
        <v>25.96028709411621</v>
      </c>
      <c r="AQ28" s="61">
        <v>40.44777297973633</v>
      </c>
      <c r="AR28" s="62">
        <v>0.0868072509765625</v>
      </c>
    </row>
    <row r="29" spans="2:44" ht="13.5" customHeight="1" x14ac:dyDescent="0.25">
      <c r="B29" s="14">
        <v>0.625</v>
      </c>
      <c r="C29" s="54">
        <v>-81.62615966796875</v>
      </c>
      <c r="D29" s="54">
        <v>-81.11255645751953</v>
      </c>
      <c r="E29" s="54">
        <v>103.125</v>
      </c>
      <c r="F29" s="54">
        <v>0.09845197200775146</v>
      </c>
      <c r="G29" s="54">
        <v>8.18481421447359E-05</v>
      </c>
      <c r="H29" s="54"/>
      <c r="I29" s="54"/>
      <c r="J29" s="54"/>
      <c r="K29" s="54"/>
      <c r="L29" s="55"/>
      <c r="M29" s="70">
        <v>26.9241886138916</v>
      </c>
      <c r="N29" s="54">
        <v>48.010704040527344</v>
      </c>
      <c r="O29" s="54">
        <v>39.5</v>
      </c>
      <c r="P29" s="54">
        <v>22</v>
      </c>
      <c r="Q29" s="54">
        <v>3.4505207538604736</v>
      </c>
      <c r="R29" s="54">
        <v>21.58203125</v>
      </c>
      <c r="S29" s="71">
        <v>94.63252258300781</v>
      </c>
      <c r="T29" s="71">
        <v>8.5</v>
      </c>
      <c r="U29" s="71">
        <v>0</v>
      </c>
      <c r="V29" s="71">
        <v>15.885416984558105</v>
      </c>
      <c r="W29" s="71">
        <v>74.57140350341797</v>
      </c>
      <c r="X29" s="71">
        <v>26.299999237060547</v>
      </c>
      <c r="Y29" s="71">
        <v>72.53291320800781</v>
      </c>
      <c r="Z29" s="71">
        <v>18.024810791015625</v>
      </c>
      <c r="AA29" s="71">
        <v>20.741104125976562</v>
      </c>
      <c r="AB29" s="71"/>
      <c r="AC29" s="58"/>
      <c r="AD29" s="58">
        <v>1.5483940839767456</v>
      </c>
      <c r="AE29" s="58">
        <v>0.0014337158063426614</v>
      </c>
      <c r="AF29" s="58">
        <v>19.437210083007812</v>
      </c>
      <c r="AG29" s="58">
        <v>21.672452926635742</v>
      </c>
      <c r="AH29" s="58"/>
      <c r="AI29" s="72"/>
      <c r="AJ29" s="72"/>
      <c r="AK29" s="72"/>
      <c r="AL29" s="72"/>
      <c r="AM29" s="72"/>
      <c r="AN29" s="58">
        <v>45.4499397277832</v>
      </c>
      <c r="AO29" s="59">
        <v>50</v>
      </c>
      <c r="AP29" s="60">
        <v>26.168258666992188</v>
      </c>
      <c r="AQ29" s="61">
        <v>40.393516540527344</v>
      </c>
      <c r="AR29" s="62">
        <v>0.09766387939453125</v>
      </c>
    </row>
    <row r="30" spans="2:44" ht="13.5" customHeight="1" x14ac:dyDescent="0.25">
      <c r="B30" s="14">
        <v>0.66666666666666596</v>
      </c>
      <c r="C30" s="54">
        <v>-81.56105041503906</v>
      </c>
      <c r="D30" s="54">
        <v>-80.94618225097656</v>
      </c>
      <c r="E30" s="54">
        <v>103.13584899902344</v>
      </c>
      <c r="F30" s="54">
        <v>0.09208622574806213</v>
      </c>
      <c r="G30" s="54">
        <v>7.93075596448034E-05</v>
      </c>
      <c r="H30" s="54"/>
      <c r="I30" s="54"/>
      <c r="J30" s="54"/>
      <c r="K30" s="54"/>
      <c r="L30" s="55"/>
      <c r="M30" s="70">
        <v>26.82291603088379</v>
      </c>
      <c r="N30" s="54">
        <v>47.47540283203125</v>
      </c>
      <c r="O30" s="54">
        <v>39.5</v>
      </c>
      <c r="P30" s="54">
        <v>22</v>
      </c>
      <c r="Q30" s="54">
        <v>3.4748263359069824</v>
      </c>
      <c r="R30" s="54">
        <v>21.585647583007812</v>
      </c>
      <c r="S30" s="71">
        <v>96.47714233398438</v>
      </c>
      <c r="T30" s="71">
        <v>8.5</v>
      </c>
      <c r="U30" s="71">
        <v>0</v>
      </c>
      <c r="V30" s="71">
        <v>17.90364646911621</v>
      </c>
      <c r="W30" s="71">
        <v>61.53971481323242</v>
      </c>
      <c r="X30" s="71">
        <v>26.299999237060547</v>
      </c>
      <c r="Y30" s="71">
        <v>70.39134979248047</v>
      </c>
      <c r="Z30" s="71">
        <v>17.324941635131836</v>
      </c>
      <c r="AA30" s="71">
        <v>20.12261390686035</v>
      </c>
      <c r="AB30" s="71"/>
      <c r="AC30" s="58"/>
      <c r="AD30" s="58">
        <v>1.5483940839767456</v>
      </c>
      <c r="AE30" s="58">
        <v>0.0014978027902543545</v>
      </c>
      <c r="AF30" s="58">
        <v>19.44444465637207</v>
      </c>
      <c r="AG30" s="58">
        <v>17.520254135131836</v>
      </c>
      <c r="AH30" s="58"/>
      <c r="AI30" s="72"/>
      <c r="AJ30" s="72"/>
      <c r="AK30" s="72"/>
      <c r="AL30" s="72"/>
      <c r="AM30" s="72"/>
      <c r="AN30" s="58">
        <v>43.713829040527344</v>
      </c>
      <c r="AO30" s="59">
        <v>50</v>
      </c>
      <c r="AP30" s="60">
        <v>26.39431381225586</v>
      </c>
      <c r="AQ30" s="61">
        <v>43.45341491699219</v>
      </c>
      <c r="AR30" s="62">
        <v>0.0868072509765625</v>
      </c>
    </row>
    <row r="31" spans="2:44" ht="13.5" customHeight="1" x14ac:dyDescent="0.25">
      <c r="B31" s="14">
        <v>0.70833333333333304</v>
      </c>
      <c r="C31" s="54">
        <v>-81.74189758300781</v>
      </c>
      <c r="D31" s="54">
        <v>-81.07638549804688</v>
      </c>
      <c r="E31" s="54">
        <v>103.13584899902344</v>
      </c>
      <c r="F31" s="54">
        <v>0.0896267369389534</v>
      </c>
      <c r="G31" s="54">
        <v>8.373642049264163E-05</v>
      </c>
      <c r="H31" s="54"/>
      <c r="I31" s="54"/>
      <c r="J31" s="54"/>
      <c r="K31" s="54"/>
      <c r="L31" s="55"/>
      <c r="M31" s="70">
        <v>26.869935989379883</v>
      </c>
      <c r="N31" s="54">
        <v>47.01605987548828</v>
      </c>
      <c r="O31" s="54">
        <v>39.5</v>
      </c>
      <c r="P31" s="54">
        <v>22</v>
      </c>
      <c r="Q31" s="54">
        <v>3.4787325859069824</v>
      </c>
      <c r="R31" s="54">
        <v>21.40842056274414</v>
      </c>
      <c r="S31" s="71">
        <v>92.34302520751953</v>
      </c>
      <c r="T31" s="71">
        <v>8.5</v>
      </c>
      <c r="U31" s="71">
        <v>0</v>
      </c>
      <c r="V31" s="71">
        <v>15.581598281860352</v>
      </c>
      <c r="W31" s="71">
        <v>54.324005126953125</v>
      </c>
      <c r="X31" s="71">
        <v>26.299999237060547</v>
      </c>
      <c r="Y31" s="71">
        <v>70.64923095703125</v>
      </c>
      <c r="Z31" s="71">
        <v>17.042823791503906</v>
      </c>
      <c r="AA31" s="71">
        <v>19.74826431274414</v>
      </c>
      <c r="AB31" s="71"/>
      <c r="AC31" s="58"/>
      <c r="AD31" s="58">
        <v>1.533908486366272</v>
      </c>
      <c r="AE31" s="58">
        <v>0.0014308472163975239</v>
      </c>
      <c r="AF31" s="58">
        <v>19.48784637451172</v>
      </c>
      <c r="AG31" s="58">
        <v>17.603443145751953</v>
      </c>
      <c r="AH31" s="58"/>
      <c r="AI31" s="72"/>
      <c r="AJ31" s="72"/>
      <c r="AK31" s="72"/>
      <c r="AL31" s="72"/>
      <c r="AM31" s="72"/>
      <c r="AN31" s="58">
        <v>51.721641540527344</v>
      </c>
      <c r="AO31" s="59">
        <v>50</v>
      </c>
      <c r="AP31" s="60">
        <v>26.783130645751953</v>
      </c>
      <c r="AQ31" s="61">
        <v>40.201820373535156</v>
      </c>
      <c r="AR31" s="62">
        <v>0.0868072509765625</v>
      </c>
    </row>
    <row r="32" spans="2:44" ht="13.5" customHeight="1" x14ac:dyDescent="0.25">
      <c r="B32" s="14">
        <v>0.75</v>
      </c>
      <c r="C32" s="54">
        <v>-81.70572662353516</v>
      </c>
      <c r="D32" s="54">
        <v>-81.0257568359375</v>
      </c>
      <c r="E32" s="54">
        <v>103.13223266601562</v>
      </c>
      <c r="F32" s="54">
        <v>0.08984375</v>
      </c>
      <c r="G32" s="54">
        <v>8.481979602947831E-05</v>
      </c>
      <c r="H32" s="54"/>
      <c r="I32" s="54"/>
      <c r="J32" s="54"/>
      <c r="K32" s="54"/>
      <c r="L32" s="55"/>
      <c r="M32" s="70">
        <v>26.479310989379883</v>
      </c>
      <c r="N32" s="54">
        <v>47.14265060424805</v>
      </c>
      <c r="O32" s="54">
        <v>39.5</v>
      </c>
      <c r="P32" s="54">
        <v>22</v>
      </c>
      <c r="Q32" s="54">
        <v>3.4947917461395264</v>
      </c>
      <c r="R32" s="54">
        <v>21.08289909362793</v>
      </c>
      <c r="S32" s="71">
        <v>92.69024658203125</v>
      </c>
      <c r="T32" s="71">
        <v>8.5</v>
      </c>
      <c r="U32" s="71">
        <v>0</v>
      </c>
      <c r="V32" s="71">
        <v>17.73003578186035</v>
      </c>
      <c r="W32" s="71">
        <v>52.08876037597656</v>
      </c>
      <c r="X32" s="71">
        <v>26.299999237060547</v>
      </c>
      <c r="Y32" s="71">
        <v>70.2511978149414</v>
      </c>
      <c r="Z32" s="71">
        <v>16.353805541992188</v>
      </c>
      <c r="AA32" s="71">
        <v>19.13520050048828</v>
      </c>
      <c r="AB32" s="71"/>
      <c r="AC32" s="58"/>
      <c r="AD32" s="58">
        <v>0</v>
      </c>
      <c r="AE32" s="58">
        <v>0.0009704589610919356</v>
      </c>
      <c r="AF32" s="58">
        <v>19.52039909362793</v>
      </c>
      <c r="AG32" s="58">
        <v>18.84765625</v>
      </c>
      <c r="AH32" s="58">
        <v>436.17999267578125</v>
      </c>
      <c r="AI32" s="72"/>
      <c r="AJ32" s="72"/>
      <c r="AK32" s="72"/>
      <c r="AL32" s="72"/>
      <c r="AM32" s="72"/>
      <c r="AN32" s="58">
        <v>52.133968353271484</v>
      </c>
      <c r="AO32" s="59">
        <v>50</v>
      </c>
      <c r="AP32" s="60">
        <v>27.081523895263672</v>
      </c>
      <c r="AQ32" s="61">
        <v>40.187355041503906</v>
      </c>
      <c r="AR32" s="62">
        <v>0.075958251953125</v>
      </c>
    </row>
    <row r="33" spans="2:44" ht="13.5" customHeight="1" x14ac:dyDescent="0.25">
      <c r="B33" s="14">
        <v>0.79166666666666696</v>
      </c>
      <c r="C33" s="54">
        <v>-81.5899887084961</v>
      </c>
      <c r="D33" s="54">
        <v>-80.97511291503906</v>
      </c>
      <c r="E33" s="54">
        <v>103.13223266601562</v>
      </c>
      <c r="F33" s="54">
        <v>0.09208622574806213</v>
      </c>
      <c r="G33" s="54">
        <v>8.025360148167238E-05</v>
      </c>
      <c r="H33" s="54"/>
      <c r="I33" s="54"/>
      <c r="J33" s="54"/>
      <c r="K33" s="54"/>
      <c r="L33" s="55"/>
      <c r="M33" s="70">
        <v>26.544414520263672</v>
      </c>
      <c r="N33" s="54">
        <v>47.28009033203125</v>
      </c>
      <c r="O33" s="54">
        <v>39.5</v>
      </c>
      <c r="P33" s="54">
        <v>22</v>
      </c>
      <c r="Q33" s="54">
        <v>3.4626736640930176</v>
      </c>
      <c r="R33" s="54">
        <v>20.829715728759766</v>
      </c>
      <c r="S33" s="71">
        <v>92.44791412353516</v>
      </c>
      <c r="T33" s="71">
        <v>8.5</v>
      </c>
      <c r="U33" s="71">
        <v>0</v>
      </c>
      <c r="V33" s="71">
        <v>18.728300094604492</v>
      </c>
      <c r="W33" s="71">
        <v>51.388893127441406</v>
      </c>
      <c r="X33" s="71">
        <v>28</v>
      </c>
      <c r="Y33" s="71">
        <v>74.775390625</v>
      </c>
      <c r="Z33" s="71">
        <v>15.751590728759766</v>
      </c>
      <c r="AA33" s="71">
        <v>18.641494750976562</v>
      </c>
      <c r="AB33" s="71"/>
      <c r="AC33" s="58"/>
      <c r="AD33" s="58">
        <v>0</v>
      </c>
      <c r="AE33" s="58">
        <v>0.0008777465554885566</v>
      </c>
      <c r="AF33" s="58">
        <v>19.59635353088379</v>
      </c>
      <c r="AG33" s="58">
        <v>14.728009223937988</v>
      </c>
      <c r="AH33" s="58">
        <v>479.95001220703125</v>
      </c>
      <c r="AI33" s="72"/>
      <c r="AJ33" s="72"/>
      <c r="AK33" s="72"/>
      <c r="AL33" s="72"/>
      <c r="AM33" s="72"/>
      <c r="AN33" s="58">
        <v>51.63483810424805</v>
      </c>
      <c r="AO33" s="59">
        <v>50</v>
      </c>
      <c r="AP33" s="60">
        <v>26.792173385620117</v>
      </c>
      <c r="AQ33" s="61">
        <v>39.56163024902344</v>
      </c>
      <c r="AR33" s="62">
        <v>0.0868072509765625</v>
      </c>
    </row>
    <row r="34" spans="2:44" ht="13.5" customHeight="1" x14ac:dyDescent="0.25">
      <c r="B34" s="15">
        <v>0.83333333333333304</v>
      </c>
      <c r="C34" s="63">
        <v>-81.48148345947266</v>
      </c>
      <c r="D34" s="63">
        <v>-80.9100112915039</v>
      </c>
      <c r="E34" s="63">
        <v>103.12861633300781</v>
      </c>
      <c r="F34" s="63">
        <v>0.0939670130610466</v>
      </c>
      <c r="G34" s="63">
        <v>8.758544572629035E-05</v>
      </c>
      <c r="H34" s="63"/>
      <c r="I34" s="63"/>
      <c r="J34" s="63"/>
      <c r="K34" s="63"/>
      <c r="L34" s="64"/>
      <c r="M34" s="73">
        <v>26.609519958496094</v>
      </c>
      <c r="N34" s="63">
        <v>46.52777862548828</v>
      </c>
      <c r="O34" s="63">
        <v>39.5</v>
      </c>
      <c r="P34" s="63">
        <v>22</v>
      </c>
      <c r="Q34" s="63">
        <v>3.511284828186035</v>
      </c>
      <c r="R34" s="63">
        <v>20.373987197875977</v>
      </c>
      <c r="S34" s="74">
        <v>91.71730041503906</v>
      </c>
      <c r="T34" s="74">
        <v>8.5</v>
      </c>
      <c r="U34" s="74">
        <v>0</v>
      </c>
      <c r="V34" s="74">
        <v>19.12434959411621</v>
      </c>
      <c r="W34" s="74">
        <v>50.667320251464844</v>
      </c>
      <c r="X34" s="74">
        <v>28</v>
      </c>
      <c r="Y34" s="74">
        <v>75.32479858398438</v>
      </c>
      <c r="Z34" s="74">
        <v>15.006509780883789</v>
      </c>
      <c r="AA34" s="74">
        <v>17.87109375</v>
      </c>
      <c r="AB34" s="74"/>
      <c r="AC34" s="67"/>
      <c r="AD34" s="67">
        <v>1.5482856035232544</v>
      </c>
      <c r="AE34" s="67">
        <v>0.0006715698400512338</v>
      </c>
      <c r="AF34" s="67">
        <v>19.614439010620117</v>
      </c>
      <c r="AG34" s="67">
        <v>19.831451416015625</v>
      </c>
      <c r="AH34" s="67"/>
      <c r="AI34" s="75"/>
      <c r="AJ34" s="75"/>
      <c r="AK34" s="75"/>
      <c r="AL34" s="75"/>
      <c r="AM34" s="75"/>
      <c r="AN34" s="67">
        <v>50.80295181274414</v>
      </c>
      <c r="AO34" s="68">
        <v>50</v>
      </c>
      <c r="AP34" s="76">
        <v>26.63845443725586</v>
      </c>
      <c r="AQ34" s="77">
        <v>39.68460464477539</v>
      </c>
      <c r="AR34" s="78">
        <v>0.0868072509765625</v>
      </c>
    </row>
    <row r="35" spans="2:44" ht="15" customHeight="1" x14ac:dyDescent="0.25">
      <c r="B35" s="136" t="s">
        <v>181</v>
      </c>
      <c r="C35" s="137" t="s">
        <v>38</v>
      </c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7" t="s">
        <v>216</v>
      </c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9"/>
      <c r="AK35" s="143" t="s">
        <v>48</v>
      </c>
      <c r="AL35" s="141"/>
      <c r="AM35" s="170" t="s">
        <v>223</v>
      </c>
      <c r="AN35" s="171"/>
      <c r="AO35" s="43"/>
      <c r="AP35" s="43"/>
      <c r="AQ35" s="43"/>
      <c r="AR35" s="44"/>
    </row>
    <row r="36" spans="2:44" ht="20.15" customHeight="1" x14ac:dyDescent="0.25">
      <c r="B36" s="123"/>
      <c r="C36" s="117" t="s">
        <v>32</v>
      </c>
      <c r="D36" s="149"/>
      <c r="E36" s="117" t="s">
        <v>33</v>
      </c>
      <c r="F36" s="178"/>
      <c r="G36" s="149"/>
      <c r="H36" s="172" t="s">
        <v>276</v>
      </c>
      <c r="I36" s="173"/>
      <c r="J36" s="4" t="s">
        <v>27</v>
      </c>
      <c r="K36" s="4" t="s">
        <v>30</v>
      </c>
      <c r="L36" s="4" t="s">
        <v>191</v>
      </c>
      <c r="M36" s="174" t="s">
        <v>192</v>
      </c>
      <c r="N36" s="175"/>
      <c r="O36" s="4" t="s">
        <v>26</v>
      </c>
      <c r="P36" s="4" t="s">
        <v>197</v>
      </c>
      <c r="Q36" s="117" t="s">
        <v>199</v>
      </c>
      <c r="R36" s="179"/>
      <c r="S36" s="117" t="s">
        <v>202</v>
      </c>
      <c r="T36" s="179"/>
      <c r="U36" s="117" t="s">
        <v>201</v>
      </c>
      <c r="V36" s="176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31" t="s">
        <v>46</v>
      </c>
      <c r="AI36" s="177"/>
      <c r="AJ36" s="118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2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2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54">
        <v>0</v>
      </c>
      <c r="D39" s="54"/>
      <c r="E39" s="54">
        <v>41.71006774902344</v>
      </c>
      <c r="F39" s="54"/>
      <c r="G39" s="54"/>
      <c r="H39" s="54">
        <v>0</v>
      </c>
      <c r="I39" s="54"/>
      <c r="J39" s="54">
        <v>24.90234375</v>
      </c>
      <c r="K39" s="54">
        <v>40</v>
      </c>
      <c r="L39" s="54">
        <v>49.8046875</v>
      </c>
      <c r="M39" s="54">
        <v>0</v>
      </c>
      <c r="N39" s="54"/>
      <c r="O39" s="54">
        <v>26.602285385131836</v>
      </c>
      <c r="P39" s="54">
        <v>0.05000000074505806</v>
      </c>
      <c r="Q39" s="54">
        <v>0.169921875</v>
      </c>
      <c r="R39" s="54"/>
      <c r="S39" s="54">
        <v>0</v>
      </c>
      <c r="T39" s="54"/>
      <c r="U39" s="71">
        <v>0</v>
      </c>
      <c r="V39" s="79"/>
      <c r="W39" s="80">
        <v>99.9819107055664</v>
      </c>
      <c r="X39" s="71">
        <v>16.858362197875977</v>
      </c>
      <c r="Y39" s="71">
        <v>25</v>
      </c>
      <c r="Z39" s="71">
        <v>0</v>
      </c>
      <c r="AA39" s="71">
        <v>43.59809112548828</v>
      </c>
      <c r="AB39" s="71">
        <v>76.92057800292969</v>
      </c>
      <c r="AC39" s="71">
        <v>50</v>
      </c>
      <c r="AD39" s="71">
        <v>123.79341125488281</v>
      </c>
      <c r="AE39" s="58">
        <v>15.140335083007812</v>
      </c>
      <c r="AF39" s="58">
        <v>18.75542640686035</v>
      </c>
      <c r="AG39" s="58"/>
      <c r="AH39" s="58">
        <v>0</v>
      </c>
      <c r="AI39" s="58">
        <v>0</v>
      </c>
      <c r="AJ39" s="58"/>
      <c r="AK39" s="58">
        <v>69.14785766601562</v>
      </c>
      <c r="AL39" s="59">
        <v>50.81886672973633</v>
      </c>
      <c r="AM39" s="81"/>
      <c r="AN39" s="72"/>
      <c r="AO39" s="58"/>
      <c r="AP39" s="58"/>
      <c r="AQ39" s="58"/>
      <c r="AR39" s="62"/>
    </row>
    <row r="40" spans="2:44" ht="13.5" customHeight="1" x14ac:dyDescent="0.25">
      <c r="B40" s="14">
        <v>0.375</v>
      </c>
      <c r="C40" s="54">
        <v>0</v>
      </c>
      <c r="D40" s="54">
        <v>3.546714879121282E-06</v>
      </c>
      <c r="E40" s="54">
        <v>32.798030853271484</v>
      </c>
      <c r="F40" s="54"/>
      <c r="G40" s="54"/>
      <c r="H40" s="54">
        <v>0</v>
      </c>
      <c r="I40" s="54">
        <v>0</v>
      </c>
      <c r="J40" s="54">
        <v>24.830005645751953</v>
      </c>
      <c r="K40" s="54">
        <v>40</v>
      </c>
      <c r="L40" s="54">
        <v>48.55685806274414</v>
      </c>
      <c r="M40" s="54">
        <v>0</v>
      </c>
      <c r="N40" s="54">
        <v>0</v>
      </c>
      <c r="O40" s="54">
        <v>27.099609375</v>
      </c>
      <c r="P40" s="54">
        <v>0.05000000074505806</v>
      </c>
      <c r="Q40" s="54">
        <v>0.18648727238178253</v>
      </c>
      <c r="R40" s="54">
        <v>0.00016904449148569256</v>
      </c>
      <c r="S40" s="54">
        <v>0</v>
      </c>
      <c r="T40" s="54">
        <v>0</v>
      </c>
      <c r="U40" s="71">
        <v>0</v>
      </c>
      <c r="V40" s="79">
        <v>0</v>
      </c>
      <c r="W40" s="80">
        <v>96.30352783203125</v>
      </c>
      <c r="X40" s="71">
        <v>20.428239822387695</v>
      </c>
      <c r="Y40" s="71">
        <v>25</v>
      </c>
      <c r="Z40" s="71">
        <v>0</v>
      </c>
      <c r="AA40" s="71">
        <v>14.301216125488281</v>
      </c>
      <c r="AB40" s="71">
        <v>61.984596252441406</v>
      </c>
      <c r="AC40" s="71">
        <v>50</v>
      </c>
      <c r="AD40" s="71">
        <v>123.79341125488281</v>
      </c>
      <c r="AE40" s="58">
        <v>16.259765625</v>
      </c>
      <c r="AF40" s="58">
        <v>20.22569465637207</v>
      </c>
      <c r="AG40" s="58"/>
      <c r="AH40" s="58">
        <v>0</v>
      </c>
      <c r="AI40" s="58">
        <v>0</v>
      </c>
      <c r="AJ40" s="58">
        <v>0</v>
      </c>
      <c r="AK40" s="58">
        <v>86.24131774902344</v>
      </c>
      <c r="AL40" s="59">
        <v>54.328704833984375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14">
        <v>0.41666666666666702</v>
      </c>
      <c r="C41" s="54">
        <v>0</v>
      </c>
      <c r="D41" s="54">
        <v>0</v>
      </c>
      <c r="E41" s="54">
        <v>51.67824172973633</v>
      </c>
      <c r="F41" s="54"/>
      <c r="G41" s="54"/>
      <c r="H41" s="54">
        <v>0</v>
      </c>
      <c r="I41" s="54">
        <v>0</v>
      </c>
      <c r="J41" s="54">
        <v>24.947555541992188</v>
      </c>
      <c r="K41" s="54">
        <v>40</v>
      </c>
      <c r="L41" s="54">
        <v>48.213253021240234</v>
      </c>
      <c r="M41" s="54">
        <v>0</v>
      </c>
      <c r="N41" s="54">
        <v>0</v>
      </c>
      <c r="O41" s="54">
        <v>27.61501693725586</v>
      </c>
      <c r="P41" s="54">
        <v>0.05000000074505806</v>
      </c>
      <c r="Q41" s="54">
        <v>0.2000868022441864</v>
      </c>
      <c r="R41" s="54">
        <v>0.00020581817079801112</v>
      </c>
      <c r="S41" s="54">
        <v>0</v>
      </c>
      <c r="T41" s="54">
        <v>0</v>
      </c>
      <c r="U41" s="71">
        <v>0</v>
      </c>
      <c r="V41" s="79">
        <v>0</v>
      </c>
      <c r="W41" s="80">
        <v>89.9920425415039</v>
      </c>
      <c r="X41" s="71">
        <v>18.70659637451172</v>
      </c>
      <c r="Y41" s="71">
        <v>50</v>
      </c>
      <c r="Z41" s="71">
        <v>123.87153625488281</v>
      </c>
      <c r="AA41" s="71">
        <v>20.106338500976562</v>
      </c>
      <c r="AB41" s="71">
        <v>20.350479125976562</v>
      </c>
      <c r="AC41" s="71">
        <v>50</v>
      </c>
      <c r="AD41" s="71">
        <v>123.79341125488281</v>
      </c>
      <c r="AE41" s="58">
        <v>16.26519012451172</v>
      </c>
      <c r="AF41" s="58">
        <v>73.78472900390625</v>
      </c>
      <c r="AG41" s="58"/>
      <c r="AH41" s="58">
        <v>0</v>
      </c>
      <c r="AI41" s="58">
        <v>2.2389323711395264</v>
      </c>
      <c r="AJ41" s="58">
        <v>9.899425640469417E-05</v>
      </c>
      <c r="AK41" s="58">
        <v>86.26301574707031</v>
      </c>
      <c r="AL41" s="59">
        <v>54.49074172973633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0.45833333333333298</v>
      </c>
      <c r="C42" s="54">
        <v>0</v>
      </c>
      <c r="D42" s="54">
        <v>5.3334238145907875E-06</v>
      </c>
      <c r="E42" s="54">
        <v>46.7664909362793</v>
      </c>
      <c r="F42" s="54"/>
      <c r="G42" s="54"/>
      <c r="H42" s="54">
        <v>0</v>
      </c>
      <c r="I42" s="54">
        <v>0</v>
      </c>
      <c r="J42" s="54">
        <v>25.182653427124023</v>
      </c>
      <c r="K42" s="54">
        <v>40</v>
      </c>
      <c r="L42" s="54">
        <v>48.28559112548828</v>
      </c>
      <c r="M42" s="54">
        <v>0</v>
      </c>
      <c r="N42" s="54">
        <v>0</v>
      </c>
      <c r="O42" s="54">
        <v>28.229890823364258</v>
      </c>
      <c r="P42" s="54">
        <v>0.05000000074505806</v>
      </c>
      <c r="Q42" s="54">
        <v>0.19473379850387573</v>
      </c>
      <c r="R42" s="54">
        <v>0.0001917266781674698</v>
      </c>
      <c r="S42" s="54">
        <v>0</v>
      </c>
      <c r="T42" s="54">
        <v>0</v>
      </c>
      <c r="U42" s="71">
        <v>0</v>
      </c>
      <c r="V42" s="79">
        <v>0</v>
      </c>
      <c r="W42" s="80">
        <v>95.3414306640625</v>
      </c>
      <c r="X42" s="71">
        <v>17.010271072387695</v>
      </c>
      <c r="Y42" s="71">
        <v>50</v>
      </c>
      <c r="Z42" s="71">
        <v>123.87153625488281</v>
      </c>
      <c r="AA42" s="71">
        <v>19.7265625</v>
      </c>
      <c r="AB42" s="71">
        <v>20.572917938232422</v>
      </c>
      <c r="AC42" s="71">
        <v>50</v>
      </c>
      <c r="AD42" s="71">
        <v>123.79341125488281</v>
      </c>
      <c r="AE42" s="58">
        <v>19.028501510620117</v>
      </c>
      <c r="AF42" s="58">
        <v>57.394752502441406</v>
      </c>
      <c r="AG42" s="58"/>
      <c r="AH42" s="58">
        <v>0</v>
      </c>
      <c r="AI42" s="58">
        <v>0</v>
      </c>
      <c r="AJ42" s="58">
        <v>0.00014053034828975797</v>
      </c>
      <c r="AK42" s="58">
        <v>86.2774887084961</v>
      </c>
      <c r="AL42" s="59">
        <v>54.49652862548828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14">
        <v>0.5</v>
      </c>
      <c r="C43" s="54">
        <v>0</v>
      </c>
      <c r="D43" s="54">
        <v>6.008148289993187E-08</v>
      </c>
      <c r="E43" s="54">
        <v>36.487266540527344</v>
      </c>
      <c r="F43" s="54"/>
      <c r="G43" s="54"/>
      <c r="H43" s="54">
        <v>0</v>
      </c>
      <c r="I43" s="54">
        <v>0</v>
      </c>
      <c r="J43" s="54">
        <v>25.399667739868164</v>
      </c>
      <c r="K43" s="54">
        <v>40</v>
      </c>
      <c r="L43" s="54">
        <v>49.18077087402344</v>
      </c>
      <c r="M43" s="54">
        <v>0</v>
      </c>
      <c r="N43" s="54">
        <v>0</v>
      </c>
      <c r="O43" s="54">
        <v>28.682003021240234</v>
      </c>
      <c r="P43" s="54">
        <v>0.05000000074505806</v>
      </c>
      <c r="Q43" s="54">
        <v>0.2092013955116272</v>
      </c>
      <c r="R43" s="54">
        <v>0.0002012939512496814</v>
      </c>
      <c r="S43" s="54">
        <v>0</v>
      </c>
      <c r="T43" s="54">
        <v>0</v>
      </c>
      <c r="U43" s="71">
        <v>0</v>
      </c>
      <c r="V43" s="79">
        <v>0</v>
      </c>
      <c r="W43" s="80">
        <v>92.98321533203125</v>
      </c>
      <c r="X43" s="71">
        <v>17.65407943725586</v>
      </c>
      <c r="Y43" s="71">
        <v>45</v>
      </c>
      <c r="Z43" s="71">
        <v>120.50347900390625</v>
      </c>
      <c r="AA43" s="71">
        <v>19.422744750976562</v>
      </c>
      <c r="AB43" s="71">
        <v>20.632596969604492</v>
      </c>
      <c r="AC43" s="71">
        <v>45</v>
      </c>
      <c r="AD43" s="71">
        <v>122.96007537841797</v>
      </c>
      <c r="AE43" s="58">
        <v>20.856842041015625</v>
      </c>
      <c r="AF43" s="58">
        <v>53.298614501953125</v>
      </c>
      <c r="AG43" s="58"/>
      <c r="AH43" s="58">
        <v>0</v>
      </c>
      <c r="AI43" s="58">
        <v>0</v>
      </c>
      <c r="AJ43" s="58">
        <v>0</v>
      </c>
      <c r="AK43" s="58">
        <v>86.2774887084961</v>
      </c>
      <c r="AL43" s="59">
        <v>54.14641571044922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0.54166666666666596</v>
      </c>
      <c r="C44" s="54">
        <v>0</v>
      </c>
      <c r="D44" s="54">
        <v>1.4801025827182457E-06</v>
      </c>
      <c r="E44" s="54">
        <v>49.3055534362793</v>
      </c>
      <c r="F44" s="54"/>
      <c r="G44" s="54"/>
      <c r="H44" s="54">
        <v>0</v>
      </c>
      <c r="I44" s="54">
        <v>0</v>
      </c>
      <c r="J44" s="54">
        <v>25.734230041503906</v>
      </c>
      <c r="K44" s="54">
        <v>40</v>
      </c>
      <c r="L44" s="54">
        <v>49.01801300048828</v>
      </c>
      <c r="M44" s="54">
        <v>0</v>
      </c>
      <c r="N44" s="54">
        <v>0</v>
      </c>
      <c r="O44" s="54">
        <v>29.070817947387695</v>
      </c>
      <c r="P44" s="54">
        <v>0.05000000074505806</v>
      </c>
      <c r="Q44" s="54">
        <v>0.21600115299224854</v>
      </c>
      <c r="R44" s="54">
        <v>0.00021958160505164415</v>
      </c>
      <c r="S44" s="54">
        <v>0</v>
      </c>
      <c r="T44" s="54">
        <v>0</v>
      </c>
      <c r="U44" s="71">
        <v>0</v>
      </c>
      <c r="V44" s="79">
        <v>0</v>
      </c>
      <c r="W44" s="80">
        <v>90.52011108398438</v>
      </c>
      <c r="X44" s="71">
        <v>17.780670166015625</v>
      </c>
      <c r="Y44" s="71">
        <v>45</v>
      </c>
      <c r="Z44" s="71">
        <v>120.30382537841797</v>
      </c>
      <c r="AA44" s="71">
        <v>18.08810806274414</v>
      </c>
      <c r="AB44" s="71">
        <v>20.92013931274414</v>
      </c>
      <c r="AC44" s="71">
        <v>45</v>
      </c>
      <c r="AD44" s="71">
        <v>123.11198425292969</v>
      </c>
      <c r="AE44" s="58">
        <v>22.225839614868164</v>
      </c>
      <c r="AF44" s="58">
        <v>51.009117126464844</v>
      </c>
      <c r="AG44" s="58"/>
      <c r="AH44" s="58">
        <v>0</v>
      </c>
      <c r="AI44" s="58">
        <v>0</v>
      </c>
      <c r="AJ44" s="58">
        <v>0</v>
      </c>
      <c r="AK44" s="58">
        <v>86.29195404052734</v>
      </c>
      <c r="AL44" s="59">
        <v>53.330440521240234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14">
        <v>0.58333333333333304</v>
      </c>
      <c r="C45" s="54">
        <v>0</v>
      </c>
      <c r="D45" s="54">
        <v>1.062154751707567E-06</v>
      </c>
      <c r="E45" s="54">
        <v>39.402488708496094</v>
      </c>
      <c r="F45" s="54"/>
      <c r="G45" s="54"/>
      <c r="H45" s="54">
        <v>0</v>
      </c>
      <c r="I45" s="54">
        <v>0</v>
      </c>
      <c r="J45" s="54">
        <v>26.023582458496094</v>
      </c>
      <c r="K45" s="54">
        <v>40</v>
      </c>
      <c r="L45" s="54">
        <v>48.737701416015625</v>
      </c>
      <c r="M45" s="54">
        <v>0</v>
      </c>
      <c r="N45" s="54">
        <v>0</v>
      </c>
      <c r="O45" s="54">
        <v>29.56814193725586</v>
      </c>
      <c r="P45" s="54">
        <v>0.05000000074505806</v>
      </c>
      <c r="Q45" s="54">
        <v>0.224392369389534</v>
      </c>
      <c r="R45" s="54">
        <v>0.00022062682546675205</v>
      </c>
      <c r="S45" s="54">
        <v>0</v>
      </c>
      <c r="T45" s="54">
        <v>0</v>
      </c>
      <c r="U45" s="71">
        <v>0</v>
      </c>
      <c r="V45" s="79">
        <v>0</v>
      </c>
      <c r="W45" s="80">
        <v>89.2361068725586</v>
      </c>
      <c r="X45" s="71">
        <v>18.19661521911621</v>
      </c>
      <c r="Y45" s="71">
        <v>50</v>
      </c>
      <c r="Z45" s="71">
        <v>123.8758773803711</v>
      </c>
      <c r="AA45" s="71">
        <v>19.97612953186035</v>
      </c>
      <c r="AB45" s="71">
        <v>21.950956344604492</v>
      </c>
      <c r="AC45" s="71">
        <v>50</v>
      </c>
      <c r="AD45" s="71">
        <v>123.78907012939453</v>
      </c>
      <c r="AE45" s="58">
        <v>14.104094505310059</v>
      </c>
      <c r="AF45" s="58">
        <v>83.45269775390625</v>
      </c>
      <c r="AG45" s="58"/>
      <c r="AH45" s="58">
        <v>0</v>
      </c>
      <c r="AI45" s="58">
        <v>0</v>
      </c>
      <c r="AJ45" s="58">
        <v>0</v>
      </c>
      <c r="AK45" s="58">
        <v>86.30280303955078</v>
      </c>
      <c r="AL45" s="59">
        <v>52.552085876464844</v>
      </c>
      <c r="AM45" s="81"/>
      <c r="AN45" s="72">
        <v>0.05999999865889549</v>
      </c>
      <c r="AO45" s="58"/>
      <c r="AP45" s="58"/>
      <c r="AQ45" s="58"/>
      <c r="AR45" s="62"/>
    </row>
    <row r="46" spans="2:44" ht="13.5" customHeight="1" x14ac:dyDescent="0.25">
      <c r="B46" s="14">
        <v>0.625</v>
      </c>
      <c r="C46" s="54">
        <v>0</v>
      </c>
      <c r="D46" s="54">
        <v>3.3497809681648505E-07</v>
      </c>
      <c r="E46" s="54">
        <v>44.83506774902344</v>
      </c>
      <c r="F46" s="54"/>
      <c r="G46" s="54"/>
      <c r="H46" s="54">
        <v>0</v>
      </c>
      <c r="I46" s="54">
        <v>0</v>
      </c>
      <c r="J46" s="54">
        <v>26.294849395751953</v>
      </c>
      <c r="K46" s="54">
        <v>40</v>
      </c>
      <c r="L46" s="54">
        <v>48.62015151977539</v>
      </c>
      <c r="M46" s="54">
        <v>0</v>
      </c>
      <c r="N46" s="54">
        <v>0</v>
      </c>
      <c r="O46" s="54">
        <v>29.748987197875977</v>
      </c>
      <c r="P46" s="54">
        <v>0.05000000074505806</v>
      </c>
      <c r="Q46" s="54">
        <v>0.18865740299224854</v>
      </c>
      <c r="R46" s="54">
        <v>0.0001933593739522621</v>
      </c>
      <c r="S46" s="54">
        <v>0</v>
      </c>
      <c r="T46" s="54">
        <v>0</v>
      </c>
      <c r="U46" s="71">
        <v>0</v>
      </c>
      <c r="V46" s="79">
        <v>0</v>
      </c>
      <c r="W46" s="80">
        <v>94.06828308105469</v>
      </c>
      <c r="X46" s="71">
        <v>17.75173568725586</v>
      </c>
      <c r="Y46" s="71">
        <v>50</v>
      </c>
      <c r="Z46" s="71">
        <v>123.8758773803711</v>
      </c>
      <c r="AA46" s="71">
        <v>15.885416984558105</v>
      </c>
      <c r="AB46" s="71">
        <v>74.57140350341797</v>
      </c>
      <c r="AC46" s="71">
        <v>50</v>
      </c>
      <c r="AD46" s="71">
        <v>123.79341125488281</v>
      </c>
      <c r="AE46" s="58">
        <v>18.024810791015625</v>
      </c>
      <c r="AF46" s="58">
        <v>20.741104125976562</v>
      </c>
      <c r="AG46" s="58"/>
      <c r="AH46" s="58">
        <v>0</v>
      </c>
      <c r="AI46" s="58">
        <v>0</v>
      </c>
      <c r="AJ46" s="58">
        <v>0</v>
      </c>
      <c r="AK46" s="58">
        <v>86.29195404052734</v>
      </c>
      <c r="AL46" s="59">
        <v>51.80266571044922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0.66666666666666596</v>
      </c>
      <c r="C47" s="54">
        <v>0</v>
      </c>
      <c r="D47" s="54">
        <v>0</v>
      </c>
      <c r="E47" s="54">
        <v>49.32725524902344</v>
      </c>
      <c r="F47" s="54"/>
      <c r="G47" s="54"/>
      <c r="H47" s="54">
        <v>0</v>
      </c>
      <c r="I47" s="54">
        <v>0</v>
      </c>
      <c r="J47" s="54">
        <v>26.520906448364258</v>
      </c>
      <c r="K47" s="54">
        <v>40</v>
      </c>
      <c r="L47" s="54">
        <v>48.674407958984375</v>
      </c>
      <c r="M47" s="54">
        <v>0</v>
      </c>
      <c r="N47" s="54">
        <v>0</v>
      </c>
      <c r="O47" s="54">
        <v>30.029296875</v>
      </c>
      <c r="P47" s="54">
        <v>0.05000000074505806</v>
      </c>
      <c r="Q47" s="54">
        <v>0.20760995149612427</v>
      </c>
      <c r="R47" s="54">
        <v>0.0002056045486824587</v>
      </c>
      <c r="S47" s="54">
        <v>0</v>
      </c>
      <c r="T47" s="54">
        <v>0</v>
      </c>
      <c r="U47" s="71">
        <v>0</v>
      </c>
      <c r="V47" s="79">
        <v>0</v>
      </c>
      <c r="W47" s="80">
        <v>94.74464416503906</v>
      </c>
      <c r="X47" s="71">
        <v>19.122539520263672</v>
      </c>
      <c r="Y47" s="71">
        <v>50</v>
      </c>
      <c r="Z47" s="71">
        <v>123.8758773803711</v>
      </c>
      <c r="AA47" s="71">
        <v>17.90364646911621</v>
      </c>
      <c r="AB47" s="71">
        <v>61.53971481323242</v>
      </c>
      <c r="AC47" s="71">
        <v>50</v>
      </c>
      <c r="AD47" s="71">
        <v>123.79341125488281</v>
      </c>
      <c r="AE47" s="58">
        <v>17.324941635131836</v>
      </c>
      <c r="AF47" s="58">
        <v>20.12261390686035</v>
      </c>
      <c r="AG47" s="58"/>
      <c r="AH47" s="58">
        <v>0</v>
      </c>
      <c r="AI47" s="58">
        <v>0</v>
      </c>
      <c r="AJ47" s="58">
        <v>0</v>
      </c>
      <c r="AK47" s="58">
        <v>86.29557037353516</v>
      </c>
      <c r="AL47" s="59">
        <v>51.3859977722168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0.70833333333333304</v>
      </c>
      <c r="C48" s="54">
        <v>0.5755208134651184</v>
      </c>
      <c r="D48" s="54">
        <v>0.0002216455904999748</v>
      </c>
      <c r="E48" s="54">
        <v>49.50810241699219</v>
      </c>
      <c r="F48" s="54"/>
      <c r="G48" s="54"/>
      <c r="H48" s="54">
        <v>0</v>
      </c>
      <c r="I48" s="54">
        <v>0</v>
      </c>
      <c r="J48" s="54">
        <v>26.737918853759766</v>
      </c>
      <c r="K48" s="54">
        <v>40</v>
      </c>
      <c r="L48" s="54">
        <v>48.86429214477539</v>
      </c>
      <c r="M48" s="54">
        <v>0</v>
      </c>
      <c r="N48" s="54">
        <v>0</v>
      </c>
      <c r="O48" s="54">
        <v>30.146846771240234</v>
      </c>
      <c r="P48" s="54">
        <v>0.05000000074505806</v>
      </c>
      <c r="Q48" s="54">
        <v>0.21057581901550293</v>
      </c>
      <c r="R48" s="54">
        <v>0.00020891570602543652</v>
      </c>
      <c r="S48" s="54">
        <v>0</v>
      </c>
      <c r="T48" s="54">
        <v>0</v>
      </c>
      <c r="U48" s="71">
        <v>0</v>
      </c>
      <c r="V48" s="79">
        <v>0</v>
      </c>
      <c r="W48" s="80">
        <v>94.45529174804688</v>
      </c>
      <c r="X48" s="71">
        <v>19.451677322387695</v>
      </c>
      <c r="Y48" s="71">
        <v>50</v>
      </c>
      <c r="Z48" s="71">
        <v>123.8758773803711</v>
      </c>
      <c r="AA48" s="71">
        <v>15.581598281860352</v>
      </c>
      <c r="AB48" s="71">
        <v>54.324005126953125</v>
      </c>
      <c r="AC48" s="71">
        <v>50</v>
      </c>
      <c r="AD48" s="71">
        <v>123.79341125488281</v>
      </c>
      <c r="AE48" s="58">
        <v>17.042823791503906</v>
      </c>
      <c r="AF48" s="58">
        <v>19.74826431274414</v>
      </c>
      <c r="AG48" s="58"/>
      <c r="AH48" s="58">
        <v>0</v>
      </c>
      <c r="AI48" s="58">
        <v>0</v>
      </c>
      <c r="AJ48" s="58">
        <v>0</v>
      </c>
      <c r="AK48" s="58">
        <v>86.2811050415039</v>
      </c>
      <c r="AL48" s="59">
        <v>50.94039535522461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0.75</v>
      </c>
      <c r="C49" s="54">
        <v>0</v>
      </c>
      <c r="D49" s="54">
        <v>9.855747339315712E-05</v>
      </c>
      <c r="E49" s="54">
        <v>61.38599395751953</v>
      </c>
      <c r="F49" s="54"/>
      <c r="G49" s="54"/>
      <c r="H49" s="54">
        <v>0</v>
      </c>
      <c r="I49" s="54">
        <v>0</v>
      </c>
      <c r="J49" s="54">
        <v>26.973018646240234</v>
      </c>
      <c r="K49" s="54">
        <v>40</v>
      </c>
      <c r="L49" s="54">
        <v>50.148292541503906</v>
      </c>
      <c r="M49" s="54">
        <v>0</v>
      </c>
      <c r="N49" s="54">
        <v>0</v>
      </c>
      <c r="O49" s="54">
        <v>30.19205665588379</v>
      </c>
      <c r="P49" s="54">
        <v>0.05000000074505806</v>
      </c>
      <c r="Q49" s="54">
        <v>0.20978009700775146</v>
      </c>
      <c r="R49" s="54">
        <v>0.00020879364456050098</v>
      </c>
      <c r="S49" s="54">
        <v>0</v>
      </c>
      <c r="T49" s="54">
        <v>0</v>
      </c>
      <c r="U49" s="71">
        <v>0</v>
      </c>
      <c r="V49" s="79">
        <v>0</v>
      </c>
      <c r="W49" s="80">
        <v>89.93055725097656</v>
      </c>
      <c r="X49" s="71">
        <v>19.534866333007812</v>
      </c>
      <c r="Y49" s="71">
        <v>15</v>
      </c>
      <c r="Z49" s="71">
        <v>38.6631965637207</v>
      </c>
      <c r="AA49" s="71">
        <v>17.73003578186035</v>
      </c>
      <c r="AB49" s="71">
        <v>52.08876037597656</v>
      </c>
      <c r="AC49" s="71">
        <v>15</v>
      </c>
      <c r="AD49" s="71">
        <v>39.861114501953125</v>
      </c>
      <c r="AE49" s="58">
        <v>16.353805541992188</v>
      </c>
      <c r="AF49" s="58">
        <v>19.13520050048828</v>
      </c>
      <c r="AG49" s="58"/>
      <c r="AH49" s="58">
        <v>0</v>
      </c>
      <c r="AI49" s="58">
        <v>0</v>
      </c>
      <c r="AJ49" s="58">
        <v>0</v>
      </c>
      <c r="AK49" s="58">
        <v>86.26301574707031</v>
      </c>
      <c r="AL49" s="59">
        <v>50.468753814697266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0.79166666666666696</v>
      </c>
      <c r="C50" s="54">
        <v>0</v>
      </c>
      <c r="D50" s="54">
        <v>8.261442417278886E-06</v>
      </c>
      <c r="E50" s="54">
        <v>55.39641189575195</v>
      </c>
      <c r="F50" s="54"/>
      <c r="G50" s="54"/>
      <c r="H50" s="54">
        <v>0</v>
      </c>
      <c r="I50" s="54">
        <v>0</v>
      </c>
      <c r="J50" s="54">
        <v>27.081523895263672</v>
      </c>
      <c r="K50" s="54">
        <v>40</v>
      </c>
      <c r="L50" s="54">
        <v>51.03443145751953</v>
      </c>
      <c r="M50" s="54">
        <v>0</v>
      </c>
      <c r="N50" s="54">
        <v>0</v>
      </c>
      <c r="O50" s="54">
        <v>30.029296875</v>
      </c>
      <c r="P50" s="54">
        <v>0.05000000074505806</v>
      </c>
      <c r="Q50" s="54">
        <v>0.15813079476356506</v>
      </c>
      <c r="R50" s="54">
        <v>0.00014031220052856952</v>
      </c>
      <c r="S50" s="54">
        <v>0</v>
      </c>
      <c r="T50" s="54">
        <v>0</v>
      </c>
      <c r="U50" s="71">
        <v>0</v>
      </c>
      <c r="V50" s="79">
        <v>0</v>
      </c>
      <c r="W50" s="80">
        <v>93.78254699707031</v>
      </c>
      <c r="X50" s="71">
        <v>18.31597137451172</v>
      </c>
      <c r="Y50" s="71">
        <v>50</v>
      </c>
      <c r="Z50" s="71">
        <v>123.87153625488281</v>
      </c>
      <c r="AA50" s="71">
        <v>18.728300094604492</v>
      </c>
      <c r="AB50" s="71">
        <v>51.388893127441406</v>
      </c>
      <c r="AC50" s="71">
        <v>50</v>
      </c>
      <c r="AD50" s="71">
        <v>123.78907012939453</v>
      </c>
      <c r="AE50" s="58">
        <v>15.751590728759766</v>
      </c>
      <c r="AF50" s="58">
        <v>18.641494750976562</v>
      </c>
      <c r="AG50" s="58"/>
      <c r="AH50" s="58">
        <v>0</v>
      </c>
      <c r="AI50" s="58">
        <v>0</v>
      </c>
      <c r="AJ50" s="58">
        <v>0</v>
      </c>
      <c r="AK50" s="58">
        <v>86.24855041503906</v>
      </c>
      <c r="AL50" s="59">
        <v>50.08391571044922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14">
        <v>0.83333333333333304</v>
      </c>
      <c r="C51" s="63">
        <v>0</v>
      </c>
      <c r="D51" s="63">
        <v>2.70533564616926E-06</v>
      </c>
      <c r="E51" s="63">
        <v>50.96932601928711</v>
      </c>
      <c r="F51" s="63"/>
      <c r="G51" s="63"/>
      <c r="H51" s="63">
        <v>0</v>
      </c>
      <c r="I51" s="63">
        <v>0</v>
      </c>
      <c r="J51" s="63">
        <v>27.20811653137207</v>
      </c>
      <c r="K51" s="63">
        <v>40</v>
      </c>
      <c r="L51" s="63">
        <v>50.437644958496094</v>
      </c>
      <c r="M51" s="63">
        <v>0</v>
      </c>
      <c r="N51" s="63">
        <v>0</v>
      </c>
      <c r="O51" s="63">
        <v>29.81228256225586</v>
      </c>
      <c r="P51" s="63">
        <v>0.05000000074505806</v>
      </c>
      <c r="Q51" s="63">
        <v>0.19762732088565826</v>
      </c>
      <c r="R51" s="63">
        <v>0.0001599121023900807</v>
      </c>
      <c r="S51" s="63">
        <v>0</v>
      </c>
      <c r="T51" s="63">
        <v>0</v>
      </c>
      <c r="U51" s="74">
        <v>0</v>
      </c>
      <c r="V51" s="82">
        <v>0</v>
      </c>
      <c r="W51" s="83">
        <v>99.32363891601562</v>
      </c>
      <c r="X51" s="74">
        <v>18.569154739379883</v>
      </c>
      <c r="Y51" s="74">
        <v>50</v>
      </c>
      <c r="Z51" s="74">
        <v>0</v>
      </c>
      <c r="AA51" s="74">
        <v>19.12434959411621</v>
      </c>
      <c r="AB51" s="74">
        <v>50.667320251464844</v>
      </c>
      <c r="AC51" s="74">
        <v>50</v>
      </c>
      <c r="AD51" s="74">
        <v>123.79341125488281</v>
      </c>
      <c r="AE51" s="67">
        <v>15.006509780883789</v>
      </c>
      <c r="AF51" s="67">
        <v>17.87109375</v>
      </c>
      <c r="AG51" s="67">
        <v>172.72000122070312</v>
      </c>
      <c r="AH51" s="67">
        <v>0</v>
      </c>
      <c r="AI51" s="67">
        <v>0</v>
      </c>
      <c r="AJ51" s="67">
        <v>0</v>
      </c>
      <c r="AK51" s="67">
        <v>86.23408508300781</v>
      </c>
      <c r="AL51" s="68">
        <v>49.75405502319336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47" t="s">
        <v>372</v>
      </c>
      <c r="C52" s="148"/>
      <c r="D52" s="9" t="s">
        <v>19</v>
      </c>
      <c r="E52" s="124" t="s">
        <v>20</v>
      </c>
      <c r="F52" s="127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9"/>
      <c r="AP52" s="129"/>
      <c r="AQ52" s="129"/>
      <c r="AR52" s="130"/>
    </row>
    <row r="53" spans="2:44" ht="13.5" customHeight="1" x14ac:dyDescent="0.25">
      <c r="B53" s="123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31"/>
      <c r="AP53" s="131"/>
      <c r="AQ53" s="131"/>
      <c r="AR53" s="132"/>
    </row>
    <row r="54" spans="2:44" ht="13.5" customHeight="1" thickBot="1" x14ac:dyDescent="0.3">
      <c r="B54" s="135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33"/>
      <c r="AP54" s="133"/>
      <c r="AQ54" s="133"/>
      <c r="AR54" s="134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50" t="s">
        <v>230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</row>
    <row r="2" spans="2:58" ht="13" customHeight="1" x14ac:dyDescent="0.25">
      <c r="B2" s="197" t="s">
        <v>232</v>
      </c>
      <c r="C2" s="160"/>
      <c r="D2" s="160"/>
      <c r="E2" s="160"/>
      <c r="F2" s="160"/>
      <c r="G2" s="160"/>
      <c r="H2" s="160"/>
      <c r="I2" s="160"/>
      <c r="J2" s="160"/>
      <c r="K2" s="160"/>
      <c r="L2" s="165"/>
      <c r="M2" s="198" t="s">
        <v>231</v>
      </c>
      <c r="N2" s="160"/>
      <c r="O2" s="160"/>
      <c r="P2" s="160"/>
      <c r="Q2" s="160"/>
      <c r="R2" s="160"/>
      <c r="S2" s="160"/>
      <c r="T2" s="160"/>
      <c r="U2" s="160"/>
      <c r="V2" s="160"/>
      <c r="W2" s="165"/>
      <c r="X2" s="110" t="s">
        <v>233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5"/>
      <c r="AI2" s="198" t="s">
        <v>234</v>
      </c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5"/>
      <c r="AU2" s="110" t="s">
        <v>235</v>
      </c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99"/>
    </row>
    <row r="3" spans="2:58" ht="13" customHeight="1" x14ac:dyDescent="0.25">
      <c r="B3" s="201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204"/>
      <c r="N3" s="185"/>
      <c r="O3" s="185"/>
      <c r="P3" s="185"/>
      <c r="Q3" s="185"/>
      <c r="R3" s="185"/>
      <c r="S3" s="185"/>
      <c r="T3" s="185"/>
      <c r="U3" s="185"/>
      <c r="V3" s="185"/>
      <c r="W3" s="186"/>
      <c r="X3" s="192"/>
      <c r="Y3" s="185"/>
      <c r="Z3" s="185"/>
      <c r="AA3" s="185"/>
      <c r="AB3" s="185"/>
      <c r="AC3" s="185"/>
      <c r="AD3" s="185"/>
      <c r="AE3" s="185"/>
      <c r="AF3" s="185"/>
      <c r="AG3" s="185"/>
      <c r="AH3" s="186"/>
      <c r="AI3" s="214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6"/>
      <c r="AU3" s="192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94"/>
    </row>
    <row r="4" spans="2:58" ht="13" customHeight="1" x14ac:dyDescent="0.25">
      <c r="B4" s="202"/>
      <c r="C4" s="188"/>
      <c r="D4" s="188"/>
      <c r="E4" s="188"/>
      <c r="F4" s="188"/>
      <c r="G4" s="188"/>
      <c r="H4" s="188"/>
      <c r="I4" s="188"/>
      <c r="J4" s="188"/>
      <c r="K4" s="188"/>
      <c r="L4" s="189"/>
      <c r="M4" s="187"/>
      <c r="N4" s="188"/>
      <c r="O4" s="188"/>
      <c r="P4" s="188"/>
      <c r="Q4" s="188"/>
      <c r="R4" s="188"/>
      <c r="S4" s="188"/>
      <c r="T4" s="188"/>
      <c r="U4" s="188"/>
      <c r="V4" s="188"/>
      <c r="W4" s="189"/>
      <c r="X4" s="187"/>
      <c r="Y4" s="188"/>
      <c r="Z4" s="188"/>
      <c r="AA4" s="188"/>
      <c r="AB4" s="188"/>
      <c r="AC4" s="188"/>
      <c r="AD4" s="188"/>
      <c r="AE4" s="188"/>
      <c r="AF4" s="188"/>
      <c r="AG4" s="188"/>
      <c r="AH4" s="189"/>
      <c r="AI4" s="187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9"/>
      <c r="AU4" s="187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95"/>
    </row>
    <row r="5" spans="2:58" ht="13" customHeight="1" x14ac:dyDescent="0.25">
      <c r="B5" s="202"/>
      <c r="C5" s="188"/>
      <c r="D5" s="188"/>
      <c r="E5" s="188"/>
      <c r="F5" s="188"/>
      <c r="G5" s="188"/>
      <c r="H5" s="188"/>
      <c r="I5" s="188"/>
      <c r="J5" s="188"/>
      <c r="K5" s="188"/>
      <c r="L5" s="189"/>
      <c r="M5" s="187"/>
      <c r="N5" s="188"/>
      <c r="O5" s="188"/>
      <c r="P5" s="188"/>
      <c r="Q5" s="188"/>
      <c r="R5" s="188"/>
      <c r="S5" s="188"/>
      <c r="T5" s="188"/>
      <c r="U5" s="188"/>
      <c r="V5" s="188"/>
      <c r="W5" s="189"/>
      <c r="X5" s="187"/>
      <c r="Y5" s="188"/>
      <c r="Z5" s="188"/>
      <c r="AA5" s="188"/>
      <c r="AB5" s="188"/>
      <c r="AC5" s="188"/>
      <c r="AD5" s="188"/>
      <c r="AE5" s="188"/>
      <c r="AF5" s="188"/>
      <c r="AG5" s="188"/>
      <c r="AH5" s="189"/>
      <c r="AI5" s="187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9"/>
      <c r="AU5" s="187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95"/>
    </row>
    <row r="6" spans="2:58" ht="13" customHeight="1" x14ac:dyDescent="0.25">
      <c r="B6" s="202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87"/>
      <c r="N6" s="188"/>
      <c r="O6" s="188"/>
      <c r="P6" s="188"/>
      <c r="Q6" s="188"/>
      <c r="R6" s="188"/>
      <c r="S6" s="188"/>
      <c r="T6" s="188"/>
      <c r="U6" s="188"/>
      <c r="V6" s="188"/>
      <c r="W6" s="189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87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9"/>
      <c r="AU6" s="187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95"/>
    </row>
    <row r="7" spans="2:58" ht="13" customHeight="1" x14ac:dyDescent="0.25">
      <c r="B7" s="202"/>
      <c r="C7" s="188"/>
      <c r="D7" s="188"/>
      <c r="E7" s="188"/>
      <c r="F7" s="188"/>
      <c r="G7" s="188"/>
      <c r="H7" s="188"/>
      <c r="I7" s="188"/>
      <c r="J7" s="188"/>
      <c r="K7" s="188"/>
      <c r="L7" s="189"/>
      <c r="M7" s="187"/>
      <c r="N7" s="188"/>
      <c r="O7" s="188"/>
      <c r="P7" s="188"/>
      <c r="Q7" s="188"/>
      <c r="R7" s="188"/>
      <c r="S7" s="188"/>
      <c r="T7" s="188"/>
      <c r="U7" s="188"/>
      <c r="V7" s="188"/>
      <c r="W7" s="189"/>
      <c r="X7" s="187"/>
      <c r="Y7" s="188"/>
      <c r="Z7" s="188"/>
      <c r="AA7" s="188"/>
      <c r="AB7" s="188"/>
      <c r="AC7" s="188"/>
      <c r="AD7" s="188"/>
      <c r="AE7" s="188"/>
      <c r="AF7" s="188"/>
      <c r="AG7" s="188"/>
      <c r="AH7" s="189"/>
      <c r="AI7" s="187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9"/>
      <c r="AU7" s="187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95"/>
    </row>
    <row r="8" spans="2:58" ht="13" customHeight="1" x14ac:dyDescent="0.25">
      <c r="B8" s="202"/>
      <c r="C8" s="188"/>
      <c r="D8" s="188"/>
      <c r="E8" s="188"/>
      <c r="F8" s="188"/>
      <c r="G8" s="188"/>
      <c r="H8" s="188"/>
      <c r="I8" s="188"/>
      <c r="J8" s="188"/>
      <c r="K8" s="188"/>
      <c r="L8" s="189"/>
      <c r="M8" s="187"/>
      <c r="N8" s="188"/>
      <c r="O8" s="188"/>
      <c r="P8" s="188"/>
      <c r="Q8" s="188"/>
      <c r="R8" s="188"/>
      <c r="S8" s="188"/>
      <c r="T8" s="188"/>
      <c r="U8" s="188"/>
      <c r="V8" s="188"/>
      <c r="W8" s="189"/>
      <c r="X8" s="187"/>
      <c r="Y8" s="188"/>
      <c r="Z8" s="188"/>
      <c r="AA8" s="188"/>
      <c r="AB8" s="188"/>
      <c r="AC8" s="188"/>
      <c r="AD8" s="188"/>
      <c r="AE8" s="188"/>
      <c r="AF8" s="188"/>
      <c r="AG8" s="188"/>
      <c r="AH8" s="189"/>
      <c r="AI8" s="187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9"/>
      <c r="AU8" s="187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95"/>
    </row>
    <row r="9" spans="2:58" ht="13" customHeight="1" x14ac:dyDescent="0.25">
      <c r="B9" s="203"/>
      <c r="C9" s="191"/>
      <c r="D9" s="191"/>
      <c r="E9" s="191"/>
      <c r="F9" s="191"/>
      <c r="G9" s="191"/>
      <c r="H9" s="191"/>
      <c r="I9" s="191"/>
      <c r="J9" s="191"/>
      <c r="K9" s="191"/>
      <c r="L9" s="148"/>
      <c r="M9" s="190"/>
      <c r="N9" s="191"/>
      <c r="O9" s="191"/>
      <c r="P9" s="191"/>
      <c r="Q9" s="191"/>
      <c r="R9" s="191"/>
      <c r="S9" s="191"/>
      <c r="T9" s="191"/>
      <c r="U9" s="191"/>
      <c r="V9" s="191"/>
      <c r="W9" s="148"/>
      <c r="X9" s="190"/>
      <c r="Y9" s="191"/>
      <c r="Z9" s="191"/>
      <c r="AA9" s="191"/>
      <c r="AB9" s="191"/>
      <c r="AC9" s="191"/>
      <c r="AD9" s="191"/>
      <c r="AE9" s="191"/>
      <c r="AF9" s="191"/>
      <c r="AG9" s="191"/>
      <c r="AH9" s="148"/>
      <c r="AI9" s="190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48"/>
      <c r="AU9" s="190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6"/>
    </row>
    <row r="10" spans="2:58" ht="13" customHeight="1" x14ac:dyDescent="0.25">
      <c r="B10" s="180" t="s">
        <v>236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49"/>
      <c r="M10" s="200" t="s">
        <v>237</v>
      </c>
      <c r="N10" s="178"/>
      <c r="O10" s="178"/>
      <c r="P10" s="178"/>
      <c r="Q10" s="178"/>
      <c r="R10" s="178"/>
      <c r="S10" s="178"/>
      <c r="T10" s="178"/>
      <c r="U10" s="178"/>
      <c r="V10" s="178"/>
      <c r="W10" s="149"/>
      <c r="X10" s="155" t="s">
        <v>238</v>
      </c>
      <c r="Y10" s="178"/>
      <c r="Z10" s="178"/>
      <c r="AA10" s="178"/>
      <c r="AB10" s="178"/>
      <c r="AC10" s="178"/>
      <c r="AD10" s="178"/>
      <c r="AE10" s="178"/>
      <c r="AF10" s="178"/>
      <c r="AG10" s="178"/>
      <c r="AH10" s="149"/>
      <c r="AI10" s="155" t="s">
        <v>239</v>
      </c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49"/>
      <c r="AU10" s="131" t="s">
        <v>240</v>
      </c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82"/>
    </row>
    <row r="11" spans="2:58" ht="13" customHeight="1" x14ac:dyDescent="0.25">
      <c r="B11" s="201"/>
      <c r="C11" s="185"/>
      <c r="D11" s="185"/>
      <c r="E11" s="185"/>
      <c r="F11" s="185"/>
      <c r="G11" s="185"/>
      <c r="H11" s="185"/>
      <c r="I11" s="185"/>
      <c r="J11" s="185"/>
      <c r="K11" s="185"/>
      <c r="L11" s="186"/>
      <c r="M11" s="204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04"/>
      <c r="Y11" s="185"/>
      <c r="Z11" s="185"/>
      <c r="AA11" s="185"/>
      <c r="AB11" s="185"/>
      <c r="AC11" s="185"/>
      <c r="AD11" s="185"/>
      <c r="AE11" s="185"/>
      <c r="AF11" s="185"/>
      <c r="AG11" s="185"/>
      <c r="AH11" s="186"/>
      <c r="AI11" s="204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6"/>
      <c r="AU11" s="193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94"/>
    </row>
    <row r="12" spans="2:58" ht="13" customHeight="1" x14ac:dyDescent="0.25">
      <c r="B12" s="202"/>
      <c r="C12" s="188"/>
      <c r="D12" s="188"/>
      <c r="E12" s="188"/>
      <c r="F12" s="188"/>
      <c r="G12" s="188"/>
      <c r="H12" s="188"/>
      <c r="I12" s="188"/>
      <c r="J12" s="188"/>
      <c r="K12" s="188"/>
      <c r="L12" s="189"/>
      <c r="M12" s="187"/>
      <c r="N12" s="188"/>
      <c r="O12" s="188"/>
      <c r="P12" s="188"/>
      <c r="Q12" s="188"/>
      <c r="R12" s="188"/>
      <c r="S12" s="188"/>
      <c r="T12" s="188"/>
      <c r="U12" s="188"/>
      <c r="V12" s="188"/>
      <c r="W12" s="189"/>
      <c r="X12" s="187"/>
      <c r="Y12" s="188"/>
      <c r="Z12" s="188"/>
      <c r="AA12" s="188"/>
      <c r="AB12" s="188"/>
      <c r="AC12" s="188"/>
      <c r="AD12" s="188"/>
      <c r="AE12" s="188"/>
      <c r="AF12" s="188"/>
      <c r="AG12" s="188"/>
      <c r="AH12" s="189"/>
      <c r="AI12" s="187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9"/>
      <c r="AU12" s="187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95"/>
    </row>
    <row r="13" spans="2:58" ht="13" customHeight="1" x14ac:dyDescent="0.25">
      <c r="B13" s="202"/>
      <c r="C13" s="188"/>
      <c r="D13" s="188"/>
      <c r="E13" s="188"/>
      <c r="F13" s="188"/>
      <c r="G13" s="188"/>
      <c r="H13" s="188"/>
      <c r="I13" s="188"/>
      <c r="J13" s="188"/>
      <c r="K13" s="188"/>
      <c r="L13" s="189"/>
      <c r="M13" s="187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87"/>
      <c r="Y13" s="188"/>
      <c r="Z13" s="188"/>
      <c r="AA13" s="188"/>
      <c r="AB13" s="188"/>
      <c r="AC13" s="188"/>
      <c r="AD13" s="188"/>
      <c r="AE13" s="188"/>
      <c r="AF13" s="188"/>
      <c r="AG13" s="188"/>
      <c r="AH13" s="189"/>
      <c r="AI13" s="187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9"/>
      <c r="AU13" s="187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95"/>
    </row>
    <row r="14" spans="2:58" ht="13" customHeight="1" x14ac:dyDescent="0.25">
      <c r="B14" s="202"/>
      <c r="C14" s="188"/>
      <c r="D14" s="188"/>
      <c r="E14" s="188"/>
      <c r="F14" s="188"/>
      <c r="G14" s="188"/>
      <c r="H14" s="188"/>
      <c r="I14" s="188"/>
      <c r="J14" s="188"/>
      <c r="K14" s="188"/>
      <c r="L14" s="189"/>
      <c r="M14" s="187"/>
      <c r="N14" s="188"/>
      <c r="O14" s="188"/>
      <c r="P14" s="188"/>
      <c r="Q14" s="188"/>
      <c r="R14" s="188"/>
      <c r="S14" s="188"/>
      <c r="T14" s="188"/>
      <c r="U14" s="188"/>
      <c r="V14" s="188"/>
      <c r="W14" s="189"/>
      <c r="X14" s="187"/>
      <c r="Y14" s="188"/>
      <c r="Z14" s="188"/>
      <c r="AA14" s="188"/>
      <c r="AB14" s="188"/>
      <c r="AC14" s="188"/>
      <c r="AD14" s="188"/>
      <c r="AE14" s="188"/>
      <c r="AF14" s="188"/>
      <c r="AG14" s="188"/>
      <c r="AH14" s="189"/>
      <c r="AI14" s="187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9"/>
      <c r="AU14" s="187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95"/>
    </row>
    <row r="15" spans="2:58" ht="13" customHeight="1" x14ac:dyDescent="0.25">
      <c r="B15" s="202"/>
      <c r="C15" s="188"/>
      <c r="D15" s="188"/>
      <c r="E15" s="188"/>
      <c r="F15" s="188"/>
      <c r="G15" s="188"/>
      <c r="H15" s="188"/>
      <c r="I15" s="188"/>
      <c r="J15" s="188"/>
      <c r="K15" s="188"/>
      <c r="L15" s="189"/>
      <c r="M15" s="187"/>
      <c r="N15" s="188"/>
      <c r="O15" s="188"/>
      <c r="P15" s="188"/>
      <c r="Q15" s="188"/>
      <c r="R15" s="188"/>
      <c r="S15" s="188"/>
      <c r="T15" s="188"/>
      <c r="U15" s="188"/>
      <c r="V15" s="188"/>
      <c r="W15" s="189"/>
      <c r="X15" s="187"/>
      <c r="Y15" s="188"/>
      <c r="Z15" s="188"/>
      <c r="AA15" s="188"/>
      <c r="AB15" s="188"/>
      <c r="AC15" s="188"/>
      <c r="AD15" s="188"/>
      <c r="AE15" s="188"/>
      <c r="AF15" s="188"/>
      <c r="AG15" s="188"/>
      <c r="AH15" s="189"/>
      <c r="AI15" s="187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9"/>
      <c r="AU15" s="187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95"/>
    </row>
    <row r="16" spans="2:58" ht="13" customHeight="1" x14ac:dyDescent="0.25">
      <c r="B16" s="202"/>
      <c r="C16" s="188"/>
      <c r="D16" s="188"/>
      <c r="E16" s="188"/>
      <c r="F16" s="188"/>
      <c r="G16" s="188"/>
      <c r="H16" s="188"/>
      <c r="I16" s="188"/>
      <c r="J16" s="188"/>
      <c r="K16" s="188"/>
      <c r="L16" s="189"/>
      <c r="M16" s="187"/>
      <c r="N16" s="188"/>
      <c r="O16" s="188"/>
      <c r="P16" s="188"/>
      <c r="Q16" s="188"/>
      <c r="R16" s="188"/>
      <c r="S16" s="188"/>
      <c r="T16" s="188"/>
      <c r="U16" s="188"/>
      <c r="V16" s="188"/>
      <c r="W16" s="189"/>
      <c r="X16" s="187"/>
      <c r="Y16" s="188"/>
      <c r="Z16" s="188"/>
      <c r="AA16" s="188"/>
      <c r="AB16" s="188"/>
      <c r="AC16" s="188"/>
      <c r="AD16" s="188"/>
      <c r="AE16" s="188"/>
      <c r="AF16" s="188"/>
      <c r="AG16" s="188"/>
      <c r="AH16" s="189"/>
      <c r="AI16" s="187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9"/>
      <c r="AU16" s="187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95"/>
    </row>
    <row r="17" spans="2:58" ht="13" customHeight="1" x14ac:dyDescent="0.25">
      <c r="B17" s="203"/>
      <c r="C17" s="191"/>
      <c r="D17" s="191"/>
      <c r="E17" s="191"/>
      <c r="F17" s="191"/>
      <c r="G17" s="191"/>
      <c r="H17" s="191"/>
      <c r="I17" s="191"/>
      <c r="J17" s="191"/>
      <c r="K17" s="191"/>
      <c r="L17" s="148"/>
      <c r="M17" s="190"/>
      <c r="N17" s="191"/>
      <c r="O17" s="191"/>
      <c r="P17" s="191"/>
      <c r="Q17" s="191"/>
      <c r="R17" s="191"/>
      <c r="S17" s="191"/>
      <c r="T17" s="191"/>
      <c r="U17" s="191"/>
      <c r="V17" s="191"/>
      <c r="W17" s="148"/>
      <c r="X17" s="190"/>
      <c r="Y17" s="191"/>
      <c r="Z17" s="191"/>
      <c r="AA17" s="191"/>
      <c r="AB17" s="191"/>
      <c r="AC17" s="191"/>
      <c r="AD17" s="191"/>
      <c r="AE17" s="191"/>
      <c r="AF17" s="191"/>
      <c r="AG17" s="191"/>
      <c r="AH17" s="148"/>
      <c r="AI17" s="190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48"/>
      <c r="AU17" s="190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6"/>
    </row>
    <row r="18" spans="2:58" ht="13" customHeight="1" x14ac:dyDescent="0.25">
      <c r="B18" s="180" t="s">
        <v>241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213" t="s">
        <v>242</v>
      </c>
      <c r="N18" s="178"/>
      <c r="O18" s="178"/>
      <c r="P18" s="178"/>
      <c r="Q18" s="178"/>
      <c r="R18" s="178"/>
      <c r="S18" s="178"/>
      <c r="T18" s="178"/>
      <c r="U18" s="178"/>
      <c r="V18" s="178"/>
      <c r="W18" s="149"/>
      <c r="X18" s="212" t="s">
        <v>243</v>
      </c>
      <c r="Y18" s="178"/>
      <c r="Z18" s="178"/>
      <c r="AA18" s="178"/>
      <c r="AB18" s="178"/>
      <c r="AC18" s="178"/>
      <c r="AD18" s="178"/>
      <c r="AE18" s="178"/>
      <c r="AF18" s="178"/>
      <c r="AG18" s="178"/>
      <c r="AH18" s="149"/>
      <c r="AI18" s="117" t="s">
        <v>244</v>
      </c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49"/>
      <c r="AU18" s="131" t="s">
        <v>245</v>
      </c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82"/>
    </row>
    <row r="19" spans="2:58" ht="13" customHeight="1" x14ac:dyDescent="0.25">
      <c r="B19" s="201"/>
      <c r="C19" s="185"/>
      <c r="D19" s="185"/>
      <c r="E19" s="185"/>
      <c r="F19" s="185"/>
      <c r="G19" s="185"/>
      <c r="H19" s="185"/>
      <c r="I19" s="185"/>
      <c r="J19" s="185"/>
      <c r="K19" s="185"/>
      <c r="L19" s="186"/>
      <c r="M19" s="215"/>
      <c r="N19" s="185"/>
      <c r="O19" s="185"/>
      <c r="P19" s="185"/>
      <c r="Q19" s="185"/>
      <c r="R19" s="185"/>
      <c r="S19" s="185"/>
      <c r="T19" s="185"/>
      <c r="U19" s="185"/>
      <c r="V19" s="185"/>
      <c r="W19" s="186"/>
      <c r="X19" s="184"/>
      <c r="Y19" s="185"/>
      <c r="Z19" s="185"/>
      <c r="AA19" s="185"/>
      <c r="AB19" s="185"/>
      <c r="AC19" s="185"/>
      <c r="AD19" s="185"/>
      <c r="AE19" s="185"/>
      <c r="AF19" s="185"/>
      <c r="AG19" s="185"/>
      <c r="AH19" s="186"/>
      <c r="AI19" s="192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6"/>
      <c r="AU19" s="193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94"/>
    </row>
    <row r="20" spans="2:58" ht="13" customHeight="1" x14ac:dyDescent="0.25">
      <c r="B20" s="202"/>
      <c r="C20" s="188"/>
      <c r="D20" s="188"/>
      <c r="E20" s="188"/>
      <c r="F20" s="188"/>
      <c r="G20" s="188"/>
      <c r="H20" s="188"/>
      <c r="I20" s="188"/>
      <c r="J20" s="188"/>
      <c r="K20" s="188"/>
      <c r="L20" s="189"/>
      <c r="M20" s="187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187"/>
      <c r="Y20" s="188"/>
      <c r="Z20" s="188"/>
      <c r="AA20" s="188"/>
      <c r="AB20" s="188"/>
      <c r="AC20" s="188"/>
      <c r="AD20" s="188"/>
      <c r="AE20" s="188"/>
      <c r="AF20" s="188"/>
      <c r="AG20" s="188"/>
      <c r="AH20" s="189"/>
      <c r="AI20" s="187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9"/>
      <c r="AU20" s="187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95"/>
    </row>
    <row r="21" spans="2:58" ht="13" customHeight="1" x14ac:dyDescent="0.25">
      <c r="B21" s="202"/>
      <c r="C21" s="188"/>
      <c r="D21" s="188"/>
      <c r="E21" s="188"/>
      <c r="F21" s="188"/>
      <c r="G21" s="188"/>
      <c r="H21" s="188"/>
      <c r="I21" s="188"/>
      <c r="J21" s="188"/>
      <c r="K21" s="188"/>
      <c r="L21" s="189"/>
      <c r="M21" s="187"/>
      <c r="N21" s="188"/>
      <c r="O21" s="188"/>
      <c r="P21" s="188"/>
      <c r="Q21" s="188"/>
      <c r="R21" s="188"/>
      <c r="S21" s="188"/>
      <c r="T21" s="188"/>
      <c r="U21" s="188"/>
      <c r="V21" s="188"/>
      <c r="W21" s="189"/>
      <c r="X21" s="187"/>
      <c r="Y21" s="188"/>
      <c r="Z21" s="188"/>
      <c r="AA21" s="188"/>
      <c r="AB21" s="188"/>
      <c r="AC21" s="188"/>
      <c r="AD21" s="188"/>
      <c r="AE21" s="188"/>
      <c r="AF21" s="188"/>
      <c r="AG21" s="188"/>
      <c r="AH21" s="189"/>
      <c r="AI21" s="187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9"/>
      <c r="AU21" s="187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95"/>
    </row>
    <row r="22" spans="2:58" ht="13" customHeight="1" x14ac:dyDescent="0.25">
      <c r="B22" s="202"/>
      <c r="C22" s="188"/>
      <c r="D22" s="188"/>
      <c r="E22" s="188"/>
      <c r="F22" s="188"/>
      <c r="G22" s="188"/>
      <c r="H22" s="188"/>
      <c r="I22" s="188"/>
      <c r="J22" s="188"/>
      <c r="K22" s="188"/>
      <c r="L22" s="189"/>
      <c r="M22" s="187"/>
      <c r="N22" s="188"/>
      <c r="O22" s="188"/>
      <c r="P22" s="188"/>
      <c r="Q22" s="188"/>
      <c r="R22" s="188"/>
      <c r="S22" s="188"/>
      <c r="T22" s="188"/>
      <c r="U22" s="188"/>
      <c r="V22" s="188"/>
      <c r="W22" s="189"/>
      <c r="X22" s="187"/>
      <c r="Y22" s="188"/>
      <c r="Z22" s="188"/>
      <c r="AA22" s="188"/>
      <c r="AB22" s="188"/>
      <c r="AC22" s="188"/>
      <c r="AD22" s="188"/>
      <c r="AE22" s="188"/>
      <c r="AF22" s="188"/>
      <c r="AG22" s="188"/>
      <c r="AH22" s="189"/>
      <c r="AI22" s="187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9"/>
      <c r="AU22" s="187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95"/>
    </row>
    <row r="23" spans="2:58" ht="13" customHeight="1" x14ac:dyDescent="0.25">
      <c r="B23" s="202"/>
      <c r="C23" s="188"/>
      <c r="D23" s="188"/>
      <c r="E23" s="188"/>
      <c r="F23" s="188"/>
      <c r="G23" s="188"/>
      <c r="H23" s="188"/>
      <c r="I23" s="188"/>
      <c r="J23" s="188"/>
      <c r="K23" s="188"/>
      <c r="L23" s="189"/>
      <c r="M23" s="187"/>
      <c r="N23" s="188"/>
      <c r="O23" s="188"/>
      <c r="P23" s="188"/>
      <c r="Q23" s="188"/>
      <c r="R23" s="188"/>
      <c r="S23" s="188"/>
      <c r="T23" s="188"/>
      <c r="U23" s="188"/>
      <c r="V23" s="188"/>
      <c r="W23" s="189"/>
      <c r="X23" s="187"/>
      <c r="Y23" s="188"/>
      <c r="Z23" s="188"/>
      <c r="AA23" s="188"/>
      <c r="AB23" s="188"/>
      <c r="AC23" s="188"/>
      <c r="AD23" s="188"/>
      <c r="AE23" s="188"/>
      <c r="AF23" s="188"/>
      <c r="AG23" s="188"/>
      <c r="AH23" s="189"/>
      <c r="AI23" s="187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9"/>
      <c r="AU23" s="187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95"/>
    </row>
    <row r="24" spans="2:58" ht="13" customHeight="1" x14ac:dyDescent="0.25">
      <c r="B24" s="203"/>
      <c r="C24" s="191"/>
      <c r="D24" s="191"/>
      <c r="E24" s="191"/>
      <c r="F24" s="191"/>
      <c r="G24" s="191"/>
      <c r="H24" s="191"/>
      <c r="I24" s="191"/>
      <c r="J24" s="191"/>
      <c r="K24" s="191"/>
      <c r="L24" s="148"/>
      <c r="M24" s="190"/>
      <c r="N24" s="191"/>
      <c r="O24" s="191"/>
      <c r="P24" s="191"/>
      <c r="Q24" s="191"/>
      <c r="R24" s="191"/>
      <c r="S24" s="191"/>
      <c r="T24" s="191"/>
      <c r="U24" s="191"/>
      <c r="V24" s="191"/>
      <c r="W24" s="148"/>
      <c r="X24" s="190"/>
      <c r="Y24" s="191"/>
      <c r="Z24" s="191"/>
      <c r="AA24" s="191"/>
      <c r="AB24" s="191"/>
      <c r="AC24" s="191"/>
      <c r="AD24" s="191"/>
      <c r="AE24" s="191"/>
      <c r="AF24" s="191"/>
      <c r="AG24" s="191"/>
      <c r="AH24" s="148"/>
      <c r="AI24" s="190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48"/>
      <c r="AU24" s="190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6"/>
    </row>
    <row r="25" spans="2:58" ht="13" customHeight="1" x14ac:dyDescent="0.25">
      <c r="B25" s="180" t="s">
        <v>246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49"/>
      <c r="M25" s="155" t="s">
        <v>247</v>
      </c>
      <c r="N25" s="178"/>
      <c r="O25" s="178"/>
      <c r="P25" s="178"/>
      <c r="Q25" s="178"/>
      <c r="R25" s="178"/>
      <c r="S25" s="178"/>
      <c r="T25" s="178"/>
      <c r="U25" s="178"/>
      <c r="V25" s="178"/>
      <c r="W25" s="149"/>
      <c r="X25" s="181" t="s">
        <v>248</v>
      </c>
      <c r="Y25" s="178"/>
      <c r="Z25" s="178"/>
      <c r="AA25" s="178"/>
      <c r="AB25" s="178"/>
      <c r="AC25" s="178"/>
      <c r="AD25" s="178"/>
      <c r="AE25" s="178"/>
      <c r="AF25" s="178"/>
      <c r="AG25" s="178"/>
      <c r="AH25" s="149"/>
      <c r="AI25" s="131" t="s">
        <v>249</v>
      </c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49"/>
      <c r="AU25" s="131" t="s">
        <v>250</v>
      </c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82"/>
    </row>
    <row r="26" spans="2:58" ht="13" customHeight="1" x14ac:dyDescent="0.25">
      <c r="B26" s="201"/>
      <c r="C26" s="185"/>
      <c r="D26" s="185"/>
      <c r="E26" s="185"/>
      <c r="F26" s="185"/>
      <c r="G26" s="185"/>
      <c r="H26" s="185"/>
      <c r="I26" s="185"/>
      <c r="J26" s="185"/>
      <c r="K26" s="185"/>
      <c r="L26" s="186"/>
      <c r="M26" s="209"/>
      <c r="N26" s="185"/>
      <c r="O26" s="185"/>
      <c r="P26" s="185"/>
      <c r="Q26" s="185"/>
      <c r="R26" s="185"/>
      <c r="S26" s="185"/>
      <c r="T26" s="185"/>
      <c r="U26" s="185"/>
      <c r="V26" s="185"/>
      <c r="W26" s="186"/>
      <c r="X26" s="205"/>
      <c r="Y26" s="185"/>
      <c r="Z26" s="185"/>
      <c r="AA26" s="185"/>
      <c r="AB26" s="185"/>
      <c r="AC26" s="185"/>
      <c r="AD26" s="185"/>
      <c r="AE26" s="185"/>
      <c r="AF26" s="185"/>
      <c r="AG26" s="185"/>
      <c r="AH26" s="186"/>
      <c r="AI26" s="193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6"/>
      <c r="AU26" s="193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94"/>
    </row>
    <row r="27" spans="2:58" ht="13" customHeight="1" x14ac:dyDescent="0.25">
      <c r="B27" s="202"/>
      <c r="C27" s="188"/>
      <c r="D27" s="188"/>
      <c r="E27" s="188"/>
      <c r="F27" s="188"/>
      <c r="G27" s="188"/>
      <c r="H27" s="188"/>
      <c r="I27" s="188"/>
      <c r="J27" s="188"/>
      <c r="K27" s="188"/>
      <c r="L27" s="189"/>
      <c r="M27" s="187"/>
      <c r="N27" s="188"/>
      <c r="O27" s="188"/>
      <c r="P27" s="188"/>
      <c r="Q27" s="188"/>
      <c r="R27" s="188"/>
      <c r="S27" s="188"/>
      <c r="T27" s="188"/>
      <c r="U27" s="188"/>
      <c r="V27" s="188"/>
      <c r="W27" s="189"/>
      <c r="X27" s="187"/>
      <c r="Y27" s="188"/>
      <c r="Z27" s="188"/>
      <c r="AA27" s="188"/>
      <c r="AB27" s="188"/>
      <c r="AC27" s="188"/>
      <c r="AD27" s="188"/>
      <c r="AE27" s="188"/>
      <c r="AF27" s="188"/>
      <c r="AG27" s="188"/>
      <c r="AH27" s="189"/>
      <c r="AI27" s="187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9"/>
      <c r="AU27" s="187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95"/>
    </row>
    <row r="28" spans="2:58" ht="13" customHeight="1" x14ac:dyDescent="0.25">
      <c r="B28" s="202"/>
      <c r="C28" s="188"/>
      <c r="D28" s="188"/>
      <c r="E28" s="188"/>
      <c r="F28" s="188"/>
      <c r="G28" s="188"/>
      <c r="H28" s="188"/>
      <c r="I28" s="188"/>
      <c r="J28" s="188"/>
      <c r="K28" s="188"/>
      <c r="L28" s="189"/>
      <c r="M28" s="187"/>
      <c r="N28" s="188"/>
      <c r="O28" s="188"/>
      <c r="P28" s="188"/>
      <c r="Q28" s="188"/>
      <c r="R28" s="188"/>
      <c r="S28" s="188"/>
      <c r="T28" s="188"/>
      <c r="U28" s="188"/>
      <c r="V28" s="188"/>
      <c r="W28" s="189"/>
      <c r="X28" s="187"/>
      <c r="Y28" s="188"/>
      <c r="Z28" s="188"/>
      <c r="AA28" s="188"/>
      <c r="AB28" s="188"/>
      <c r="AC28" s="188"/>
      <c r="AD28" s="188"/>
      <c r="AE28" s="188"/>
      <c r="AF28" s="188"/>
      <c r="AG28" s="188"/>
      <c r="AH28" s="189"/>
      <c r="AI28" s="187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9"/>
      <c r="AU28" s="187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95"/>
    </row>
    <row r="29" spans="2:58" ht="13" customHeight="1" x14ac:dyDescent="0.25">
      <c r="B29" s="202"/>
      <c r="C29" s="188"/>
      <c r="D29" s="188"/>
      <c r="E29" s="188"/>
      <c r="F29" s="188"/>
      <c r="G29" s="188"/>
      <c r="H29" s="188"/>
      <c r="I29" s="188"/>
      <c r="J29" s="188"/>
      <c r="K29" s="188"/>
      <c r="L29" s="189"/>
      <c r="M29" s="187"/>
      <c r="N29" s="188"/>
      <c r="O29" s="188"/>
      <c r="P29" s="188"/>
      <c r="Q29" s="188"/>
      <c r="R29" s="188"/>
      <c r="S29" s="188"/>
      <c r="T29" s="188"/>
      <c r="U29" s="188"/>
      <c r="V29" s="188"/>
      <c r="W29" s="189"/>
      <c r="X29" s="187"/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  <c r="AI29" s="187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9"/>
      <c r="AU29" s="187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95"/>
    </row>
    <row r="30" spans="2:58" ht="13" customHeight="1" x14ac:dyDescent="0.25">
      <c r="B30" s="202"/>
      <c r="C30" s="188"/>
      <c r="D30" s="188"/>
      <c r="E30" s="188"/>
      <c r="F30" s="188"/>
      <c r="G30" s="188"/>
      <c r="H30" s="188"/>
      <c r="I30" s="188"/>
      <c r="J30" s="188"/>
      <c r="K30" s="188"/>
      <c r="L30" s="189"/>
      <c r="M30" s="187"/>
      <c r="N30" s="188"/>
      <c r="O30" s="188"/>
      <c r="P30" s="188"/>
      <c r="Q30" s="188"/>
      <c r="R30" s="188"/>
      <c r="S30" s="188"/>
      <c r="T30" s="188"/>
      <c r="U30" s="188"/>
      <c r="V30" s="188"/>
      <c r="W30" s="189"/>
      <c r="X30" s="187"/>
      <c r="Y30" s="188"/>
      <c r="Z30" s="188"/>
      <c r="AA30" s="188"/>
      <c r="AB30" s="188"/>
      <c r="AC30" s="188"/>
      <c r="AD30" s="188"/>
      <c r="AE30" s="188"/>
      <c r="AF30" s="188"/>
      <c r="AG30" s="188"/>
      <c r="AH30" s="189"/>
      <c r="AI30" s="187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9"/>
      <c r="AU30" s="187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95"/>
    </row>
    <row r="31" spans="2:58" ht="13" customHeight="1" x14ac:dyDescent="0.25">
      <c r="B31" s="203"/>
      <c r="C31" s="191"/>
      <c r="D31" s="191"/>
      <c r="E31" s="191"/>
      <c r="F31" s="191"/>
      <c r="G31" s="191"/>
      <c r="H31" s="191"/>
      <c r="I31" s="191"/>
      <c r="J31" s="191"/>
      <c r="K31" s="191"/>
      <c r="L31" s="148"/>
      <c r="M31" s="190"/>
      <c r="N31" s="191"/>
      <c r="O31" s="191"/>
      <c r="P31" s="191"/>
      <c r="Q31" s="191"/>
      <c r="R31" s="191"/>
      <c r="S31" s="191"/>
      <c r="T31" s="191"/>
      <c r="U31" s="191"/>
      <c r="V31" s="191"/>
      <c r="W31" s="148"/>
      <c r="X31" s="190"/>
      <c r="Y31" s="191"/>
      <c r="Z31" s="191"/>
      <c r="AA31" s="191"/>
      <c r="AB31" s="191"/>
      <c r="AC31" s="191"/>
      <c r="AD31" s="191"/>
      <c r="AE31" s="191"/>
      <c r="AF31" s="191"/>
      <c r="AG31" s="191"/>
      <c r="AH31" s="148"/>
      <c r="AI31" s="190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48"/>
      <c r="AU31" s="190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6"/>
    </row>
    <row r="32" spans="2:58" ht="13" customHeight="1" x14ac:dyDescent="0.25">
      <c r="B32" s="180" t="s">
        <v>251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49"/>
      <c r="M32" s="183" t="s">
        <v>252</v>
      </c>
      <c r="N32" s="178"/>
      <c r="O32" s="178"/>
      <c r="P32" s="178"/>
      <c r="Q32" s="178"/>
      <c r="R32" s="178"/>
      <c r="S32" s="178"/>
      <c r="T32" s="178"/>
      <c r="U32" s="178"/>
      <c r="V32" s="178"/>
      <c r="W32" s="149"/>
      <c r="X32" s="181" t="s">
        <v>253</v>
      </c>
      <c r="Y32" s="178"/>
      <c r="Z32" s="178"/>
      <c r="AA32" s="178"/>
      <c r="AB32" s="178"/>
      <c r="AC32" s="178"/>
      <c r="AD32" s="178"/>
      <c r="AE32" s="178"/>
      <c r="AF32" s="178"/>
      <c r="AG32" s="178"/>
      <c r="AH32" s="149"/>
      <c r="AI32" s="131" t="s">
        <v>254</v>
      </c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49"/>
      <c r="AU32" s="131" t="s">
        <v>255</v>
      </c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82"/>
    </row>
    <row r="33" spans="2:58" ht="13" customHeight="1" x14ac:dyDescent="0.25">
      <c r="B33" s="201"/>
      <c r="C33" s="185"/>
      <c r="D33" s="185"/>
      <c r="E33" s="185"/>
      <c r="F33" s="185"/>
      <c r="G33" s="185"/>
      <c r="H33" s="185"/>
      <c r="I33" s="185"/>
      <c r="J33" s="185"/>
      <c r="K33" s="185"/>
      <c r="L33" s="186"/>
      <c r="M33" s="204"/>
      <c r="N33" s="185"/>
      <c r="O33" s="185"/>
      <c r="P33" s="185"/>
      <c r="Q33" s="185"/>
      <c r="R33" s="185"/>
      <c r="S33" s="185"/>
      <c r="T33" s="185"/>
      <c r="U33" s="185"/>
      <c r="V33" s="185"/>
      <c r="W33" s="186"/>
      <c r="X33" s="205"/>
      <c r="Y33" s="185"/>
      <c r="Z33" s="185"/>
      <c r="AA33" s="185"/>
      <c r="AB33" s="185"/>
      <c r="AC33" s="185"/>
      <c r="AD33" s="185"/>
      <c r="AE33" s="185"/>
      <c r="AF33" s="185"/>
      <c r="AG33" s="185"/>
      <c r="AH33" s="186"/>
      <c r="AI33" s="193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6"/>
      <c r="AU33" s="193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94"/>
    </row>
    <row r="34" spans="2:58" ht="13" customHeight="1" x14ac:dyDescent="0.25">
      <c r="B34" s="202"/>
      <c r="C34" s="188"/>
      <c r="D34" s="188"/>
      <c r="E34" s="188"/>
      <c r="F34" s="188"/>
      <c r="G34" s="188"/>
      <c r="H34" s="188"/>
      <c r="I34" s="188"/>
      <c r="J34" s="188"/>
      <c r="K34" s="188"/>
      <c r="L34" s="189"/>
      <c r="M34" s="187"/>
      <c r="N34" s="188"/>
      <c r="O34" s="188"/>
      <c r="P34" s="188"/>
      <c r="Q34" s="188"/>
      <c r="R34" s="188"/>
      <c r="S34" s="188"/>
      <c r="T34" s="188"/>
      <c r="U34" s="188"/>
      <c r="V34" s="188"/>
      <c r="W34" s="189"/>
      <c r="X34" s="187"/>
      <c r="Y34" s="188"/>
      <c r="Z34" s="188"/>
      <c r="AA34" s="188"/>
      <c r="AB34" s="188"/>
      <c r="AC34" s="188"/>
      <c r="AD34" s="188"/>
      <c r="AE34" s="188"/>
      <c r="AF34" s="188"/>
      <c r="AG34" s="188"/>
      <c r="AH34" s="189"/>
      <c r="AI34" s="187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9"/>
      <c r="AU34" s="187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95"/>
    </row>
    <row r="35" spans="2:58" ht="13" customHeight="1" x14ac:dyDescent="0.25">
      <c r="B35" s="202"/>
      <c r="C35" s="188"/>
      <c r="D35" s="188"/>
      <c r="E35" s="188"/>
      <c r="F35" s="188"/>
      <c r="G35" s="188"/>
      <c r="H35" s="188"/>
      <c r="I35" s="188"/>
      <c r="J35" s="188"/>
      <c r="K35" s="188"/>
      <c r="L35" s="189"/>
      <c r="M35" s="187"/>
      <c r="N35" s="188"/>
      <c r="O35" s="188"/>
      <c r="P35" s="188"/>
      <c r="Q35" s="188"/>
      <c r="R35" s="188"/>
      <c r="S35" s="188"/>
      <c r="T35" s="188"/>
      <c r="U35" s="188"/>
      <c r="V35" s="188"/>
      <c r="W35" s="189"/>
      <c r="X35" s="187"/>
      <c r="Y35" s="188"/>
      <c r="Z35" s="188"/>
      <c r="AA35" s="188"/>
      <c r="AB35" s="188"/>
      <c r="AC35" s="188"/>
      <c r="AD35" s="188"/>
      <c r="AE35" s="188"/>
      <c r="AF35" s="188"/>
      <c r="AG35" s="188"/>
      <c r="AH35" s="189"/>
      <c r="AI35" s="187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9"/>
      <c r="AU35" s="187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95"/>
    </row>
    <row r="36" spans="2:58" ht="13" customHeight="1" x14ac:dyDescent="0.25">
      <c r="B36" s="202"/>
      <c r="C36" s="188"/>
      <c r="D36" s="188"/>
      <c r="E36" s="188"/>
      <c r="F36" s="188"/>
      <c r="G36" s="188"/>
      <c r="H36" s="188"/>
      <c r="I36" s="188"/>
      <c r="J36" s="188"/>
      <c r="K36" s="188"/>
      <c r="L36" s="189"/>
      <c r="M36" s="187"/>
      <c r="N36" s="188"/>
      <c r="O36" s="188"/>
      <c r="P36" s="188"/>
      <c r="Q36" s="188"/>
      <c r="R36" s="188"/>
      <c r="S36" s="188"/>
      <c r="T36" s="188"/>
      <c r="U36" s="188"/>
      <c r="V36" s="188"/>
      <c r="W36" s="189"/>
      <c r="X36" s="187"/>
      <c r="Y36" s="188"/>
      <c r="Z36" s="188"/>
      <c r="AA36" s="188"/>
      <c r="AB36" s="188"/>
      <c r="AC36" s="188"/>
      <c r="AD36" s="188"/>
      <c r="AE36" s="188"/>
      <c r="AF36" s="188"/>
      <c r="AG36" s="188"/>
      <c r="AH36" s="189"/>
      <c r="AI36" s="187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9"/>
      <c r="AU36" s="187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95"/>
    </row>
    <row r="37" spans="2:58" ht="13" customHeight="1" x14ac:dyDescent="0.25">
      <c r="B37" s="202"/>
      <c r="C37" s="188"/>
      <c r="D37" s="188"/>
      <c r="E37" s="188"/>
      <c r="F37" s="188"/>
      <c r="G37" s="188"/>
      <c r="H37" s="188"/>
      <c r="I37" s="188"/>
      <c r="J37" s="188"/>
      <c r="K37" s="188"/>
      <c r="L37" s="189"/>
      <c r="M37" s="187"/>
      <c r="N37" s="188"/>
      <c r="O37" s="188"/>
      <c r="P37" s="188"/>
      <c r="Q37" s="188"/>
      <c r="R37" s="188"/>
      <c r="S37" s="188"/>
      <c r="T37" s="188"/>
      <c r="U37" s="188"/>
      <c r="V37" s="188"/>
      <c r="W37" s="189"/>
      <c r="X37" s="187"/>
      <c r="Y37" s="188"/>
      <c r="Z37" s="188"/>
      <c r="AA37" s="188"/>
      <c r="AB37" s="188"/>
      <c r="AC37" s="188"/>
      <c r="AD37" s="188"/>
      <c r="AE37" s="188"/>
      <c r="AF37" s="188"/>
      <c r="AG37" s="188"/>
      <c r="AH37" s="189"/>
      <c r="AI37" s="187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9"/>
      <c r="AU37" s="187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95"/>
    </row>
    <row r="38" spans="2:58" ht="13" customHeight="1" x14ac:dyDescent="0.25">
      <c r="B38" s="203"/>
      <c r="C38" s="191"/>
      <c r="D38" s="191"/>
      <c r="E38" s="191"/>
      <c r="F38" s="191"/>
      <c r="G38" s="191"/>
      <c r="H38" s="191"/>
      <c r="I38" s="191"/>
      <c r="J38" s="191"/>
      <c r="K38" s="191"/>
      <c r="L38" s="148"/>
      <c r="M38" s="190"/>
      <c r="N38" s="191"/>
      <c r="O38" s="191"/>
      <c r="P38" s="191"/>
      <c r="Q38" s="191"/>
      <c r="R38" s="191"/>
      <c r="S38" s="191"/>
      <c r="T38" s="191"/>
      <c r="U38" s="191"/>
      <c r="V38" s="191"/>
      <c r="W38" s="148"/>
      <c r="X38" s="190"/>
      <c r="Y38" s="191"/>
      <c r="Z38" s="191"/>
      <c r="AA38" s="191"/>
      <c r="AB38" s="191"/>
      <c r="AC38" s="191"/>
      <c r="AD38" s="191"/>
      <c r="AE38" s="191"/>
      <c r="AF38" s="191"/>
      <c r="AG38" s="191"/>
      <c r="AH38" s="148"/>
      <c r="AI38" s="190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48"/>
      <c r="AU38" s="190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6"/>
    </row>
    <row r="39" spans="2:58" ht="13" customHeight="1" x14ac:dyDescent="0.25">
      <c r="B39" s="180" t="s">
        <v>256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49"/>
      <c r="M39" s="183" t="s">
        <v>257</v>
      </c>
      <c r="N39" s="178"/>
      <c r="O39" s="178"/>
      <c r="P39" s="178"/>
      <c r="Q39" s="178"/>
      <c r="R39" s="178"/>
      <c r="S39" s="178"/>
      <c r="T39" s="178"/>
      <c r="U39" s="178"/>
      <c r="V39" s="178"/>
      <c r="W39" s="149"/>
      <c r="X39" s="181" t="s">
        <v>258</v>
      </c>
      <c r="Y39" s="178"/>
      <c r="Z39" s="178"/>
      <c r="AA39" s="178"/>
      <c r="AB39" s="178"/>
      <c r="AC39" s="178"/>
      <c r="AD39" s="178"/>
      <c r="AE39" s="178"/>
      <c r="AF39" s="178"/>
      <c r="AG39" s="178"/>
      <c r="AH39" s="149"/>
      <c r="AI39" s="131" t="s">
        <v>259</v>
      </c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49"/>
      <c r="AU39" s="131" t="s">
        <v>260</v>
      </c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82"/>
    </row>
    <row r="40" spans="2:58" ht="13" customHeight="1" x14ac:dyDescent="0.25">
      <c r="B40" s="201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204"/>
      <c r="N40" s="185"/>
      <c r="O40" s="185"/>
      <c r="P40" s="185"/>
      <c r="Q40" s="185"/>
      <c r="R40" s="185"/>
      <c r="S40" s="185"/>
      <c r="T40" s="185"/>
      <c r="U40" s="185"/>
      <c r="V40" s="185"/>
      <c r="W40" s="186"/>
      <c r="X40" s="205"/>
      <c r="Y40" s="185"/>
      <c r="Z40" s="185"/>
      <c r="AA40" s="185"/>
      <c r="AB40" s="185"/>
      <c r="AC40" s="185"/>
      <c r="AD40" s="185"/>
      <c r="AE40" s="185"/>
      <c r="AF40" s="185"/>
      <c r="AG40" s="185"/>
      <c r="AH40" s="186"/>
      <c r="AI40" s="193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6"/>
      <c r="AU40" s="193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94"/>
    </row>
    <row r="41" spans="2:58" ht="13" customHeight="1" x14ac:dyDescent="0.25">
      <c r="B41" s="202"/>
      <c r="C41" s="188"/>
      <c r="D41" s="188"/>
      <c r="E41" s="188"/>
      <c r="F41" s="188"/>
      <c r="G41" s="188"/>
      <c r="H41" s="188"/>
      <c r="I41" s="188"/>
      <c r="J41" s="188"/>
      <c r="K41" s="188"/>
      <c r="L41" s="189"/>
      <c r="M41" s="187"/>
      <c r="N41" s="188"/>
      <c r="O41" s="188"/>
      <c r="P41" s="188"/>
      <c r="Q41" s="188"/>
      <c r="R41" s="188"/>
      <c r="S41" s="188"/>
      <c r="T41" s="188"/>
      <c r="U41" s="188"/>
      <c r="V41" s="188"/>
      <c r="W41" s="189"/>
      <c r="X41" s="187"/>
      <c r="Y41" s="188"/>
      <c r="Z41" s="188"/>
      <c r="AA41" s="188"/>
      <c r="AB41" s="188"/>
      <c r="AC41" s="188"/>
      <c r="AD41" s="188"/>
      <c r="AE41" s="188"/>
      <c r="AF41" s="188"/>
      <c r="AG41" s="188"/>
      <c r="AH41" s="189"/>
      <c r="AI41" s="187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9"/>
      <c r="AU41" s="187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95"/>
    </row>
    <row r="42" spans="2:58" ht="13" customHeight="1" x14ac:dyDescent="0.25">
      <c r="B42" s="202"/>
      <c r="C42" s="188"/>
      <c r="D42" s="188"/>
      <c r="E42" s="188"/>
      <c r="F42" s="188"/>
      <c r="G42" s="188"/>
      <c r="H42" s="188"/>
      <c r="I42" s="188"/>
      <c r="J42" s="188"/>
      <c r="K42" s="188"/>
      <c r="L42" s="189"/>
      <c r="M42" s="187"/>
      <c r="N42" s="188"/>
      <c r="O42" s="188"/>
      <c r="P42" s="188"/>
      <c r="Q42" s="188"/>
      <c r="R42" s="188"/>
      <c r="S42" s="188"/>
      <c r="T42" s="188"/>
      <c r="U42" s="188"/>
      <c r="V42" s="188"/>
      <c r="W42" s="189"/>
      <c r="X42" s="187"/>
      <c r="Y42" s="188"/>
      <c r="Z42" s="188"/>
      <c r="AA42" s="188"/>
      <c r="AB42" s="188"/>
      <c r="AC42" s="188"/>
      <c r="AD42" s="188"/>
      <c r="AE42" s="188"/>
      <c r="AF42" s="188"/>
      <c r="AG42" s="188"/>
      <c r="AH42" s="189"/>
      <c r="AI42" s="187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9"/>
      <c r="AU42" s="187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95"/>
    </row>
    <row r="43" spans="2:58" ht="13" customHeight="1" x14ac:dyDescent="0.25">
      <c r="B43" s="202"/>
      <c r="C43" s="188"/>
      <c r="D43" s="188"/>
      <c r="E43" s="188"/>
      <c r="F43" s="188"/>
      <c r="G43" s="188"/>
      <c r="H43" s="188"/>
      <c r="I43" s="188"/>
      <c r="J43" s="188"/>
      <c r="K43" s="188"/>
      <c r="L43" s="189"/>
      <c r="M43" s="187"/>
      <c r="N43" s="188"/>
      <c r="O43" s="188"/>
      <c r="P43" s="188"/>
      <c r="Q43" s="188"/>
      <c r="R43" s="188"/>
      <c r="S43" s="188"/>
      <c r="T43" s="188"/>
      <c r="U43" s="188"/>
      <c r="V43" s="188"/>
      <c r="W43" s="189"/>
      <c r="X43" s="187"/>
      <c r="Y43" s="188"/>
      <c r="Z43" s="188"/>
      <c r="AA43" s="188"/>
      <c r="AB43" s="188"/>
      <c r="AC43" s="188"/>
      <c r="AD43" s="188"/>
      <c r="AE43" s="188"/>
      <c r="AF43" s="188"/>
      <c r="AG43" s="188"/>
      <c r="AH43" s="189"/>
      <c r="AI43" s="187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9"/>
      <c r="AU43" s="187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95"/>
    </row>
    <row r="44" spans="2:58" ht="13" customHeight="1" x14ac:dyDescent="0.25">
      <c r="B44" s="202"/>
      <c r="C44" s="188"/>
      <c r="D44" s="188"/>
      <c r="E44" s="188"/>
      <c r="F44" s="188"/>
      <c r="G44" s="188"/>
      <c r="H44" s="188"/>
      <c r="I44" s="188"/>
      <c r="J44" s="188"/>
      <c r="K44" s="188"/>
      <c r="L44" s="189"/>
      <c r="M44" s="187"/>
      <c r="N44" s="188"/>
      <c r="O44" s="188"/>
      <c r="P44" s="188"/>
      <c r="Q44" s="188"/>
      <c r="R44" s="188"/>
      <c r="S44" s="188"/>
      <c r="T44" s="188"/>
      <c r="U44" s="188"/>
      <c r="V44" s="188"/>
      <c r="W44" s="189"/>
      <c r="X44" s="187"/>
      <c r="Y44" s="188"/>
      <c r="Z44" s="188"/>
      <c r="AA44" s="188"/>
      <c r="AB44" s="188"/>
      <c r="AC44" s="188"/>
      <c r="AD44" s="188"/>
      <c r="AE44" s="188"/>
      <c r="AF44" s="188"/>
      <c r="AG44" s="188"/>
      <c r="AH44" s="189"/>
      <c r="AI44" s="187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9"/>
      <c r="AU44" s="187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95"/>
    </row>
    <row r="45" spans="2:58" ht="13" customHeight="1" x14ac:dyDescent="0.25">
      <c r="B45" s="203"/>
      <c r="C45" s="191"/>
      <c r="D45" s="191"/>
      <c r="E45" s="191"/>
      <c r="F45" s="191"/>
      <c r="G45" s="191"/>
      <c r="H45" s="191"/>
      <c r="I45" s="191"/>
      <c r="J45" s="191"/>
      <c r="K45" s="191"/>
      <c r="L45" s="148"/>
      <c r="M45" s="190"/>
      <c r="N45" s="191"/>
      <c r="O45" s="191"/>
      <c r="P45" s="191"/>
      <c r="Q45" s="191"/>
      <c r="R45" s="191"/>
      <c r="S45" s="191"/>
      <c r="T45" s="191"/>
      <c r="U45" s="191"/>
      <c r="V45" s="191"/>
      <c r="W45" s="148"/>
      <c r="X45" s="190"/>
      <c r="Y45" s="191"/>
      <c r="Z45" s="191"/>
      <c r="AA45" s="191"/>
      <c r="AB45" s="191"/>
      <c r="AC45" s="191"/>
      <c r="AD45" s="191"/>
      <c r="AE45" s="191"/>
      <c r="AF45" s="191"/>
      <c r="AG45" s="191"/>
      <c r="AH45" s="148"/>
      <c r="AI45" s="190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48"/>
      <c r="AU45" s="190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6"/>
    </row>
    <row r="46" spans="2:58" ht="13" customHeight="1" x14ac:dyDescent="0.25">
      <c r="B46" s="180" t="s">
        <v>261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49"/>
      <c r="M46" s="155" t="s">
        <v>262</v>
      </c>
      <c r="N46" s="178"/>
      <c r="O46" s="178"/>
      <c r="P46" s="178"/>
      <c r="Q46" s="178"/>
      <c r="R46" s="178"/>
      <c r="S46" s="178"/>
      <c r="T46" s="178"/>
      <c r="U46" s="178"/>
      <c r="V46" s="178"/>
      <c r="W46" s="149"/>
      <c r="X46" s="181" t="s">
        <v>263</v>
      </c>
      <c r="Y46" s="178"/>
      <c r="Z46" s="178"/>
      <c r="AA46" s="178"/>
      <c r="AB46" s="178"/>
      <c r="AC46" s="178"/>
      <c r="AD46" s="178"/>
      <c r="AE46" s="178"/>
      <c r="AF46" s="178"/>
      <c r="AG46" s="178"/>
      <c r="AH46" s="149"/>
      <c r="AI46" s="131" t="s">
        <v>264</v>
      </c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49"/>
      <c r="AU46" s="131" t="s">
        <v>265</v>
      </c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82"/>
    </row>
    <row r="47" spans="2:58" ht="13" customHeight="1" x14ac:dyDescent="0.25">
      <c r="B47" s="201"/>
      <c r="C47" s="185"/>
      <c r="D47" s="185"/>
      <c r="E47" s="185"/>
      <c r="F47" s="185"/>
      <c r="G47" s="185"/>
      <c r="H47" s="185"/>
      <c r="I47" s="185"/>
      <c r="J47" s="185"/>
      <c r="K47" s="185"/>
      <c r="L47" s="186"/>
      <c r="M47" s="204"/>
      <c r="N47" s="185"/>
      <c r="O47" s="185"/>
      <c r="P47" s="185"/>
      <c r="Q47" s="185"/>
      <c r="R47" s="185"/>
      <c r="S47" s="185"/>
      <c r="T47" s="185"/>
      <c r="U47" s="185"/>
      <c r="V47" s="185"/>
      <c r="W47" s="186"/>
      <c r="X47" s="205"/>
      <c r="Y47" s="185"/>
      <c r="Z47" s="185"/>
      <c r="AA47" s="185"/>
      <c r="AB47" s="185"/>
      <c r="AC47" s="185"/>
      <c r="AD47" s="185"/>
      <c r="AE47" s="185"/>
      <c r="AF47" s="185"/>
      <c r="AG47" s="185"/>
      <c r="AH47" s="186"/>
      <c r="AI47" s="193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6"/>
      <c r="AU47" s="193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94"/>
    </row>
    <row r="48" spans="2:58" ht="13" customHeight="1" x14ac:dyDescent="0.25">
      <c r="B48" s="202"/>
      <c r="C48" s="188"/>
      <c r="D48" s="188"/>
      <c r="E48" s="188"/>
      <c r="F48" s="188"/>
      <c r="G48" s="188"/>
      <c r="H48" s="188"/>
      <c r="I48" s="188"/>
      <c r="J48" s="188"/>
      <c r="K48" s="188"/>
      <c r="L48" s="189"/>
      <c r="M48" s="187"/>
      <c r="N48" s="188"/>
      <c r="O48" s="188"/>
      <c r="P48" s="188"/>
      <c r="Q48" s="188"/>
      <c r="R48" s="188"/>
      <c r="S48" s="188"/>
      <c r="T48" s="188"/>
      <c r="U48" s="188"/>
      <c r="V48" s="188"/>
      <c r="W48" s="189"/>
      <c r="X48" s="187"/>
      <c r="Y48" s="188"/>
      <c r="Z48" s="188"/>
      <c r="AA48" s="188"/>
      <c r="AB48" s="188"/>
      <c r="AC48" s="188"/>
      <c r="AD48" s="188"/>
      <c r="AE48" s="188"/>
      <c r="AF48" s="188"/>
      <c r="AG48" s="188"/>
      <c r="AH48" s="189"/>
      <c r="AI48" s="187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9"/>
      <c r="AU48" s="187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95"/>
    </row>
    <row r="49" spans="2:58" ht="13" customHeight="1" x14ac:dyDescent="0.25">
      <c r="B49" s="202"/>
      <c r="C49" s="188"/>
      <c r="D49" s="188"/>
      <c r="E49" s="188"/>
      <c r="F49" s="188"/>
      <c r="G49" s="188"/>
      <c r="H49" s="188"/>
      <c r="I49" s="188"/>
      <c r="J49" s="188"/>
      <c r="K49" s="188"/>
      <c r="L49" s="189"/>
      <c r="M49" s="187"/>
      <c r="N49" s="188"/>
      <c r="O49" s="188"/>
      <c r="P49" s="188"/>
      <c r="Q49" s="188"/>
      <c r="R49" s="188"/>
      <c r="S49" s="188"/>
      <c r="T49" s="188"/>
      <c r="U49" s="188"/>
      <c r="V49" s="188"/>
      <c r="W49" s="189"/>
      <c r="X49" s="187"/>
      <c r="Y49" s="188"/>
      <c r="Z49" s="188"/>
      <c r="AA49" s="188"/>
      <c r="AB49" s="188"/>
      <c r="AC49" s="188"/>
      <c r="AD49" s="188"/>
      <c r="AE49" s="188"/>
      <c r="AF49" s="188"/>
      <c r="AG49" s="188"/>
      <c r="AH49" s="189"/>
      <c r="AI49" s="187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9"/>
      <c r="AU49" s="187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95"/>
    </row>
    <row r="50" spans="2:58" ht="13" customHeight="1" x14ac:dyDescent="0.25">
      <c r="B50" s="202"/>
      <c r="C50" s="188"/>
      <c r="D50" s="188"/>
      <c r="E50" s="188"/>
      <c r="F50" s="188"/>
      <c r="G50" s="188"/>
      <c r="H50" s="188"/>
      <c r="I50" s="188"/>
      <c r="J50" s="188"/>
      <c r="K50" s="188"/>
      <c r="L50" s="189"/>
      <c r="M50" s="187"/>
      <c r="N50" s="188"/>
      <c r="O50" s="188"/>
      <c r="P50" s="188"/>
      <c r="Q50" s="188"/>
      <c r="R50" s="188"/>
      <c r="S50" s="188"/>
      <c r="T50" s="188"/>
      <c r="U50" s="188"/>
      <c r="V50" s="188"/>
      <c r="W50" s="189"/>
      <c r="X50" s="187"/>
      <c r="Y50" s="188"/>
      <c r="Z50" s="188"/>
      <c r="AA50" s="188"/>
      <c r="AB50" s="188"/>
      <c r="AC50" s="188"/>
      <c r="AD50" s="188"/>
      <c r="AE50" s="188"/>
      <c r="AF50" s="188"/>
      <c r="AG50" s="188"/>
      <c r="AH50" s="189"/>
      <c r="AI50" s="187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9"/>
      <c r="AU50" s="187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95"/>
    </row>
    <row r="51" spans="2:58" ht="13" customHeight="1" x14ac:dyDescent="0.25">
      <c r="B51" s="202"/>
      <c r="C51" s="188"/>
      <c r="D51" s="188"/>
      <c r="E51" s="188"/>
      <c r="F51" s="188"/>
      <c r="G51" s="188"/>
      <c r="H51" s="188"/>
      <c r="I51" s="188"/>
      <c r="J51" s="188"/>
      <c r="K51" s="188"/>
      <c r="L51" s="189"/>
      <c r="M51" s="187"/>
      <c r="N51" s="188"/>
      <c r="O51" s="188"/>
      <c r="P51" s="188"/>
      <c r="Q51" s="188"/>
      <c r="R51" s="188"/>
      <c r="S51" s="188"/>
      <c r="T51" s="188"/>
      <c r="U51" s="188"/>
      <c r="V51" s="188"/>
      <c r="W51" s="189"/>
      <c r="X51" s="187"/>
      <c r="Y51" s="188"/>
      <c r="Z51" s="188"/>
      <c r="AA51" s="188"/>
      <c r="AB51" s="188"/>
      <c r="AC51" s="188"/>
      <c r="AD51" s="188"/>
      <c r="AE51" s="188"/>
      <c r="AF51" s="188"/>
      <c r="AG51" s="188"/>
      <c r="AH51" s="189"/>
      <c r="AI51" s="187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9"/>
      <c r="AU51" s="187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95"/>
    </row>
    <row r="52" spans="2:58" ht="13" customHeight="1" x14ac:dyDescent="0.25">
      <c r="B52" s="203"/>
      <c r="C52" s="191"/>
      <c r="D52" s="191"/>
      <c r="E52" s="191"/>
      <c r="F52" s="191"/>
      <c r="G52" s="191"/>
      <c r="H52" s="191"/>
      <c r="I52" s="191"/>
      <c r="J52" s="191"/>
      <c r="K52" s="191"/>
      <c r="L52" s="148"/>
      <c r="M52" s="190"/>
      <c r="N52" s="191"/>
      <c r="O52" s="191"/>
      <c r="P52" s="191"/>
      <c r="Q52" s="191"/>
      <c r="R52" s="191"/>
      <c r="S52" s="191"/>
      <c r="T52" s="191"/>
      <c r="U52" s="191"/>
      <c r="V52" s="191"/>
      <c r="W52" s="148"/>
      <c r="X52" s="190"/>
      <c r="Y52" s="191"/>
      <c r="Z52" s="191"/>
      <c r="AA52" s="191"/>
      <c r="AB52" s="191"/>
      <c r="AC52" s="191"/>
      <c r="AD52" s="191"/>
      <c r="AE52" s="191"/>
      <c r="AF52" s="191"/>
      <c r="AG52" s="191"/>
      <c r="AH52" s="148"/>
      <c r="AI52" s="190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48"/>
      <c r="AU52" s="190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6"/>
    </row>
    <row r="53" spans="2:58" ht="13" customHeight="1" x14ac:dyDescent="0.25">
      <c r="B53" s="180" t="s">
        <v>266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49"/>
      <c r="M53" s="183" t="s">
        <v>267</v>
      </c>
      <c r="N53" s="178"/>
      <c r="O53" s="178"/>
      <c r="P53" s="178"/>
      <c r="Q53" s="178"/>
      <c r="R53" s="178"/>
      <c r="S53" s="178"/>
      <c r="T53" s="178"/>
      <c r="U53" s="178"/>
      <c r="V53" s="178"/>
      <c r="W53" s="149"/>
      <c r="X53" s="181" t="s">
        <v>268</v>
      </c>
      <c r="Y53" s="178"/>
      <c r="Z53" s="178"/>
      <c r="AA53" s="178"/>
      <c r="AB53" s="178"/>
      <c r="AC53" s="178"/>
      <c r="AD53" s="178"/>
      <c r="AE53" s="178"/>
      <c r="AF53" s="178"/>
      <c r="AG53" s="178"/>
      <c r="AH53" s="149"/>
      <c r="AI53" s="131" t="s">
        <v>269</v>
      </c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49"/>
      <c r="AU53" s="131" t="s">
        <v>270</v>
      </c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82"/>
    </row>
    <row r="54" spans="2:58" ht="13" customHeight="1" x14ac:dyDescent="0.25">
      <c r="B54" s="201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209"/>
      <c r="N54" s="185"/>
      <c r="O54" s="185"/>
      <c r="P54" s="185"/>
      <c r="Q54" s="185"/>
      <c r="R54" s="185"/>
      <c r="S54" s="185"/>
      <c r="T54" s="185"/>
      <c r="U54" s="185"/>
      <c r="V54" s="185"/>
      <c r="W54" s="186"/>
      <c r="X54" s="205"/>
      <c r="Y54" s="185"/>
      <c r="Z54" s="185"/>
      <c r="AA54" s="185"/>
      <c r="AB54" s="185"/>
      <c r="AC54" s="185"/>
      <c r="AD54" s="185"/>
      <c r="AE54" s="185"/>
      <c r="AF54" s="185"/>
      <c r="AG54" s="185"/>
      <c r="AH54" s="186"/>
      <c r="AI54" s="193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6"/>
      <c r="AU54" s="193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94"/>
    </row>
    <row r="55" spans="2:58" ht="13" customHeight="1" x14ac:dyDescent="0.25">
      <c r="B55" s="202"/>
      <c r="C55" s="188"/>
      <c r="D55" s="188"/>
      <c r="E55" s="188"/>
      <c r="F55" s="188"/>
      <c r="G55" s="188"/>
      <c r="H55" s="188"/>
      <c r="I55" s="188"/>
      <c r="J55" s="188"/>
      <c r="K55" s="188"/>
      <c r="L55" s="189"/>
      <c r="M55" s="187"/>
      <c r="N55" s="188"/>
      <c r="O55" s="188"/>
      <c r="P55" s="188"/>
      <c r="Q55" s="188"/>
      <c r="R55" s="188"/>
      <c r="S55" s="188"/>
      <c r="T55" s="188"/>
      <c r="U55" s="188"/>
      <c r="V55" s="188"/>
      <c r="W55" s="189"/>
      <c r="X55" s="187"/>
      <c r="Y55" s="188"/>
      <c r="Z55" s="188"/>
      <c r="AA55" s="188"/>
      <c r="AB55" s="188"/>
      <c r="AC55" s="188"/>
      <c r="AD55" s="188"/>
      <c r="AE55" s="188"/>
      <c r="AF55" s="188"/>
      <c r="AG55" s="188"/>
      <c r="AH55" s="189"/>
      <c r="AI55" s="187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9"/>
      <c r="AU55" s="187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95"/>
    </row>
    <row r="56" spans="2:58" ht="13" customHeight="1" x14ac:dyDescent="0.25">
      <c r="B56" s="202"/>
      <c r="C56" s="188"/>
      <c r="D56" s="188"/>
      <c r="E56" s="188"/>
      <c r="F56" s="188"/>
      <c r="G56" s="188"/>
      <c r="H56" s="188"/>
      <c r="I56" s="188"/>
      <c r="J56" s="188"/>
      <c r="K56" s="188"/>
      <c r="L56" s="189"/>
      <c r="M56" s="187"/>
      <c r="N56" s="188"/>
      <c r="O56" s="188"/>
      <c r="P56" s="188"/>
      <c r="Q56" s="188"/>
      <c r="R56" s="188"/>
      <c r="S56" s="188"/>
      <c r="T56" s="188"/>
      <c r="U56" s="188"/>
      <c r="V56" s="188"/>
      <c r="W56" s="189"/>
      <c r="X56" s="187"/>
      <c r="Y56" s="188"/>
      <c r="Z56" s="188"/>
      <c r="AA56" s="188"/>
      <c r="AB56" s="188"/>
      <c r="AC56" s="188"/>
      <c r="AD56" s="188"/>
      <c r="AE56" s="188"/>
      <c r="AF56" s="188"/>
      <c r="AG56" s="188"/>
      <c r="AH56" s="189"/>
      <c r="AI56" s="187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9"/>
      <c r="AU56" s="187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95"/>
    </row>
    <row r="57" spans="2:58" ht="13" customHeight="1" x14ac:dyDescent="0.25">
      <c r="B57" s="202"/>
      <c r="C57" s="188"/>
      <c r="D57" s="188"/>
      <c r="E57" s="188"/>
      <c r="F57" s="188"/>
      <c r="G57" s="188"/>
      <c r="H57" s="188"/>
      <c r="I57" s="188"/>
      <c r="J57" s="188"/>
      <c r="K57" s="188"/>
      <c r="L57" s="189"/>
      <c r="M57" s="187"/>
      <c r="N57" s="188"/>
      <c r="O57" s="188"/>
      <c r="P57" s="188"/>
      <c r="Q57" s="188"/>
      <c r="R57" s="188"/>
      <c r="S57" s="188"/>
      <c r="T57" s="188"/>
      <c r="U57" s="188"/>
      <c r="V57" s="188"/>
      <c r="W57" s="189"/>
      <c r="X57" s="187"/>
      <c r="Y57" s="188"/>
      <c r="Z57" s="188"/>
      <c r="AA57" s="188"/>
      <c r="AB57" s="188"/>
      <c r="AC57" s="188"/>
      <c r="AD57" s="188"/>
      <c r="AE57" s="188"/>
      <c r="AF57" s="188"/>
      <c r="AG57" s="188"/>
      <c r="AH57" s="189"/>
      <c r="AI57" s="187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9"/>
      <c r="AU57" s="187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95"/>
    </row>
    <row r="58" spans="2:58" ht="13" customHeight="1" x14ac:dyDescent="0.25">
      <c r="B58" s="202"/>
      <c r="C58" s="188"/>
      <c r="D58" s="188"/>
      <c r="E58" s="188"/>
      <c r="F58" s="188"/>
      <c r="G58" s="188"/>
      <c r="H58" s="188"/>
      <c r="I58" s="188"/>
      <c r="J58" s="188"/>
      <c r="K58" s="188"/>
      <c r="L58" s="189"/>
      <c r="M58" s="187"/>
      <c r="N58" s="188"/>
      <c r="O58" s="188"/>
      <c r="P58" s="188"/>
      <c r="Q58" s="188"/>
      <c r="R58" s="188"/>
      <c r="S58" s="188"/>
      <c r="T58" s="188"/>
      <c r="U58" s="188"/>
      <c r="V58" s="188"/>
      <c r="W58" s="189"/>
      <c r="X58" s="187"/>
      <c r="Y58" s="188"/>
      <c r="Z58" s="188"/>
      <c r="AA58" s="188"/>
      <c r="AB58" s="188"/>
      <c r="AC58" s="188"/>
      <c r="AD58" s="188"/>
      <c r="AE58" s="188"/>
      <c r="AF58" s="188"/>
      <c r="AG58" s="188"/>
      <c r="AH58" s="189"/>
      <c r="AI58" s="187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9"/>
      <c r="AU58" s="187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95"/>
    </row>
    <row r="59" spans="2:58" ht="13" customHeight="1" x14ac:dyDescent="0.25">
      <c r="B59" s="206"/>
      <c r="C59" s="207"/>
      <c r="D59" s="207"/>
      <c r="E59" s="207"/>
      <c r="F59" s="207"/>
      <c r="G59" s="207"/>
      <c r="H59" s="207"/>
      <c r="I59" s="207"/>
      <c r="J59" s="207"/>
      <c r="K59" s="207"/>
      <c r="L59" s="208"/>
      <c r="M59" s="210"/>
      <c r="N59" s="207"/>
      <c r="O59" s="207"/>
      <c r="P59" s="207"/>
      <c r="Q59" s="207"/>
      <c r="R59" s="207"/>
      <c r="S59" s="207"/>
      <c r="T59" s="207"/>
      <c r="U59" s="207"/>
      <c r="V59" s="207"/>
      <c r="W59" s="208"/>
      <c r="X59" s="210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10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8"/>
      <c r="AU59" s="210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11"/>
    </row>
    <row r="60" spans="2:58" ht="13" customHeight="1" x14ac:dyDescent="0.25">
      <c r="B60" s="147" t="s">
        <v>372</v>
      </c>
      <c r="C60" s="148"/>
      <c r="D60" s="9" t="s">
        <v>19</v>
      </c>
      <c r="E60" s="124" t="s">
        <v>20</v>
      </c>
      <c r="F60" s="127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30"/>
    </row>
    <row r="61" spans="2:58" ht="13" customHeight="1" x14ac:dyDescent="0.25">
      <c r="B61" s="123" t="s">
        <v>226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2"/>
    </row>
    <row r="62" spans="2:58" ht="13" customHeight="1" thickBot="1" x14ac:dyDescent="0.3">
      <c r="B62" s="135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4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50" t="s">
        <v>227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</row>
    <row r="3" spans="2:47" ht="20.15" customHeight="1" x14ac:dyDescent="0.25">
      <c r="B3" s="152" t="s">
        <v>181</v>
      </c>
      <c r="C3" s="110" t="s">
        <v>163</v>
      </c>
      <c r="D3" s="160"/>
      <c r="E3" s="160"/>
      <c r="F3" s="160"/>
      <c r="G3" s="160"/>
      <c r="H3" s="161"/>
      <c r="I3" s="164" t="s">
        <v>8</v>
      </c>
      <c r="J3" s="160"/>
      <c r="K3" s="160"/>
      <c r="L3" s="160"/>
      <c r="M3" s="160"/>
      <c r="N3" s="160"/>
      <c r="O3" s="160"/>
      <c r="P3" s="165"/>
      <c r="Q3" s="110" t="s">
        <v>77</v>
      </c>
      <c r="R3" s="160"/>
      <c r="S3" s="165"/>
      <c r="T3" s="110" t="s">
        <v>10</v>
      </c>
      <c r="U3" s="160"/>
      <c r="V3" s="160"/>
      <c r="W3" s="165"/>
      <c r="X3" s="110" t="s">
        <v>80</v>
      </c>
      <c r="Y3" s="111"/>
      <c r="Z3" s="110" t="s">
        <v>11</v>
      </c>
      <c r="AA3" s="111"/>
      <c r="AB3" s="13" t="s">
        <v>13</v>
      </c>
      <c r="AC3" s="110" t="s">
        <v>14</v>
      </c>
      <c r="AD3" s="111"/>
      <c r="AE3" s="114" t="s">
        <v>88</v>
      </c>
      <c r="AF3" s="115"/>
      <c r="AG3" s="115"/>
      <c r="AH3" s="115"/>
      <c r="AI3" s="115"/>
      <c r="AJ3" s="115"/>
      <c r="AK3" s="116"/>
      <c r="AL3" s="110" t="s">
        <v>18</v>
      </c>
      <c r="AM3" s="156"/>
      <c r="AN3" s="157"/>
      <c r="AO3" s="156" t="s">
        <v>16</v>
      </c>
      <c r="AP3" s="156"/>
      <c r="AQ3" s="156"/>
      <c r="AR3" s="159"/>
    </row>
    <row r="4" spans="2:47" ht="30" customHeight="1" x14ac:dyDescent="0.25">
      <c r="B4" s="153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62" t="s">
        <v>62</v>
      </c>
      <c r="J4" s="163"/>
      <c r="K4" s="3" t="s">
        <v>6</v>
      </c>
      <c r="L4" s="3" t="s">
        <v>66</v>
      </c>
      <c r="M4" s="3" t="s">
        <v>164</v>
      </c>
      <c r="N4" s="3" t="s">
        <v>165</v>
      </c>
      <c r="O4" s="117" t="s">
        <v>7</v>
      </c>
      <c r="P4" s="118"/>
      <c r="Q4" s="155" t="s">
        <v>71</v>
      </c>
      <c r="R4" s="118"/>
      <c r="S4" s="3" t="s">
        <v>51</v>
      </c>
      <c r="T4" s="3" t="s">
        <v>75</v>
      </c>
      <c r="U4" s="155" t="s">
        <v>78</v>
      </c>
      <c r="V4" s="118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12" t="s">
        <v>89</v>
      </c>
      <c r="AF4" s="113"/>
      <c r="AG4" s="112" t="s">
        <v>92</v>
      </c>
      <c r="AH4" s="113"/>
      <c r="AI4" s="10" t="s">
        <v>166</v>
      </c>
      <c r="AJ4" s="10" t="s">
        <v>167</v>
      </c>
      <c r="AK4" s="11" t="s">
        <v>115</v>
      </c>
      <c r="AL4" s="155" t="s">
        <v>110</v>
      </c>
      <c r="AM4" s="118"/>
      <c r="AN4" s="29" t="s">
        <v>111</v>
      </c>
      <c r="AO4" s="26" t="s">
        <v>12</v>
      </c>
      <c r="AP4" s="3" t="s">
        <v>1</v>
      </c>
      <c r="AQ4" s="131" t="s">
        <v>161</v>
      </c>
      <c r="AR4" s="158"/>
      <c r="AU4" s="20"/>
    </row>
    <row r="5" spans="2:47" ht="20.15" customHeight="1" x14ac:dyDescent="0.25">
      <c r="B5" s="154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54">
        <v>5.638744354248047</v>
      </c>
      <c r="D6" s="54">
        <v>19.84592056274414</v>
      </c>
      <c r="E6" s="54">
        <v>419.35992431640625</v>
      </c>
      <c r="F6" s="54"/>
      <c r="G6" s="54"/>
      <c r="H6" s="55">
        <v>417.38800048828125</v>
      </c>
      <c r="I6" s="56">
        <v>25.191696166992188</v>
      </c>
      <c r="J6" s="54"/>
      <c r="K6" s="54">
        <v>42.80960464477539</v>
      </c>
      <c r="L6" s="54">
        <v>1.3308377265930176</v>
      </c>
      <c r="M6" s="54">
        <v>109.01150512695312</v>
      </c>
      <c r="N6" s="54">
        <v>112.73871612548828</v>
      </c>
      <c r="O6" s="54">
        <v>20.18683624267578</v>
      </c>
      <c r="P6" s="54"/>
      <c r="Q6" s="54"/>
      <c r="R6" s="54"/>
      <c r="S6" s="54">
        <v>139.7786407470703</v>
      </c>
      <c r="T6" s="54">
        <v>1.6100000143051147</v>
      </c>
      <c r="U6" s="54">
        <v>0.29887494444847107</v>
      </c>
      <c r="V6" s="54"/>
      <c r="W6" s="54">
        <v>90.69733428955078</v>
      </c>
      <c r="X6" s="54">
        <v>0.5310153365135193</v>
      </c>
      <c r="Y6" s="54" t="s">
        <v>4</v>
      </c>
      <c r="Z6" s="54">
        <v>0.7370370626449585</v>
      </c>
      <c r="AA6" s="54">
        <v>150.82464599609375</v>
      </c>
      <c r="AB6" s="54">
        <v>163.02806091308594</v>
      </c>
      <c r="AC6" s="54">
        <v>0.33394819498062134</v>
      </c>
      <c r="AD6" s="54">
        <v>155.38917541503906</v>
      </c>
      <c r="AE6" s="57">
        <v>33.79999923706055</v>
      </c>
      <c r="AF6" s="57"/>
      <c r="AG6" s="57"/>
      <c r="AH6" s="57">
        <v>13.710000038146973</v>
      </c>
      <c r="AI6" s="57"/>
      <c r="AJ6" s="57"/>
      <c r="AK6" s="57">
        <v>6.800000190734863</v>
      </c>
      <c r="AL6" s="54">
        <v>0</v>
      </c>
      <c r="AM6" s="58"/>
      <c r="AN6" s="59">
        <v>58.72757339477539</v>
      </c>
      <c r="AO6" s="60"/>
      <c r="AP6" s="61">
        <v>-81.48148345947266</v>
      </c>
      <c r="AQ6" s="61">
        <v>0.2868923544883728</v>
      </c>
      <c r="AR6" s="62"/>
    </row>
    <row r="7" spans="2:47" ht="13.5" customHeight="1" x14ac:dyDescent="0.25">
      <c r="B7" s="14">
        <v>0.875</v>
      </c>
      <c r="C7" s="54">
        <v>6.557436466217041</v>
      </c>
      <c r="D7" s="54">
        <v>19.363065719604492</v>
      </c>
      <c r="E7" s="54">
        <v>419.69744873046875</v>
      </c>
      <c r="F7" s="54">
        <v>0.33604687452316284</v>
      </c>
      <c r="G7" s="54">
        <v>0</v>
      </c>
      <c r="H7" s="55">
        <v>418.7760009765625</v>
      </c>
      <c r="I7" s="56">
        <v>26.153791427612305</v>
      </c>
      <c r="J7" s="54">
        <v>0.019993163645267487</v>
      </c>
      <c r="K7" s="54">
        <v>43.80786895751953</v>
      </c>
      <c r="L7" s="54">
        <v>1.3740596771240234</v>
      </c>
      <c r="M7" s="54">
        <v>110.3244400024414</v>
      </c>
      <c r="N7" s="54">
        <v>113.2595443725586</v>
      </c>
      <c r="O7" s="54">
        <v>20.242734909057617</v>
      </c>
      <c r="P7" s="54">
        <v>20.2705078125</v>
      </c>
      <c r="Q7" s="54"/>
      <c r="R7" s="54">
        <v>2.5355224609375</v>
      </c>
      <c r="S7" s="54">
        <v>139.34461975097656</v>
      </c>
      <c r="T7" s="54">
        <v>1.6100000143051147</v>
      </c>
      <c r="U7" s="54">
        <v>0.2995602488517761</v>
      </c>
      <c r="V7" s="54">
        <v>0.3000156283378601</v>
      </c>
      <c r="W7" s="54">
        <v>90.5743637084961</v>
      </c>
      <c r="X7" s="54">
        <v>0.5292859673500061</v>
      </c>
      <c r="Y7" s="54" t="s">
        <v>82</v>
      </c>
      <c r="Z7" s="54">
        <v>0.7408565282821655</v>
      </c>
      <c r="AA7" s="54">
        <v>150.27488708496094</v>
      </c>
      <c r="AB7" s="54">
        <v>162.8255157470703</v>
      </c>
      <c r="AC7" s="54">
        <v>0.3360460102558136</v>
      </c>
      <c r="AD7" s="54">
        <v>155.08535766601562</v>
      </c>
      <c r="AE7" s="57"/>
      <c r="AF7" s="57"/>
      <c r="AG7" s="57"/>
      <c r="AH7" s="57"/>
      <c r="AI7" s="57"/>
      <c r="AJ7" s="57"/>
      <c r="AK7" s="57"/>
      <c r="AL7" s="54">
        <v>3.168402671813965</v>
      </c>
      <c r="AM7" s="58">
        <v>0.005659179762005806</v>
      </c>
      <c r="AN7" s="59">
        <v>55.50130081176758</v>
      </c>
      <c r="AO7" s="60"/>
      <c r="AP7" s="61">
        <v>-81.33680725097656</v>
      </c>
      <c r="AQ7" s="61">
        <v>0.29832175374031067</v>
      </c>
      <c r="AR7" s="62">
        <v>0.0002891693147830665</v>
      </c>
    </row>
    <row r="8" spans="2:47" ht="13.5" customHeight="1" x14ac:dyDescent="0.25">
      <c r="B8" s="41" t="s">
        <v>271</v>
      </c>
      <c r="C8" s="54">
        <v>5.465133190155029</v>
      </c>
      <c r="D8" s="54">
        <v>19.254558563232422</v>
      </c>
      <c r="E8" s="54">
        <v>419.5163879394531</v>
      </c>
      <c r="F8" s="54">
        <v>0.26826563477516174</v>
      </c>
      <c r="G8" s="54">
        <v>0</v>
      </c>
      <c r="H8" s="55">
        <v>419.6122131347656</v>
      </c>
      <c r="I8" s="56">
        <v>25.925926208496094</v>
      </c>
      <c r="J8" s="54">
        <v>0.019532226026058197</v>
      </c>
      <c r="K8" s="54">
        <v>44.111690521240234</v>
      </c>
      <c r="L8" s="54">
        <v>1.389250636100769</v>
      </c>
      <c r="M8" s="54">
        <v>110.79644775390625</v>
      </c>
      <c r="N8" s="54">
        <v>112.5795669555664</v>
      </c>
      <c r="O8" s="54">
        <v>20.435531616210938</v>
      </c>
      <c r="P8" s="54">
        <v>20.2607421875</v>
      </c>
      <c r="Q8" s="54"/>
      <c r="R8" s="54">
        <v>2.5341796875</v>
      </c>
      <c r="S8" s="54">
        <v>139.5760955810547</v>
      </c>
      <c r="T8" s="54">
        <v>1.6100000143051147</v>
      </c>
      <c r="U8" s="54">
        <v>0.3033720850944519</v>
      </c>
      <c r="V8" s="54">
        <v>0.29990625381469727</v>
      </c>
      <c r="W8" s="54">
        <v>90.84201049804688</v>
      </c>
      <c r="X8" s="54">
        <v>0.5293771028518677</v>
      </c>
      <c r="Y8" s="54" t="s">
        <v>82</v>
      </c>
      <c r="Z8" s="54">
        <v>0.7265046834945679</v>
      </c>
      <c r="AA8" s="54">
        <v>149.79745483398438</v>
      </c>
      <c r="AB8" s="54">
        <v>162.8255157470703</v>
      </c>
      <c r="AC8" s="54">
        <v>0.3311631977558136</v>
      </c>
      <c r="AD8" s="54">
        <v>155.0057830810547</v>
      </c>
      <c r="AE8" s="57"/>
      <c r="AF8" s="57"/>
      <c r="AG8" s="57"/>
      <c r="AH8" s="57"/>
      <c r="AI8" s="57"/>
      <c r="AJ8" s="57"/>
      <c r="AK8" s="57"/>
      <c r="AL8" s="54">
        <v>0</v>
      </c>
      <c r="AM8" s="58">
        <v>0.005474121309816837</v>
      </c>
      <c r="AN8" s="59">
        <v>55.11429214477539</v>
      </c>
      <c r="AO8" s="60"/>
      <c r="AP8" s="61">
        <v>-81.99507904052734</v>
      </c>
      <c r="AQ8" s="61">
        <v>0.29658564925193787</v>
      </c>
      <c r="AR8" s="62">
        <v>0.0002911529445555061</v>
      </c>
    </row>
    <row r="9" spans="2:47" ht="13.5" customHeight="1" x14ac:dyDescent="0.25">
      <c r="B9" s="14">
        <v>0.95833333333333337</v>
      </c>
      <c r="C9" s="54">
        <v>6.528501033782959</v>
      </c>
      <c r="D9" s="54">
        <v>19.189453125</v>
      </c>
      <c r="E9" s="54">
        <v>419.5633850097656</v>
      </c>
      <c r="F9" s="54">
        <v>0.33604687452316284</v>
      </c>
      <c r="G9" s="54">
        <v>0</v>
      </c>
      <c r="H9" s="55">
        <v>420.3726806640625</v>
      </c>
      <c r="I9" s="56">
        <v>28.356481552124023</v>
      </c>
      <c r="J9" s="54">
        <v>0.020334960892796516</v>
      </c>
      <c r="K9" s="54">
        <v>43.4968147277832</v>
      </c>
      <c r="L9" s="54">
        <v>1.3472042083740234</v>
      </c>
      <c r="M9" s="54">
        <v>110.69336700439453</v>
      </c>
      <c r="N9" s="54">
        <v>112.05150604248047</v>
      </c>
      <c r="O9" s="54">
        <v>20.26919174194336</v>
      </c>
      <c r="P9" s="54">
        <v>20.2685546875</v>
      </c>
      <c r="Q9" s="54"/>
      <c r="R9" s="54">
        <v>2.543701171875</v>
      </c>
      <c r="S9" s="54">
        <v>139.4820556640625</v>
      </c>
      <c r="T9" s="54">
        <v>1.6100000143051147</v>
      </c>
      <c r="U9" s="54">
        <v>0.3001142144203186</v>
      </c>
      <c r="V9" s="54">
        <v>0.3000156283378601</v>
      </c>
      <c r="W9" s="54">
        <v>90.24884033203125</v>
      </c>
      <c r="X9" s="54">
        <v>0.5280346870422363</v>
      </c>
      <c r="Y9" s="54" t="s">
        <v>82</v>
      </c>
      <c r="Z9" s="54">
        <v>0.7358217835426331</v>
      </c>
      <c r="AA9" s="54">
        <v>149.2910919189453</v>
      </c>
      <c r="AB9" s="54">
        <v>162.73870849609375</v>
      </c>
      <c r="AC9" s="54">
        <v>0.3353949785232544</v>
      </c>
      <c r="AD9" s="54">
        <v>154.90451049804688</v>
      </c>
      <c r="AE9" s="57"/>
      <c r="AF9" s="57"/>
      <c r="AG9" s="57"/>
      <c r="AH9" s="57"/>
      <c r="AI9" s="57"/>
      <c r="AJ9" s="57"/>
      <c r="AK9" s="57"/>
      <c r="AL9" s="54">
        <v>0</v>
      </c>
      <c r="AM9" s="58">
        <v>0.004143066238611937</v>
      </c>
      <c r="AN9" s="59">
        <v>53.620513916015625</v>
      </c>
      <c r="AO9" s="60"/>
      <c r="AP9" s="61">
        <v>-80.88107299804688</v>
      </c>
      <c r="AQ9" s="61">
        <v>0.29984086751937866</v>
      </c>
      <c r="AR9" s="62">
        <v>0.0002897186204791069</v>
      </c>
    </row>
    <row r="10" spans="2:47" ht="13.5" customHeight="1" x14ac:dyDescent="0.25">
      <c r="B10" s="41" t="s">
        <v>272</v>
      </c>
      <c r="C10" s="54">
        <v>5.439814567565918</v>
      </c>
      <c r="D10" s="54">
        <v>19.08637237548828</v>
      </c>
      <c r="E10" s="54">
        <v>419.4907531738281</v>
      </c>
      <c r="F10" s="54">
        <v>0.26378124952316284</v>
      </c>
      <c r="G10" s="54">
        <v>0</v>
      </c>
      <c r="H10" s="55">
        <v>421.0382080078125</v>
      </c>
      <c r="I10" s="56">
        <v>21.26736068725586</v>
      </c>
      <c r="J10" s="54">
        <v>0.019910156726837158</v>
      </c>
      <c r="K10" s="54">
        <v>45.081016540527344</v>
      </c>
      <c r="L10" s="54">
        <v>1.4518229961395264</v>
      </c>
      <c r="M10" s="54">
        <v>105.91905975341797</v>
      </c>
      <c r="N10" s="54">
        <v>111.25578308105469</v>
      </c>
      <c r="O10" s="54">
        <v>20.38063621520996</v>
      </c>
      <c r="P10" s="54">
        <v>20.283203125</v>
      </c>
      <c r="Q10" s="54"/>
      <c r="R10" s="54">
        <v>2.5628662109375</v>
      </c>
      <c r="S10" s="54">
        <v>139.53993225097656</v>
      </c>
      <c r="T10" s="54">
        <v>1.6100000143051147</v>
      </c>
      <c r="U10" s="54">
        <v>0.30151456594467163</v>
      </c>
      <c r="V10" s="54">
        <v>0.30012500286102295</v>
      </c>
      <c r="W10" s="54">
        <v>90.53819274902344</v>
      </c>
      <c r="X10" s="54">
        <v>0.5280618667602539</v>
      </c>
      <c r="Y10" s="54" t="s">
        <v>82</v>
      </c>
      <c r="Z10" s="54">
        <v>0.7300926446914673</v>
      </c>
      <c r="AA10" s="54">
        <v>150.1953125</v>
      </c>
      <c r="AB10" s="54">
        <v>162.77488708496094</v>
      </c>
      <c r="AC10" s="54">
        <v>0.3441840410232544</v>
      </c>
      <c r="AD10" s="54">
        <v>154.79600524902344</v>
      </c>
      <c r="AE10" s="57"/>
      <c r="AF10" s="57"/>
      <c r="AG10" s="57"/>
      <c r="AH10" s="57"/>
      <c r="AI10" s="57"/>
      <c r="AJ10" s="57"/>
      <c r="AK10" s="57"/>
      <c r="AL10" s="54">
        <v>9.132667541503906</v>
      </c>
      <c r="AM10" s="58">
        <v>0.004031738266348839</v>
      </c>
      <c r="AN10" s="59">
        <v>51.63845443725586</v>
      </c>
      <c r="AO10" s="60"/>
      <c r="AP10" s="61">
        <v>-79.18836975097656</v>
      </c>
      <c r="AQ10" s="61">
        <v>0.2918836772441864</v>
      </c>
      <c r="AR10" s="62">
        <v>0.00029339600587263703</v>
      </c>
    </row>
    <row r="11" spans="2:47" ht="13.5" customHeight="1" x14ac:dyDescent="0.25">
      <c r="B11" s="14">
        <v>4.1666666666666664E-2</v>
      </c>
      <c r="C11" s="54">
        <v>6.300636291503906</v>
      </c>
      <c r="D11" s="54">
        <v>18.92903709411621</v>
      </c>
      <c r="E11" s="54">
        <v>424.2121276855469</v>
      </c>
      <c r="F11" s="54">
        <v>0.33576563000679016</v>
      </c>
      <c r="G11" s="54">
        <v>0</v>
      </c>
      <c r="H11" s="55">
        <v>422.9232482910156</v>
      </c>
      <c r="I11" s="56">
        <v>19.039352416992188</v>
      </c>
      <c r="J11" s="54">
        <v>0.02007714845240116</v>
      </c>
      <c r="K11" s="54">
        <v>45.54397964477539</v>
      </c>
      <c r="L11" s="54">
        <v>1.445493459701538</v>
      </c>
      <c r="M11" s="54">
        <v>107.32965087890625</v>
      </c>
      <c r="N11" s="54">
        <v>111.61747741699219</v>
      </c>
      <c r="O11" s="54">
        <v>20.331974029541016</v>
      </c>
      <c r="P11" s="54">
        <v>20.26171875</v>
      </c>
      <c r="Q11" s="54"/>
      <c r="R11" s="54">
        <v>2.4825439453125</v>
      </c>
      <c r="S11" s="54">
        <v>139.30120849609375</v>
      </c>
      <c r="T11" s="54">
        <v>1.6100000143051147</v>
      </c>
      <c r="U11" s="54">
        <v>0.30047330260276794</v>
      </c>
      <c r="V11" s="54">
        <v>0.2999218702316284</v>
      </c>
      <c r="W11" s="54">
        <v>90.69010162353516</v>
      </c>
      <c r="X11" s="54">
        <v>0.5283559560775757</v>
      </c>
      <c r="Y11" s="54" t="s">
        <v>82</v>
      </c>
      <c r="Z11" s="54">
        <v>0.7358217835426331</v>
      </c>
      <c r="AA11" s="54">
        <v>149.46469116210938</v>
      </c>
      <c r="AB11" s="54">
        <v>162.8182830810547</v>
      </c>
      <c r="AC11" s="54">
        <v>0.4039713442325592</v>
      </c>
      <c r="AD11" s="54">
        <v>154.68026733398438</v>
      </c>
      <c r="AE11" s="57"/>
      <c r="AF11" s="57"/>
      <c r="AG11" s="57"/>
      <c r="AH11" s="57"/>
      <c r="AI11" s="57"/>
      <c r="AJ11" s="57"/>
      <c r="AK11" s="57"/>
      <c r="AL11" s="54">
        <v>3.3275463581085205</v>
      </c>
      <c r="AM11" s="58">
        <v>0.003898437600582838</v>
      </c>
      <c r="AN11" s="59">
        <v>49.42852783203125</v>
      </c>
      <c r="AO11" s="60"/>
      <c r="AP11" s="61">
        <v>-80.96788024902344</v>
      </c>
      <c r="AQ11" s="61">
        <v>0.283203125</v>
      </c>
      <c r="AR11" s="62">
        <v>0.0002898254315368831</v>
      </c>
    </row>
    <row r="12" spans="2:47" ht="13.5" customHeight="1" x14ac:dyDescent="0.25">
      <c r="B12" s="41" t="s">
        <v>273</v>
      </c>
      <c r="C12" s="54">
        <v>5.331307888031006</v>
      </c>
      <c r="D12" s="54">
        <v>18.679471969604492</v>
      </c>
      <c r="E12" s="54">
        <v>424.16339111328125</v>
      </c>
      <c r="F12" s="54">
        <v>0.26282811164855957</v>
      </c>
      <c r="G12" s="54">
        <v>0</v>
      </c>
      <c r="H12" s="55">
        <v>424.4366149902344</v>
      </c>
      <c r="I12" s="56">
        <v>26.43229103088379</v>
      </c>
      <c r="J12" s="54">
        <v>0.02056249976158142</v>
      </c>
      <c r="K12" s="54">
        <v>43.28703689575195</v>
      </c>
      <c r="L12" s="54">
        <v>1.3830114603042603</v>
      </c>
      <c r="M12" s="54">
        <v>110.34071350097656</v>
      </c>
      <c r="N12" s="54">
        <v>110.7928237915039</v>
      </c>
      <c r="O12" s="54">
        <v>20.032794952392578</v>
      </c>
      <c r="P12" s="54">
        <v>20.2724609375</v>
      </c>
      <c r="Q12" s="54"/>
      <c r="R12" s="54">
        <v>2.5828857421875</v>
      </c>
      <c r="S12" s="54">
        <v>139.2288818359375</v>
      </c>
      <c r="T12" s="54">
        <v>1.6100000143051147</v>
      </c>
      <c r="U12" s="54">
        <v>0.29887181520462036</v>
      </c>
      <c r="V12" s="54">
        <v>0.3000781238079071</v>
      </c>
      <c r="W12" s="54">
        <v>90.69733428955078</v>
      </c>
      <c r="X12" s="54">
        <v>0.5308695435523987</v>
      </c>
      <c r="Y12" s="54" t="s">
        <v>82</v>
      </c>
      <c r="Z12" s="54">
        <v>0.7493056058883667</v>
      </c>
      <c r="AA12" s="54">
        <v>150.23870849609375</v>
      </c>
      <c r="AB12" s="54">
        <v>162.74594116210938</v>
      </c>
      <c r="AC12" s="54">
        <v>0.4225260317325592</v>
      </c>
      <c r="AD12" s="54">
        <v>154.69473266601562</v>
      </c>
      <c r="AE12" s="57"/>
      <c r="AF12" s="57"/>
      <c r="AG12" s="57"/>
      <c r="AH12" s="57"/>
      <c r="AI12" s="57"/>
      <c r="AJ12" s="57"/>
      <c r="AK12" s="57"/>
      <c r="AL12" s="54">
        <v>0</v>
      </c>
      <c r="AM12" s="58">
        <v>0.005195800680667162</v>
      </c>
      <c r="AN12" s="59">
        <v>61.65726089477539</v>
      </c>
      <c r="AO12" s="60"/>
      <c r="AP12" s="61">
        <v>-79.39091491699219</v>
      </c>
      <c r="AQ12" s="61">
        <v>0.3118489682674408</v>
      </c>
      <c r="AR12" s="62">
        <v>0.0002946929889731109</v>
      </c>
    </row>
    <row r="13" spans="2:47" ht="13.5" customHeight="1" x14ac:dyDescent="0.25">
      <c r="B13" s="14">
        <v>0.125</v>
      </c>
      <c r="C13" s="54">
        <v>6.372974395751953</v>
      </c>
      <c r="D13" s="54">
        <v>18.690322875976562</v>
      </c>
      <c r="E13" s="54">
        <v>424.4891662597656</v>
      </c>
      <c r="F13" s="54">
        <v>0.3356093764305115</v>
      </c>
      <c r="G13" s="54">
        <v>0</v>
      </c>
      <c r="H13" s="55">
        <v>425.8929138183594</v>
      </c>
      <c r="I13" s="56">
        <v>24.280237197875977</v>
      </c>
      <c r="J13" s="54">
        <v>0.020188476890325546</v>
      </c>
      <c r="K13" s="54">
        <v>43.974246978759766</v>
      </c>
      <c r="L13" s="54">
        <v>1.4227973222732544</v>
      </c>
      <c r="M13" s="54">
        <v>110.81814575195312</v>
      </c>
      <c r="N13" s="54">
        <v>112.3046875</v>
      </c>
      <c r="O13" s="54">
        <v>20.169248580932617</v>
      </c>
      <c r="P13" s="54">
        <v>20.26171875</v>
      </c>
      <c r="Q13" s="54"/>
      <c r="R13" s="54">
        <v>2.5303955078125</v>
      </c>
      <c r="S13" s="54">
        <v>139.53269958496094</v>
      </c>
      <c r="T13" s="54">
        <v>1.6100000143051147</v>
      </c>
      <c r="U13" s="54">
        <v>0.29827767610549927</v>
      </c>
      <c r="V13" s="54">
        <v>0.2998906373977661</v>
      </c>
      <c r="W13" s="54">
        <v>90.69733428955078</v>
      </c>
      <c r="X13" s="54">
        <v>0.5327737331390381</v>
      </c>
      <c r="Y13" s="54" t="s">
        <v>82</v>
      </c>
      <c r="Z13" s="54">
        <v>0.7446181178092957</v>
      </c>
      <c r="AA13" s="54">
        <v>150.9114532470703</v>
      </c>
      <c r="AB13" s="54">
        <v>162.87615966796875</v>
      </c>
      <c r="AC13" s="54">
        <v>0.4422381520271301</v>
      </c>
      <c r="AD13" s="54">
        <v>154.5645294189453</v>
      </c>
      <c r="AE13" s="57"/>
      <c r="AF13" s="57"/>
      <c r="AG13" s="57"/>
      <c r="AH13" s="57"/>
      <c r="AI13" s="57"/>
      <c r="AJ13" s="57"/>
      <c r="AK13" s="57"/>
      <c r="AL13" s="54">
        <v>2.159288167953491</v>
      </c>
      <c r="AM13" s="58">
        <v>0.008482909761369228</v>
      </c>
      <c r="AN13" s="59">
        <v>59.1688346862793</v>
      </c>
      <c r="AO13" s="60"/>
      <c r="AP13" s="61">
        <v>-81.18489837646484</v>
      </c>
      <c r="AQ13" s="61">
        <v>0.3079427182674408</v>
      </c>
      <c r="AR13" s="62">
        <v>0.0002902832056861371</v>
      </c>
    </row>
    <row r="14" spans="2:47" ht="13.5" customHeight="1" x14ac:dyDescent="0.25">
      <c r="B14" s="14">
        <v>0.16666666666666666</v>
      </c>
      <c r="C14" s="54">
        <v>5.1685471534729</v>
      </c>
      <c r="D14" s="54">
        <v>18.52756118774414</v>
      </c>
      <c r="E14" s="54">
        <v>424.1545715332031</v>
      </c>
      <c r="F14" s="54">
        <v>0.26640623807907104</v>
      </c>
      <c r="G14" s="54">
        <v>0</v>
      </c>
      <c r="H14" s="55">
        <v>426.9048767089844</v>
      </c>
      <c r="I14" s="56">
        <v>16.229022979736328</v>
      </c>
      <c r="J14" s="54">
        <v>0.019898436963558197</v>
      </c>
      <c r="K14" s="54">
        <v>44.719329833984375</v>
      </c>
      <c r="L14" s="54">
        <v>1.433286428451538</v>
      </c>
      <c r="M14" s="54">
        <v>109.58116912841797</v>
      </c>
      <c r="N14" s="54">
        <v>113.18721008300781</v>
      </c>
      <c r="O14" s="54">
        <v>20.38498306274414</v>
      </c>
      <c r="P14" s="54">
        <v>20.2763671875</v>
      </c>
      <c r="Q14" s="54"/>
      <c r="R14" s="54">
        <v>2.5108642578125</v>
      </c>
      <c r="S14" s="54">
        <v>139.75694274902344</v>
      </c>
      <c r="T14" s="54">
        <v>1.6100000143051147</v>
      </c>
      <c r="U14" s="54">
        <v>0.29937610030174255</v>
      </c>
      <c r="V14" s="54">
        <v>0.30012500286102295</v>
      </c>
      <c r="W14" s="54">
        <v>90.16926574707031</v>
      </c>
      <c r="X14" s="54">
        <v>0.5322716236114502</v>
      </c>
      <c r="Y14" s="54" t="s">
        <v>82</v>
      </c>
      <c r="Z14" s="54">
        <v>0.7351852059364319</v>
      </c>
      <c r="AA14" s="54">
        <v>150.49913024902344</v>
      </c>
      <c r="AB14" s="54">
        <v>163.0135955810547</v>
      </c>
      <c r="AC14" s="54">
        <v>0.42343026399612427</v>
      </c>
      <c r="AD14" s="54">
        <v>154.55728149414062</v>
      </c>
      <c r="AE14" s="57"/>
      <c r="AF14" s="57"/>
      <c r="AG14" s="57"/>
      <c r="AH14" s="57"/>
      <c r="AI14" s="57"/>
      <c r="AJ14" s="57"/>
      <c r="AK14" s="57"/>
      <c r="AL14" s="54">
        <v>1.2622973918914795</v>
      </c>
      <c r="AM14" s="58">
        <v>0.005700195208191872</v>
      </c>
      <c r="AN14" s="59">
        <v>58.7782096862793</v>
      </c>
      <c r="AO14" s="60"/>
      <c r="AP14" s="61">
        <v>-79.95515441894531</v>
      </c>
      <c r="AQ14" s="61">
        <v>0.30353009700775146</v>
      </c>
      <c r="AR14" s="62">
        <v>0.0002911682240664959</v>
      </c>
    </row>
    <row r="15" spans="2:47" ht="13.5" customHeight="1" x14ac:dyDescent="0.25">
      <c r="B15" s="14">
        <v>0.20833333333333334</v>
      </c>
      <c r="C15" s="54">
        <v>6.14149284362793</v>
      </c>
      <c r="D15" s="54">
        <v>18.64691925048828</v>
      </c>
      <c r="E15" s="54">
        <v>417.40570068359375</v>
      </c>
      <c r="F15" s="54">
        <v>0.33598437905311584</v>
      </c>
      <c r="G15" s="54">
        <v>0</v>
      </c>
      <c r="H15" s="55">
        <v>426.04119873046875</v>
      </c>
      <c r="I15" s="56">
        <v>24.862558364868164</v>
      </c>
      <c r="J15" s="54">
        <v>0.020263671875</v>
      </c>
      <c r="K15" s="54">
        <v>41.91261672973633</v>
      </c>
      <c r="L15" s="54">
        <v>1.3189020156860352</v>
      </c>
      <c r="M15" s="54">
        <v>111.0568618774414</v>
      </c>
      <c r="N15" s="54">
        <v>111.42939758300781</v>
      </c>
      <c r="O15" s="54">
        <v>20.21613121032715</v>
      </c>
      <c r="P15" s="54">
        <v>20.2607421875</v>
      </c>
      <c r="Q15" s="54"/>
      <c r="R15" s="54">
        <v>2.57568359375</v>
      </c>
      <c r="S15" s="54">
        <v>139.4241943359375</v>
      </c>
      <c r="T15" s="54">
        <v>1.6100000143051147</v>
      </c>
      <c r="U15" s="54">
        <v>0.29918327927589417</v>
      </c>
      <c r="V15" s="54">
        <v>0.2999531328678131</v>
      </c>
      <c r="W15" s="54">
        <v>90.22714233398438</v>
      </c>
      <c r="X15" s="54">
        <v>0.5303108096122742</v>
      </c>
      <c r="Y15" s="54" t="s">
        <v>82</v>
      </c>
      <c r="Z15" s="54">
        <v>0.7414352297782898</v>
      </c>
      <c r="AA15" s="54">
        <v>149.5081024169922</v>
      </c>
      <c r="AB15" s="54">
        <v>162.8182830810547</v>
      </c>
      <c r="AC15" s="54">
        <v>0.38212528824806213</v>
      </c>
      <c r="AD15" s="54">
        <v>154.40538024902344</v>
      </c>
      <c r="AE15" s="57"/>
      <c r="AF15" s="57"/>
      <c r="AG15" s="57"/>
      <c r="AH15" s="57"/>
      <c r="AI15" s="57"/>
      <c r="AJ15" s="57"/>
      <c r="AK15" s="57"/>
      <c r="AL15" s="54">
        <v>0</v>
      </c>
      <c r="AM15" s="58">
        <v>0.004887695424258709</v>
      </c>
      <c r="AN15" s="59">
        <v>56.745513916015625</v>
      </c>
      <c r="AO15" s="60"/>
      <c r="AP15" s="61">
        <v>-81.28617095947266</v>
      </c>
      <c r="AQ15" s="61">
        <v>0.27987557649612427</v>
      </c>
      <c r="AR15" s="62">
        <v>0.0002926025481428951</v>
      </c>
    </row>
    <row r="16" spans="2:47" ht="13.5" customHeight="1" x14ac:dyDescent="0.25">
      <c r="B16" s="14">
        <v>0.25</v>
      </c>
      <c r="C16" s="54">
        <v>5.146845817565918</v>
      </c>
      <c r="D16" s="54">
        <v>18.60894203186035</v>
      </c>
      <c r="E16" s="54">
        <v>417.3763427734375</v>
      </c>
      <c r="F16" s="54">
        <v>0.2652656137943268</v>
      </c>
      <c r="G16" s="54">
        <v>0</v>
      </c>
      <c r="H16" s="55">
        <v>424.7259826660156</v>
      </c>
      <c r="I16" s="56">
        <v>22.583911895751953</v>
      </c>
      <c r="J16" s="54">
        <v>0.019832031801342964</v>
      </c>
      <c r="K16" s="54">
        <v>45.02314758300781</v>
      </c>
      <c r="L16" s="54">
        <v>1.4336481094360352</v>
      </c>
      <c r="M16" s="54">
        <v>107.95356750488281</v>
      </c>
      <c r="N16" s="54">
        <v>112.63744354248047</v>
      </c>
      <c r="O16" s="54">
        <v>20.109745025634766</v>
      </c>
      <c r="P16" s="54">
        <v>20.271484375</v>
      </c>
      <c r="Q16" s="54"/>
      <c r="R16" s="54">
        <v>2.46484375</v>
      </c>
      <c r="S16" s="54">
        <v>139.72801208496094</v>
      </c>
      <c r="T16" s="54">
        <v>1.6100000143051147</v>
      </c>
      <c r="U16" s="54">
        <v>0.29970115423202515</v>
      </c>
      <c r="V16" s="54">
        <v>0.29996874928474426</v>
      </c>
      <c r="W16" s="54">
        <v>90.32841491699219</v>
      </c>
      <c r="X16" s="54">
        <v>0.5309711694717407</v>
      </c>
      <c r="Y16" s="54" t="s">
        <v>82</v>
      </c>
      <c r="Z16" s="54">
        <v>0.7350694537162781</v>
      </c>
      <c r="AA16" s="54">
        <v>149.8770294189453</v>
      </c>
      <c r="AB16" s="54">
        <v>163.15103149414062</v>
      </c>
      <c r="AC16" s="54">
        <v>0.42657697200775146</v>
      </c>
      <c r="AD16" s="54">
        <v>154.96961975097656</v>
      </c>
      <c r="AE16" s="57"/>
      <c r="AF16" s="57"/>
      <c r="AG16" s="57"/>
      <c r="AH16" s="57"/>
      <c r="AI16" s="57"/>
      <c r="AJ16" s="57"/>
      <c r="AK16" s="57"/>
      <c r="AL16" s="54">
        <v>2.039930582046509</v>
      </c>
      <c r="AM16" s="58">
        <v>0.0045410157181322575</v>
      </c>
      <c r="AN16" s="59">
        <v>56.48147964477539</v>
      </c>
      <c r="AO16" s="60"/>
      <c r="AP16" s="61">
        <v>-80.94618225097656</v>
      </c>
      <c r="AQ16" s="61">
        <v>0.2907986044883728</v>
      </c>
      <c r="AR16" s="62">
        <v>0.00028976440080441535</v>
      </c>
    </row>
    <row r="17" spans="2:44" ht="13.5" customHeight="1" x14ac:dyDescent="0.25">
      <c r="B17" s="14">
        <v>0.29166666666666669</v>
      </c>
      <c r="C17" s="54">
        <v>6.022135257720947</v>
      </c>
      <c r="D17" s="54">
        <v>18.473308563232422</v>
      </c>
      <c r="E17" s="54">
        <v>420.919189453125</v>
      </c>
      <c r="F17" s="54">
        <v>0.335999995470047</v>
      </c>
      <c r="G17" s="54">
        <v>0</v>
      </c>
      <c r="H17" s="55">
        <v>423.4182434082031</v>
      </c>
      <c r="I17" s="56">
        <v>22.78645896911621</v>
      </c>
      <c r="J17" s="54">
        <v>0.020183593034744263</v>
      </c>
      <c r="K17" s="54">
        <v>45.124420166015625</v>
      </c>
      <c r="L17" s="54">
        <v>1.4413340091705322</v>
      </c>
      <c r="M17" s="54">
        <v>109.74935150146484</v>
      </c>
      <c r="N17" s="54">
        <v>112.73147583007812</v>
      </c>
      <c r="O17" s="54">
        <v>20.1817684173584</v>
      </c>
      <c r="P17" s="54">
        <v>20.2734375</v>
      </c>
      <c r="Q17" s="54"/>
      <c r="R17" s="54">
        <v>2.56005859375</v>
      </c>
      <c r="S17" s="54">
        <v>139.5182342529297</v>
      </c>
      <c r="T17" s="54">
        <v>1.6100000143051147</v>
      </c>
      <c r="U17" s="54">
        <v>0.29828310012817383</v>
      </c>
      <c r="V17" s="54">
        <v>0.3000781238079071</v>
      </c>
      <c r="W17" s="54">
        <v>90.27777862548828</v>
      </c>
      <c r="X17" s="54">
        <v>0.5305056571960449</v>
      </c>
      <c r="Y17" s="54" t="s">
        <v>82</v>
      </c>
      <c r="Z17" s="54">
        <v>0.7431134581565857</v>
      </c>
      <c r="AA17" s="54">
        <v>149.8697967529297</v>
      </c>
      <c r="AB17" s="54">
        <v>163.1582794189453</v>
      </c>
      <c r="AC17" s="54">
        <v>0.49059605598449707</v>
      </c>
      <c r="AD17" s="54">
        <v>155.25173950195312</v>
      </c>
      <c r="AE17" s="57"/>
      <c r="AF17" s="57"/>
      <c r="AG17" s="57"/>
      <c r="AH17" s="57"/>
      <c r="AI17" s="57"/>
      <c r="AJ17" s="57"/>
      <c r="AK17" s="57"/>
      <c r="AL17" s="54">
        <v>5.284287929534912</v>
      </c>
      <c r="AM17" s="58">
        <v>0.0044438475742936134</v>
      </c>
      <c r="AN17" s="59">
        <v>53.82667922973633</v>
      </c>
      <c r="AO17" s="60"/>
      <c r="AP17" s="61">
        <v>-80.10706329345703</v>
      </c>
      <c r="AQ17" s="61">
        <v>0.2927517294883728</v>
      </c>
      <c r="AR17" s="62">
        <v>0.0002920989936683327</v>
      </c>
    </row>
    <row r="18" spans="2:44" ht="13.5" customHeight="1" x14ac:dyDescent="0.25">
      <c r="B18" s="42">
        <v>0.33333333333333331</v>
      </c>
      <c r="C18" s="63">
        <v>5.65321159362793</v>
      </c>
      <c r="D18" s="63">
        <v>18.40277862548828</v>
      </c>
      <c r="E18" s="63">
        <v>418.324951171875</v>
      </c>
      <c r="F18" s="63">
        <v>0.2879374921321869</v>
      </c>
      <c r="G18" s="63">
        <v>0</v>
      </c>
      <c r="H18" s="64">
        <v>423.17803955078125</v>
      </c>
      <c r="I18" s="65">
        <v>0</v>
      </c>
      <c r="J18" s="63">
        <v>0.019990233704447746</v>
      </c>
      <c r="K18" s="63">
        <v>43.95977783203125</v>
      </c>
      <c r="L18" s="63">
        <v>1.3931387662887573</v>
      </c>
      <c r="M18" s="63">
        <v>111.23047637939453</v>
      </c>
      <c r="N18" s="63">
        <v>112.46382904052734</v>
      </c>
      <c r="O18" s="63">
        <v>20.087291717529297</v>
      </c>
      <c r="P18" s="63">
        <v>20.259765625</v>
      </c>
      <c r="Q18" s="63"/>
      <c r="R18" s="63">
        <v>2.4368896484375</v>
      </c>
      <c r="S18" s="63">
        <v>139.26504516601562</v>
      </c>
      <c r="T18" s="63">
        <v>1.6100000143051147</v>
      </c>
      <c r="U18" s="63">
        <v>0.296278178691864</v>
      </c>
      <c r="V18" s="63">
        <v>0.2999218702316284</v>
      </c>
      <c r="W18" s="63">
        <v>90.51649475097656</v>
      </c>
      <c r="X18" s="63">
        <v>0.5305678248405457</v>
      </c>
      <c r="Y18" s="63">
        <v>0.5278884768486023</v>
      </c>
      <c r="Z18" s="63">
        <v>0.7468750476837158</v>
      </c>
      <c r="AA18" s="63">
        <v>150.24594116210938</v>
      </c>
      <c r="AB18" s="63">
        <v>163.10040283203125</v>
      </c>
      <c r="AC18" s="63">
        <v>0.5190972089767456</v>
      </c>
      <c r="AD18" s="63">
        <v>155.2010955810547</v>
      </c>
      <c r="AE18" s="66">
        <v>34.47999954223633</v>
      </c>
      <c r="AF18" s="66"/>
      <c r="AG18" s="66"/>
      <c r="AH18" s="66">
        <v>16.09000015258789</v>
      </c>
      <c r="AI18" s="66">
        <v>15.5600004196167</v>
      </c>
      <c r="AJ18" s="66">
        <v>9.40999984741211</v>
      </c>
      <c r="AK18" s="66">
        <v>6.699999809265137</v>
      </c>
      <c r="AL18" s="63">
        <v>8.48524284362793</v>
      </c>
      <c r="AM18" s="67">
        <v>0.004681640770286322</v>
      </c>
      <c r="AN18" s="68">
        <v>60.608360290527344</v>
      </c>
      <c r="AO18" s="60"/>
      <c r="AP18" s="61">
        <v>-78.58073425292969</v>
      </c>
      <c r="AQ18" s="61">
        <v>0.30309605598449707</v>
      </c>
      <c r="AR18" s="69">
        <v>0.00029255676781758666</v>
      </c>
    </row>
    <row r="19" spans="2:44" ht="18" customHeight="1" x14ac:dyDescent="0.25">
      <c r="B19" s="122" t="s">
        <v>181</v>
      </c>
      <c r="C19" s="36" t="s">
        <v>168</v>
      </c>
      <c r="D19" s="36" t="s">
        <v>171</v>
      </c>
      <c r="E19" s="137" t="s">
        <v>17</v>
      </c>
      <c r="F19" s="138"/>
      <c r="G19" s="139"/>
      <c r="H19" s="140" t="s">
        <v>108</v>
      </c>
      <c r="I19" s="138"/>
      <c r="J19" s="138"/>
      <c r="K19" s="138"/>
      <c r="L19" s="141"/>
      <c r="M19" s="142" t="s">
        <v>123</v>
      </c>
      <c r="N19" s="138"/>
      <c r="O19" s="138"/>
      <c r="P19" s="138"/>
      <c r="Q19" s="139"/>
      <c r="R19" s="140" t="s">
        <v>147</v>
      </c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9"/>
      <c r="AG19" s="143" t="s">
        <v>24</v>
      </c>
      <c r="AH19" s="139"/>
      <c r="AI19" s="119" t="s">
        <v>173</v>
      </c>
      <c r="AJ19" s="120"/>
      <c r="AK19" s="120"/>
      <c r="AL19" s="120"/>
      <c r="AM19" s="121"/>
      <c r="AN19" s="143" t="s">
        <v>47</v>
      </c>
      <c r="AO19" s="144"/>
      <c r="AP19" s="138" t="s">
        <v>180</v>
      </c>
      <c r="AQ19" s="145"/>
      <c r="AR19" s="146"/>
    </row>
    <row r="20" spans="2:44" ht="20.15" customHeight="1" x14ac:dyDescent="0.25">
      <c r="B20" s="123"/>
      <c r="C20" s="3" t="s">
        <v>169</v>
      </c>
      <c r="D20" s="3" t="s">
        <v>113</v>
      </c>
      <c r="E20" s="3" t="s">
        <v>15</v>
      </c>
      <c r="F20" s="117" t="s">
        <v>100</v>
      </c>
      <c r="G20" s="118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31" t="s">
        <v>148</v>
      </c>
      <c r="AE20" s="118"/>
      <c r="AF20" s="17" t="s">
        <v>151</v>
      </c>
      <c r="AG20" s="17" t="s">
        <v>153</v>
      </c>
      <c r="AH20" s="17" t="s">
        <v>155</v>
      </c>
      <c r="AI20" s="112" t="s">
        <v>89</v>
      </c>
      <c r="AJ20" s="113"/>
      <c r="AK20" s="112" t="s">
        <v>92</v>
      </c>
      <c r="AL20" s="113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2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54">
        <v>-81.48148345947266</v>
      </c>
      <c r="D22" s="54">
        <v>-80.9100112915039</v>
      </c>
      <c r="E22" s="54">
        <v>103.12861633300781</v>
      </c>
      <c r="F22" s="54">
        <v>0.0939670130610466</v>
      </c>
      <c r="G22" s="54"/>
      <c r="H22" s="54"/>
      <c r="I22" s="54"/>
      <c r="J22" s="54"/>
      <c r="K22" s="54"/>
      <c r="L22" s="55"/>
      <c r="M22" s="70">
        <v>26.609519958496094</v>
      </c>
      <c r="N22" s="54">
        <v>46.52777862548828</v>
      </c>
      <c r="O22" s="54">
        <v>39.5</v>
      </c>
      <c r="P22" s="54">
        <v>22</v>
      </c>
      <c r="Q22" s="54">
        <v>3.511284828186035</v>
      </c>
      <c r="R22" s="54">
        <v>20.373987197875977</v>
      </c>
      <c r="S22" s="71">
        <v>91.71730041503906</v>
      </c>
      <c r="T22" s="71">
        <v>8.5</v>
      </c>
      <c r="U22" s="71">
        <v>0</v>
      </c>
      <c r="V22" s="71">
        <v>19.12434959411621</v>
      </c>
      <c r="W22" s="71">
        <v>50.667320251464844</v>
      </c>
      <c r="X22" s="71">
        <v>28</v>
      </c>
      <c r="Y22" s="71">
        <v>75.32479858398438</v>
      </c>
      <c r="Z22" s="71">
        <v>15.006509780883789</v>
      </c>
      <c r="AA22" s="71">
        <v>17.87109375</v>
      </c>
      <c r="AB22" s="71"/>
      <c r="AC22" s="58"/>
      <c r="AD22" s="58">
        <v>1.5482856035232544</v>
      </c>
      <c r="AE22" s="58"/>
      <c r="AF22" s="58">
        <v>19.614439010620117</v>
      </c>
      <c r="AG22" s="58">
        <v>19.831451416015625</v>
      </c>
      <c r="AH22" s="58"/>
      <c r="AI22" s="72"/>
      <c r="AJ22" s="72"/>
      <c r="AK22" s="72"/>
      <c r="AL22" s="72"/>
      <c r="AM22" s="72"/>
      <c r="AN22" s="58">
        <v>50.80295181274414</v>
      </c>
      <c r="AO22" s="59">
        <v>50</v>
      </c>
      <c r="AP22" s="60">
        <v>26.63845443725586</v>
      </c>
      <c r="AQ22" s="61">
        <v>39.68460464477539</v>
      </c>
      <c r="AR22" s="62">
        <v>0.0868072509765625</v>
      </c>
    </row>
    <row r="23" spans="2:44" ht="13.5" customHeight="1" x14ac:dyDescent="0.25">
      <c r="B23" s="14">
        <v>0.875</v>
      </c>
      <c r="C23" s="54">
        <v>-81.33680725097656</v>
      </c>
      <c r="D23" s="54">
        <v>-80.94618225097656</v>
      </c>
      <c r="E23" s="54">
        <v>103.13223266601562</v>
      </c>
      <c r="F23" s="54">
        <v>0.0872395858168602</v>
      </c>
      <c r="G23" s="54">
        <v>8.364867971977219E-05</v>
      </c>
      <c r="H23" s="54"/>
      <c r="I23" s="54"/>
      <c r="J23" s="54"/>
      <c r="K23" s="54"/>
      <c r="L23" s="55"/>
      <c r="M23" s="70">
        <v>26.71440887451172</v>
      </c>
      <c r="N23" s="54">
        <v>47.71050262451172</v>
      </c>
      <c r="O23" s="54">
        <v>39.5</v>
      </c>
      <c r="P23" s="54">
        <v>22</v>
      </c>
      <c r="Q23" s="54">
        <v>3.3498263359069824</v>
      </c>
      <c r="R23" s="54">
        <v>20.033998489379883</v>
      </c>
      <c r="S23" s="71">
        <v>92.54557037353516</v>
      </c>
      <c r="T23" s="71">
        <v>8.5</v>
      </c>
      <c r="U23" s="71">
        <v>0</v>
      </c>
      <c r="V23" s="71">
        <v>19.18402862548828</v>
      </c>
      <c r="W23" s="71">
        <v>49.8155403137207</v>
      </c>
      <c r="X23" s="71">
        <v>28</v>
      </c>
      <c r="Y23" s="71">
        <v>75.11737060546875</v>
      </c>
      <c r="Z23" s="71">
        <v>14.872684478759766</v>
      </c>
      <c r="AA23" s="71">
        <v>18.386503219604492</v>
      </c>
      <c r="AB23" s="71"/>
      <c r="AC23" s="58"/>
      <c r="AD23" s="58">
        <v>1.5484483242034912</v>
      </c>
      <c r="AE23" s="58">
        <v>0.0013483886141330004</v>
      </c>
      <c r="AF23" s="58">
        <v>19.61805534362793</v>
      </c>
      <c r="AG23" s="58">
        <v>2.4594907760620117</v>
      </c>
      <c r="AH23" s="58">
        <v>433.5299987792969</v>
      </c>
      <c r="AI23" s="72"/>
      <c r="AJ23" s="72"/>
      <c r="AK23" s="72"/>
      <c r="AL23" s="72"/>
      <c r="AM23" s="72"/>
      <c r="AN23" s="58">
        <v>49.78298568725586</v>
      </c>
      <c r="AO23" s="59">
        <v>50</v>
      </c>
      <c r="AP23" s="60">
        <v>26.80121612548828</v>
      </c>
      <c r="AQ23" s="61">
        <v>39.6882209777832</v>
      </c>
      <c r="AR23" s="62">
        <v>0.09766387939453125</v>
      </c>
    </row>
    <row r="24" spans="2:44" ht="13.5" customHeight="1" x14ac:dyDescent="0.25">
      <c r="B24" s="41" t="s">
        <v>271</v>
      </c>
      <c r="C24" s="54">
        <v>-81.99507904052734</v>
      </c>
      <c r="D24" s="54">
        <v>-81.72743225097656</v>
      </c>
      <c r="E24" s="54">
        <v>103.12861633300781</v>
      </c>
      <c r="F24" s="54">
        <v>0.0876736119389534</v>
      </c>
      <c r="G24" s="54">
        <v>7.915496826171875E-05</v>
      </c>
      <c r="H24" s="54"/>
      <c r="I24" s="54"/>
      <c r="J24" s="54"/>
      <c r="K24" s="54"/>
      <c r="L24" s="55"/>
      <c r="M24" s="70">
        <v>26.35633659362793</v>
      </c>
      <c r="N24" s="54">
        <v>46.726707458496094</v>
      </c>
      <c r="O24" s="54">
        <v>39.5</v>
      </c>
      <c r="P24" s="54">
        <v>22</v>
      </c>
      <c r="Q24" s="54">
        <v>3.2404513359069824</v>
      </c>
      <c r="R24" s="54">
        <v>19.849536895751953</v>
      </c>
      <c r="S24" s="71">
        <v>92.97598266601562</v>
      </c>
      <c r="T24" s="71">
        <v>8.5</v>
      </c>
      <c r="U24" s="71">
        <v>0</v>
      </c>
      <c r="V24" s="71">
        <v>19.167753219604492</v>
      </c>
      <c r="W24" s="71">
        <v>48.583988189697266</v>
      </c>
      <c r="X24" s="71">
        <v>28</v>
      </c>
      <c r="Y24" s="71">
        <v>75.29676818847656</v>
      </c>
      <c r="Z24" s="71">
        <v>14.908853530883789</v>
      </c>
      <c r="AA24" s="71">
        <v>18.46245765686035</v>
      </c>
      <c r="AB24" s="71"/>
      <c r="AC24" s="58"/>
      <c r="AD24" s="58">
        <v>1.54833984375</v>
      </c>
      <c r="AE24" s="58">
        <v>0.001328918500803411</v>
      </c>
      <c r="AF24" s="58">
        <v>19.621671676635742</v>
      </c>
      <c r="AG24" s="58">
        <v>13.653790473937988</v>
      </c>
      <c r="AH24" s="58">
        <v>495.2099914550781</v>
      </c>
      <c r="AI24" s="72"/>
      <c r="AJ24" s="72"/>
      <c r="AK24" s="72"/>
      <c r="AL24" s="72"/>
      <c r="AM24" s="72"/>
      <c r="AN24" s="58">
        <v>48.799190521240234</v>
      </c>
      <c r="AO24" s="59">
        <v>50</v>
      </c>
      <c r="AP24" s="60">
        <v>26.792173385620117</v>
      </c>
      <c r="AQ24" s="61">
        <v>50.85720443725586</v>
      </c>
      <c r="AR24" s="62">
        <v>0.075958251953125</v>
      </c>
    </row>
    <row r="25" spans="2:44" ht="13.5" customHeight="1" x14ac:dyDescent="0.25">
      <c r="B25" s="14">
        <v>0.95833333333333337</v>
      </c>
      <c r="C25" s="54">
        <v>-80.88107299804688</v>
      </c>
      <c r="D25" s="54">
        <v>-80.56278991699219</v>
      </c>
      <c r="E25" s="54">
        <v>103.12861633300781</v>
      </c>
      <c r="F25" s="54">
        <v>0.08666087687015533</v>
      </c>
      <c r="G25" s="54">
        <v>8.134842209983617E-05</v>
      </c>
      <c r="H25" s="54"/>
      <c r="I25" s="54"/>
      <c r="J25" s="54"/>
      <c r="K25" s="54"/>
      <c r="L25" s="55"/>
      <c r="M25" s="70">
        <v>26.103153228759766</v>
      </c>
      <c r="N25" s="54">
        <v>46.260128021240234</v>
      </c>
      <c r="O25" s="54">
        <v>39.5</v>
      </c>
      <c r="P25" s="54">
        <v>22</v>
      </c>
      <c r="Q25" s="54">
        <v>3.325086832046509</v>
      </c>
      <c r="R25" s="54">
        <v>19.751880645751953</v>
      </c>
      <c r="S25" s="71">
        <v>94.8748550415039</v>
      </c>
      <c r="T25" s="71">
        <v>8.5</v>
      </c>
      <c r="U25" s="71">
        <v>0</v>
      </c>
      <c r="V25" s="71">
        <v>19.216581344604492</v>
      </c>
      <c r="W25" s="71">
        <v>47.53146743774414</v>
      </c>
      <c r="X25" s="71">
        <v>28</v>
      </c>
      <c r="Y25" s="71">
        <v>74.54553985595703</v>
      </c>
      <c r="Z25" s="71">
        <v>14.7804536819458</v>
      </c>
      <c r="AA25" s="71">
        <v>18.44075584411621</v>
      </c>
      <c r="AB25" s="71"/>
      <c r="AC25" s="58"/>
      <c r="AD25" s="58">
        <v>1.5483940839767456</v>
      </c>
      <c r="AE25" s="58">
        <v>0.0015486449701711535</v>
      </c>
      <c r="AF25" s="58">
        <v>19.592737197875977</v>
      </c>
      <c r="AG25" s="58">
        <v>15.129485130310059</v>
      </c>
      <c r="AH25" s="58"/>
      <c r="AI25" s="72"/>
      <c r="AJ25" s="72"/>
      <c r="AK25" s="72"/>
      <c r="AL25" s="72"/>
      <c r="AM25" s="72"/>
      <c r="AN25" s="58">
        <v>47.837093353271484</v>
      </c>
      <c r="AO25" s="59">
        <v>50</v>
      </c>
      <c r="AP25" s="60">
        <v>26.566116333007812</v>
      </c>
      <c r="AQ25" s="61">
        <v>41.52199172973633</v>
      </c>
      <c r="AR25" s="62">
        <v>0.075958251953125</v>
      </c>
    </row>
    <row r="26" spans="2:44" ht="13.5" customHeight="1" x14ac:dyDescent="0.25">
      <c r="B26" s="41" t="s">
        <v>272</v>
      </c>
      <c r="C26" s="54">
        <v>-79.18836975097656</v>
      </c>
      <c r="D26" s="54">
        <v>-78.86284637451172</v>
      </c>
      <c r="E26" s="54">
        <v>103.13584899902344</v>
      </c>
      <c r="F26" s="54">
        <v>0.09042245149612427</v>
      </c>
      <c r="G26" s="54">
        <v>8.421325765084475E-05</v>
      </c>
      <c r="H26" s="54"/>
      <c r="I26" s="54"/>
      <c r="J26" s="54"/>
      <c r="K26" s="54"/>
      <c r="L26" s="55"/>
      <c r="M26" s="70">
        <v>25.73784637451172</v>
      </c>
      <c r="N26" s="54">
        <v>46.6796875</v>
      </c>
      <c r="O26" s="54">
        <v>39.5</v>
      </c>
      <c r="P26" s="54">
        <v>22</v>
      </c>
      <c r="Q26" s="54">
        <v>3.3337674140930176</v>
      </c>
      <c r="R26" s="54">
        <v>19.578269958496094</v>
      </c>
      <c r="S26" s="71">
        <v>91.38092803955078</v>
      </c>
      <c r="T26" s="71">
        <v>8.5</v>
      </c>
      <c r="U26" s="71">
        <v>0</v>
      </c>
      <c r="V26" s="71">
        <v>19.31966209411621</v>
      </c>
      <c r="W26" s="71">
        <v>46.84787368774414</v>
      </c>
      <c r="X26" s="71">
        <v>28</v>
      </c>
      <c r="Y26" s="71">
        <v>74.94918060302734</v>
      </c>
      <c r="Z26" s="71">
        <v>14.58875846862793</v>
      </c>
      <c r="AA26" s="71">
        <v>18.359375</v>
      </c>
      <c r="AB26" s="71"/>
      <c r="AC26" s="58"/>
      <c r="AD26" s="58">
        <v>1.54833984375</v>
      </c>
      <c r="AE26" s="58">
        <v>0.0014891967875882983</v>
      </c>
      <c r="AF26" s="58">
        <v>19.59635353088379</v>
      </c>
      <c r="AG26" s="58">
        <v>17.10069465637207</v>
      </c>
      <c r="AH26" s="58"/>
      <c r="AI26" s="72"/>
      <c r="AJ26" s="72"/>
      <c r="AK26" s="72"/>
      <c r="AL26" s="72"/>
      <c r="AM26" s="72"/>
      <c r="AN26" s="58">
        <v>46.96903991699219</v>
      </c>
      <c r="AO26" s="59">
        <v>50</v>
      </c>
      <c r="AP26" s="60">
        <v>26.511863708496094</v>
      </c>
      <c r="AQ26" s="61">
        <v>40.11863327026367</v>
      </c>
      <c r="AR26" s="62">
        <v>0.0651092529296875</v>
      </c>
    </row>
    <row r="27" spans="2:44" ht="13.5" customHeight="1" x14ac:dyDescent="0.25">
      <c r="B27" s="14">
        <v>4.1666666666666664E-2</v>
      </c>
      <c r="C27" s="54">
        <v>-80.96788024902344</v>
      </c>
      <c r="D27" s="54">
        <v>-80.59896087646484</v>
      </c>
      <c r="E27" s="54">
        <v>103.12861633300781</v>
      </c>
      <c r="F27" s="54">
        <v>0.08796296268701553</v>
      </c>
      <c r="G27" s="54">
        <v>8.209228690247983E-05</v>
      </c>
      <c r="H27" s="54"/>
      <c r="I27" s="54"/>
      <c r="J27" s="54"/>
      <c r="K27" s="54"/>
      <c r="L27" s="55"/>
      <c r="M27" s="70">
        <v>25.69444465637207</v>
      </c>
      <c r="N27" s="54">
        <v>47.51880645751953</v>
      </c>
      <c r="O27" s="54">
        <v>39.5</v>
      </c>
      <c r="P27" s="54">
        <v>22</v>
      </c>
      <c r="Q27" s="54">
        <v>3.3098957538604736</v>
      </c>
      <c r="R27" s="54">
        <v>19.57465171813965</v>
      </c>
      <c r="S27" s="71">
        <v>92.55280303955078</v>
      </c>
      <c r="T27" s="71">
        <v>8.5</v>
      </c>
      <c r="U27" s="71">
        <v>0</v>
      </c>
      <c r="V27" s="71">
        <v>19.48784828186035</v>
      </c>
      <c r="W27" s="71">
        <v>46.240238189697266</v>
      </c>
      <c r="X27" s="71">
        <v>28</v>
      </c>
      <c r="Y27" s="71">
        <v>75.29676818847656</v>
      </c>
      <c r="Z27" s="71">
        <v>14.297597885131836</v>
      </c>
      <c r="AA27" s="71">
        <v>18.435331344604492</v>
      </c>
      <c r="AB27" s="71"/>
      <c r="AC27" s="58"/>
      <c r="AD27" s="58">
        <v>1.54833984375</v>
      </c>
      <c r="AE27" s="58">
        <v>0.001148803741671145</v>
      </c>
      <c r="AF27" s="58">
        <v>19.61805534362793</v>
      </c>
      <c r="AG27" s="58">
        <v>23.083044052124023</v>
      </c>
      <c r="AH27" s="58"/>
      <c r="AI27" s="72"/>
      <c r="AJ27" s="72"/>
      <c r="AK27" s="72"/>
      <c r="AL27" s="72"/>
      <c r="AM27" s="72"/>
      <c r="AN27" s="58">
        <v>46.21672439575195</v>
      </c>
      <c r="AO27" s="59">
        <v>50</v>
      </c>
      <c r="AP27" s="60">
        <v>26.511863708496094</v>
      </c>
      <c r="AQ27" s="61">
        <v>39.811195373535156</v>
      </c>
      <c r="AR27" s="62">
        <v>0.0868072509765625</v>
      </c>
    </row>
    <row r="28" spans="2:44" ht="13.5" customHeight="1" x14ac:dyDescent="0.25">
      <c r="B28" s="41" t="s">
        <v>273</v>
      </c>
      <c r="C28" s="54">
        <v>-79.39091491699219</v>
      </c>
      <c r="D28" s="54">
        <v>-78.94965362548828</v>
      </c>
      <c r="E28" s="54">
        <v>103.13223266601562</v>
      </c>
      <c r="F28" s="54">
        <v>0.0807291641831398</v>
      </c>
      <c r="G28" s="54">
        <v>8.146285836119205E-05</v>
      </c>
      <c r="H28" s="54"/>
      <c r="I28" s="54"/>
      <c r="J28" s="54"/>
      <c r="K28" s="54"/>
      <c r="L28" s="55"/>
      <c r="M28" s="70">
        <v>25.82465171813965</v>
      </c>
      <c r="N28" s="54">
        <v>47.50434112548828</v>
      </c>
      <c r="O28" s="54">
        <v>39.5</v>
      </c>
      <c r="P28" s="54">
        <v>22</v>
      </c>
      <c r="Q28" s="54">
        <v>3.26171875</v>
      </c>
      <c r="R28" s="54">
        <v>19.4046573638916</v>
      </c>
      <c r="S28" s="71">
        <v>92.70832824707031</v>
      </c>
      <c r="T28" s="71">
        <v>8.5</v>
      </c>
      <c r="U28" s="71">
        <v>0</v>
      </c>
      <c r="V28" s="71">
        <v>18.191190719604492</v>
      </c>
      <c r="W28" s="71">
        <v>50.634769439697266</v>
      </c>
      <c r="X28" s="71">
        <v>28</v>
      </c>
      <c r="Y28" s="71">
        <v>75.02206420898438</v>
      </c>
      <c r="Z28" s="71">
        <v>14.212600708007812</v>
      </c>
      <c r="AA28" s="71">
        <v>18.39192771911621</v>
      </c>
      <c r="AB28" s="71"/>
      <c r="AC28" s="58"/>
      <c r="AD28" s="58">
        <v>1.5483940839767456</v>
      </c>
      <c r="AE28" s="58">
        <v>0.0015482177259400487</v>
      </c>
      <c r="AF28" s="58">
        <v>19.62890625</v>
      </c>
      <c r="AG28" s="58">
        <v>19.73741340637207</v>
      </c>
      <c r="AH28" s="58"/>
      <c r="AI28" s="72"/>
      <c r="AJ28" s="72"/>
      <c r="AK28" s="72"/>
      <c r="AL28" s="72"/>
      <c r="AM28" s="72"/>
      <c r="AN28" s="58">
        <v>48.93663024902344</v>
      </c>
      <c r="AO28" s="59">
        <v>50</v>
      </c>
      <c r="AP28" s="60">
        <v>26.701749801635742</v>
      </c>
      <c r="AQ28" s="61">
        <v>39.84375</v>
      </c>
      <c r="AR28" s="62">
        <v>0.09766387939453125</v>
      </c>
    </row>
    <row r="29" spans="2:44" ht="13.5" customHeight="1" x14ac:dyDescent="0.25">
      <c r="B29" s="14">
        <v>0.125</v>
      </c>
      <c r="C29" s="54">
        <v>-81.18489837646484</v>
      </c>
      <c r="D29" s="54">
        <v>-80.82320404052734</v>
      </c>
      <c r="E29" s="54">
        <v>103.13223266601562</v>
      </c>
      <c r="F29" s="54">
        <v>0.08514178544282913</v>
      </c>
      <c r="G29" s="54">
        <v>8.087158494163305E-05</v>
      </c>
      <c r="H29" s="54"/>
      <c r="I29" s="54"/>
      <c r="J29" s="54"/>
      <c r="K29" s="54"/>
      <c r="L29" s="55"/>
      <c r="M29" s="70">
        <v>25.817419052124023</v>
      </c>
      <c r="N29" s="54">
        <v>46.27097702026367</v>
      </c>
      <c r="O29" s="54">
        <v>39.5</v>
      </c>
      <c r="P29" s="54">
        <v>22</v>
      </c>
      <c r="Q29" s="54">
        <v>3.3693575859069824</v>
      </c>
      <c r="R29" s="54">
        <v>19.41189193725586</v>
      </c>
      <c r="S29" s="71">
        <v>93.63787078857422</v>
      </c>
      <c r="T29" s="71">
        <v>8.5</v>
      </c>
      <c r="U29" s="71">
        <v>0</v>
      </c>
      <c r="V29" s="71">
        <v>24.07769203186035</v>
      </c>
      <c r="W29" s="71">
        <v>56.00043487548828</v>
      </c>
      <c r="X29" s="71">
        <v>28</v>
      </c>
      <c r="Y29" s="71">
        <v>75.23509979248047</v>
      </c>
      <c r="Z29" s="71">
        <v>14.331958770751953</v>
      </c>
      <c r="AA29" s="71">
        <v>18.668621063232422</v>
      </c>
      <c r="AB29" s="71"/>
      <c r="AC29" s="58"/>
      <c r="AD29" s="58">
        <v>1.5484483242034912</v>
      </c>
      <c r="AE29" s="58">
        <v>0.0014743042411282659</v>
      </c>
      <c r="AF29" s="58">
        <v>19.686777114868164</v>
      </c>
      <c r="AG29" s="58">
        <v>37.72063064575195</v>
      </c>
      <c r="AH29" s="58"/>
      <c r="AI29" s="72"/>
      <c r="AJ29" s="72"/>
      <c r="AK29" s="72"/>
      <c r="AL29" s="72"/>
      <c r="AM29" s="72"/>
      <c r="AN29" s="58">
        <v>56.75636291503906</v>
      </c>
      <c r="AO29" s="59">
        <v>50</v>
      </c>
      <c r="AP29" s="60">
        <v>26.42144012451172</v>
      </c>
      <c r="AQ29" s="61">
        <v>39.717159271240234</v>
      </c>
      <c r="AR29" s="62">
        <v>0.09766387939453125</v>
      </c>
    </row>
    <row r="30" spans="2:44" ht="13.5" customHeight="1" x14ac:dyDescent="0.25">
      <c r="B30" s="14">
        <v>0.16666666666666666</v>
      </c>
      <c r="C30" s="54">
        <v>-79.95515441894531</v>
      </c>
      <c r="D30" s="54">
        <v>-79.57899475097656</v>
      </c>
      <c r="E30" s="54">
        <v>103.12861633300781</v>
      </c>
      <c r="F30" s="54">
        <v>0.054398149251937866</v>
      </c>
      <c r="G30" s="54">
        <v>8.145904575940222E-05</v>
      </c>
      <c r="H30" s="54"/>
      <c r="I30" s="54"/>
      <c r="J30" s="54"/>
      <c r="K30" s="54"/>
      <c r="L30" s="55"/>
      <c r="M30" s="70">
        <v>25.625722885131836</v>
      </c>
      <c r="N30" s="54">
        <v>45.576534271240234</v>
      </c>
      <c r="O30" s="54">
        <v>39.5</v>
      </c>
      <c r="P30" s="54">
        <v>22</v>
      </c>
      <c r="Q30" s="54">
        <v>3.321180582046509</v>
      </c>
      <c r="R30" s="54">
        <v>19.581886291503906</v>
      </c>
      <c r="S30" s="71">
        <v>93.59085845947266</v>
      </c>
      <c r="T30" s="71">
        <v>8.5</v>
      </c>
      <c r="U30" s="71">
        <v>0</v>
      </c>
      <c r="V30" s="71">
        <v>24.54427146911621</v>
      </c>
      <c r="W30" s="71">
        <v>54.55729293823242</v>
      </c>
      <c r="X30" s="71">
        <v>28</v>
      </c>
      <c r="Y30" s="71">
        <v>75.06130981445312</v>
      </c>
      <c r="Z30" s="71">
        <v>14.23611068725586</v>
      </c>
      <c r="AA30" s="71">
        <v>18.603515625</v>
      </c>
      <c r="AB30" s="71"/>
      <c r="AC30" s="58"/>
      <c r="AD30" s="58">
        <v>1.5483940839767456</v>
      </c>
      <c r="AE30" s="58">
        <v>0.0015477904817089438</v>
      </c>
      <c r="AF30" s="58">
        <v>19.69400978088379</v>
      </c>
      <c r="AG30" s="58">
        <v>23.531538009643555</v>
      </c>
      <c r="AH30" s="58"/>
      <c r="AI30" s="72"/>
      <c r="AJ30" s="72"/>
      <c r="AK30" s="72"/>
      <c r="AL30" s="72"/>
      <c r="AM30" s="72"/>
      <c r="AN30" s="58">
        <v>56.25</v>
      </c>
      <c r="AO30" s="59">
        <v>50</v>
      </c>
      <c r="AP30" s="60">
        <v>26.249637603759766</v>
      </c>
      <c r="AQ30" s="61">
        <v>39.43503952026367</v>
      </c>
      <c r="AR30" s="62">
        <v>0.05426025390625</v>
      </c>
    </row>
    <row r="31" spans="2:44" ht="13.5" customHeight="1" x14ac:dyDescent="0.25">
      <c r="B31" s="14">
        <v>0.20833333333333334</v>
      </c>
      <c r="C31" s="54">
        <v>-81.28617095947266</v>
      </c>
      <c r="D31" s="54">
        <v>-80.91724395751953</v>
      </c>
      <c r="E31" s="54">
        <v>103.125</v>
      </c>
      <c r="F31" s="54">
        <v>0.05237268656492233</v>
      </c>
      <c r="G31" s="54">
        <v>8.052444172790274E-05</v>
      </c>
      <c r="H31" s="54"/>
      <c r="I31" s="54"/>
      <c r="J31" s="54"/>
      <c r="K31" s="54"/>
      <c r="L31" s="55"/>
      <c r="M31" s="70">
        <v>25.73784637451172</v>
      </c>
      <c r="N31" s="54">
        <v>44.84953689575195</v>
      </c>
      <c r="O31" s="54">
        <v>39.5</v>
      </c>
      <c r="P31" s="54">
        <v>22</v>
      </c>
      <c r="Q31" s="54">
        <v>3.4791667461395264</v>
      </c>
      <c r="R31" s="54">
        <v>19.397424697875977</v>
      </c>
      <c r="S31" s="71">
        <v>92.9181137084961</v>
      </c>
      <c r="T31" s="71">
        <v>8.5</v>
      </c>
      <c r="U31" s="71">
        <v>0</v>
      </c>
      <c r="V31" s="71">
        <v>24.26215362548828</v>
      </c>
      <c r="W31" s="71">
        <v>53.521053314208984</v>
      </c>
      <c r="X31" s="71">
        <v>28</v>
      </c>
      <c r="Y31" s="71">
        <v>74.33250427246094</v>
      </c>
      <c r="Z31" s="71">
        <v>14.272279739379883</v>
      </c>
      <c r="AA31" s="71">
        <v>18.603515625</v>
      </c>
      <c r="AB31" s="71"/>
      <c r="AC31" s="58"/>
      <c r="AD31" s="58">
        <v>1.5483940839767456</v>
      </c>
      <c r="AE31" s="58">
        <v>0.0014258422888815403</v>
      </c>
      <c r="AF31" s="58">
        <v>19.755496978759766</v>
      </c>
      <c r="AG31" s="58">
        <v>15.180121421813965</v>
      </c>
      <c r="AH31" s="58"/>
      <c r="AI31" s="72"/>
      <c r="AJ31" s="72"/>
      <c r="AK31" s="72"/>
      <c r="AL31" s="72"/>
      <c r="AM31" s="72"/>
      <c r="AN31" s="58">
        <v>54.64409637451172</v>
      </c>
      <c r="AO31" s="59">
        <v>50</v>
      </c>
      <c r="AP31" s="60">
        <v>26.06879425048828</v>
      </c>
      <c r="AQ31" s="61">
        <v>40.31394577026367</v>
      </c>
      <c r="AR31" s="62">
        <v>0.075958251953125</v>
      </c>
    </row>
    <row r="32" spans="2:44" ht="13.5" customHeight="1" x14ac:dyDescent="0.25">
      <c r="B32" s="14">
        <v>0.25</v>
      </c>
      <c r="C32" s="54">
        <v>-80.94618225097656</v>
      </c>
      <c r="D32" s="54">
        <v>-80.6351318359375</v>
      </c>
      <c r="E32" s="54">
        <v>103.12861633300781</v>
      </c>
      <c r="F32" s="54">
        <v>0.0572916679084301</v>
      </c>
      <c r="G32" s="54">
        <v>7.949829159770161E-05</v>
      </c>
      <c r="H32" s="54"/>
      <c r="I32" s="54"/>
      <c r="J32" s="54"/>
      <c r="K32" s="54"/>
      <c r="L32" s="55"/>
      <c r="M32" s="70">
        <v>25.875288009643555</v>
      </c>
      <c r="N32" s="54">
        <v>45.73929214477539</v>
      </c>
      <c r="O32" s="54">
        <v>39.5</v>
      </c>
      <c r="P32" s="54">
        <v>22</v>
      </c>
      <c r="Q32" s="54">
        <v>3.4674479961395264</v>
      </c>
      <c r="R32" s="54">
        <v>19.448060989379883</v>
      </c>
      <c r="S32" s="71">
        <v>96.38671875</v>
      </c>
      <c r="T32" s="71">
        <v>8.5</v>
      </c>
      <c r="U32" s="71">
        <v>0</v>
      </c>
      <c r="V32" s="71">
        <v>23.49717903137207</v>
      </c>
      <c r="W32" s="71">
        <v>52.224395751953125</v>
      </c>
      <c r="X32" s="71">
        <v>28</v>
      </c>
      <c r="Y32" s="71">
        <v>75.02767181396484</v>
      </c>
      <c r="Z32" s="71">
        <v>14.142071723937988</v>
      </c>
      <c r="AA32" s="71">
        <v>18.679471969604492</v>
      </c>
      <c r="AB32" s="71"/>
      <c r="AC32" s="58"/>
      <c r="AD32" s="58">
        <v>1.54833984375</v>
      </c>
      <c r="AE32" s="58">
        <v>0.0015446166507899761</v>
      </c>
      <c r="AF32" s="58">
        <v>19.76996421813965</v>
      </c>
      <c r="AG32" s="58">
        <v>10.098379135131836</v>
      </c>
      <c r="AH32" s="58"/>
      <c r="AI32" s="72"/>
      <c r="AJ32" s="72"/>
      <c r="AK32" s="72"/>
      <c r="AL32" s="72"/>
      <c r="AM32" s="72"/>
      <c r="AN32" s="58">
        <v>53.10329818725586</v>
      </c>
      <c r="AO32" s="59">
        <v>50</v>
      </c>
      <c r="AP32" s="60">
        <v>26.186342239379883</v>
      </c>
      <c r="AQ32" s="61">
        <v>39.948638916015625</v>
      </c>
      <c r="AR32" s="62">
        <v>0.09766387939453125</v>
      </c>
    </row>
    <row r="33" spans="2:44" ht="13.5" customHeight="1" x14ac:dyDescent="0.25">
      <c r="B33" s="14">
        <v>0.29166666666666669</v>
      </c>
      <c r="C33" s="54">
        <v>-80.10706329345703</v>
      </c>
      <c r="D33" s="54">
        <v>-79.87557983398438</v>
      </c>
      <c r="E33" s="54">
        <v>103.125</v>
      </c>
      <c r="F33" s="54">
        <v>0.08709491044282913</v>
      </c>
      <c r="G33" s="54">
        <v>8.617019921075553E-05</v>
      </c>
      <c r="H33" s="54"/>
      <c r="I33" s="54"/>
      <c r="J33" s="54"/>
      <c r="K33" s="54"/>
      <c r="L33" s="55"/>
      <c r="M33" s="70">
        <v>26.186342239379883</v>
      </c>
      <c r="N33" s="54">
        <v>45.703125</v>
      </c>
      <c r="O33" s="54">
        <v>39.5</v>
      </c>
      <c r="P33" s="54">
        <v>22</v>
      </c>
      <c r="Q33" s="54">
        <v>3.5407986640930176</v>
      </c>
      <c r="R33" s="54">
        <v>19.466144561767578</v>
      </c>
      <c r="S33" s="71">
        <v>95.53312683105469</v>
      </c>
      <c r="T33" s="71">
        <v>8.5</v>
      </c>
      <c r="U33" s="71">
        <v>0</v>
      </c>
      <c r="V33" s="71">
        <v>23.04145050048828</v>
      </c>
      <c r="W33" s="71">
        <v>50.72699737548828</v>
      </c>
      <c r="X33" s="71">
        <v>28</v>
      </c>
      <c r="Y33" s="71">
        <v>74.51750946044922</v>
      </c>
      <c r="Z33" s="71">
        <v>13.932291030883789</v>
      </c>
      <c r="AA33" s="71">
        <v>18.619792938232422</v>
      </c>
      <c r="AB33" s="71"/>
      <c r="AC33" s="58"/>
      <c r="AD33" s="58">
        <v>1.5483940839767456</v>
      </c>
      <c r="AE33" s="58">
        <v>0.0015446166507899761</v>
      </c>
      <c r="AF33" s="58">
        <v>19.777198791503906</v>
      </c>
      <c r="AG33" s="58">
        <v>16.09157943725586</v>
      </c>
      <c r="AH33" s="58"/>
      <c r="AI33" s="72"/>
      <c r="AJ33" s="72"/>
      <c r="AK33" s="72"/>
      <c r="AL33" s="72"/>
      <c r="AM33" s="72"/>
      <c r="AN33" s="58">
        <v>51.54079818725586</v>
      </c>
      <c r="AO33" s="59">
        <v>50</v>
      </c>
      <c r="AP33" s="60">
        <v>25.191696166992188</v>
      </c>
      <c r="AQ33" s="61">
        <v>40.56351089477539</v>
      </c>
      <c r="AR33" s="62">
        <v>0.11936187744140625</v>
      </c>
    </row>
    <row r="34" spans="2:44" ht="13.5" customHeight="1" x14ac:dyDescent="0.25">
      <c r="B34" s="42">
        <v>0.33333333333333331</v>
      </c>
      <c r="C34" s="63">
        <v>-78.58073425292969</v>
      </c>
      <c r="D34" s="63">
        <v>-78.39988708496094</v>
      </c>
      <c r="E34" s="63">
        <v>103.13223266601562</v>
      </c>
      <c r="F34" s="63">
        <v>0.08058448880910873</v>
      </c>
      <c r="G34" s="63">
        <v>8.181762677850202E-05</v>
      </c>
      <c r="H34" s="63"/>
      <c r="I34" s="63"/>
      <c r="J34" s="63"/>
      <c r="K34" s="63"/>
      <c r="L34" s="64"/>
      <c r="M34" s="73">
        <v>26.613136291503906</v>
      </c>
      <c r="N34" s="63">
        <v>46.372249603271484</v>
      </c>
      <c r="O34" s="63">
        <v>39.5</v>
      </c>
      <c r="P34" s="63">
        <v>22</v>
      </c>
      <c r="Q34" s="63">
        <v>3.523871660232544</v>
      </c>
      <c r="R34" s="63">
        <v>19.458911895751953</v>
      </c>
      <c r="S34" s="74">
        <v>90.61415100097656</v>
      </c>
      <c r="T34" s="74">
        <v>8.5</v>
      </c>
      <c r="U34" s="74">
        <v>0</v>
      </c>
      <c r="V34" s="74">
        <v>59.771053314208984</v>
      </c>
      <c r="W34" s="74">
        <v>86.56684112548828</v>
      </c>
      <c r="X34" s="74">
        <v>28</v>
      </c>
      <c r="Y34" s="74">
        <v>74.96039581298828</v>
      </c>
      <c r="Z34" s="74">
        <v>13.798465728759766</v>
      </c>
      <c r="AA34" s="74">
        <v>17.85481834411621</v>
      </c>
      <c r="AB34" s="74"/>
      <c r="AC34" s="67"/>
      <c r="AD34" s="67">
        <v>1.5482856035232544</v>
      </c>
      <c r="AE34" s="67">
        <v>0.0006754150381311774</v>
      </c>
      <c r="AF34" s="67">
        <v>19.80251693725586</v>
      </c>
      <c r="AG34" s="67">
        <v>16.10243034362793</v>
      </c>
      <c r="AH34" s="67"/>
      <c r="AI34" s="75">
        <v>6.119999885559082</v>
      </c>
      <c r="AJ34" s="75"/>
      <c r="AK34" s="75"/>
      <c r="AL34" s="75"/>
      <c r="AM34" s="75"/>
      <c r="AN34" s="67">
        <v>50.159141540527344</v>
      </c>
      <c r="AO34" s="68">
        <v>50</v>
      </c>
      <c r="AP34" s="76">
        <v>25.128398895263672</v>
      </c>
      <c r="AQ34" s="77">
        <v>39.908851623535156</v>
      </c>
      <c r="AR34" s="78">
        <v>0.10851287841796875</v>
      </c>
    </row>
    <row r="35" spans="2:44" ht="15" customHeight="1" x14ac:dyDescent="0.25">
      <c r="B35" s="136" t="s">
        <v>181</v>
      </c>
      <c r="C35" s="137" t="s">
        <v>38</v>
      </c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7" t="s">
        <v>216</v>
      </c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9"/>
      <c r="AK35" s="143" t="s">
        <v>48</v>
      </c>
      <c r="AL35" s="141"/>
      <c r="AM35" s="170" t="s">
        <v>223</v>
      </c>
      <c r="AN35" s="171"/>
      <c r="AO35" s="43"/>
      <c r="AP35" s="43"/>
      <c r="AQ35" s="43"/>
      <c r="AR35" s="44"/>
    </row>
    <row r="36" spans="2:44" ht="20.15" customHeight="1" x14ac:dyDescent="0.25">
      <c r="B36" s="123"/>
      <c r="C36" s="117" t="s">
        <v>32</v>
      </c>
      <c r="D36" s="149"/>
      <c r="E36" s="117" t="s">
        <v>33</v>
      </c>
      <c r="F36" s="178"/>
      <c r="G36" s="149"/>
      <c r="H36" s="172" t="s">
        <v>276</v>
      </c>
      <c r="I36" s="173"/>
      <c r="J36" s="4" t="s">
        <v>27</v>
      </c>
      <c r="K36" s="4" t="s">
        <v>30</v>
      </c>
      <c r="L36" s="4" t="s">
        <v>191</v>
      </c>
      <c r="M36" s="174" t="s">
        <v>192</v>
      </c>
      <c r="N36" s="175"/>
      <c r="O36" s="4" t="s">
        <v>26</v>
      </c>
      <c r="P36" s="4" t="s">
        <v>197</v>
      </c>
      <c r="Q36" s="117" t="s">
        <v>199</v>
      </c>
      <c r="R36" s="179"/>
      <c r="S36" s="117" t="s">
        <v>202</v>
      </c>
      <c r="T36" s="179"/>
      <c r="U36" s="117" t="s">
        <v>201</v>
      </c>
      <c r="V36" s="176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31" t="s">
        <v>46</v>
      </c>
      <c r="AI36" s="177"/>
      <c r="AJ36" s="118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2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2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50">
        <v>0</v>
      </c>
      <c r="D39" s="50"/>
      <c r="E39" s="50">
        <v>50.96932601928711</v>
      </c>
      <c r="F39" s="50"/>
      <c r="G39" s="50"/>
      <c r="H39" s="50">
        <v>0</v>
      </c>
      <c r="I39" s="50"/>
      <c r="J39" s="50">
        <v>27.20811653137207</v>
      </c>
      <c r="K39" s="50">
        <v>40</v>
      </c>
      <c r="L39" s="50">
        <v>50.437644958496094</v>
      </c>
      <c r="M39" s="50">
        <v>0</v>
      </c>
      <c r="N39" s="50"/>
      <c r="O39" s="50">
        <v>29.81228256225586</v>
      </c>
      <c r="P39" s="50">
        <v>0.05000000074505806</v>
      </c>
      <c r="Q39" s="50">
        <v>0.19762732088565826</v>
      </c>
      <c r="R39" s="50"/>
      <c r="S39" s="50">
        <v>0</v>
      </c>
      <c r="T39" s="50"/>
      <c r="U39" s="51">
        <v>0</v>
      </c>
      <c r="V39" s="52"/>
      <c r="W39" s="53">
        <v>99.32363891601562</v>
      </c>
      <c r="X39" s="51">
        <v>18.569154739379883</v>
      </c>
      <c r="Y39" s="51">
        <v>50</v>
      </c>
      <c r="Z39" s="51">
        <v>0</v>
      </c>
      <c r="AA39" s="51">
        <v>19.12434959411621</v>
      </c>
      <c r="AB39" s="51">
        <v>50.667320251464844</v>
      </c>
      <c r="AC39" s="51">
        <v>50</v>
      </c>
      <c r="AD39" s="51">
        <v>123.79341125488281</v>
      </c>
      <c r="AE39" s="45">
        <v>15.006509780883789</v>
      </c>
      <c r="AF39" s="45">
        <v>17.87109375</v>
      </c>
      <c r="AG39" s="45">
        <v>172.72000122070312</v>
      </c>
      <c r="AH39" s="45">
        <v>0</v>
      </c>
      <c r="AI39" s="45">
        <v>0</v>
      </c>
      <c r="AJ39" s="45"/>
      <c r="AK39" s="45">
        <v>86.23408508300781</v>
      </c>
      <c r="AL39" s="47">
        <v>49.75405502319336</v>
      </c>
      <c r="AM39" s="49"/>
      <c r="AN39" s="46"/>
      <c r="AO39" s="45"/>
      <c r="AP39" s="45"/>
      <c r="AQ39" s="45"/>
      <c r="AR39" s="48"/>
    </row>
    <row r="40" spans="2:44" ht="13.5" customHeight="1" x14ac:dyDescent="0.25">
      <c r="B40" s="14">
        <v>0.875</v>
      </c>
      <c r="C40" s="54">
        <v>0</v>
      </c>
      <c r="D40" s="54">
        <v>6.151199016812825E-08</v>
      </c>
      <c r="E40" s="54">
        <v>40.870948791503906</v>
      </c>
      <c r="F40" s="54"/>
      <c r="G40" s="54"/>
      <c r="H40" s="54">
        <v>0</v>
      </c>
      <c r="I40" s="54">
        <v>0</v>
      </c>
      <c r="J40" s="54">
        <v>27.26236915588379</v>
      </c>
      <c r="K40" s="54">
        <v>40</v>
      </c>
      <c r="L40" s="54">
        <v>50.03074264526367</v>
      </c>
      <c r="M40" s="54">
        <v>0</v>
      </c>
      <c r="N40" s="54">
        <v>0</v>
      </c>
      <c r="O40" s="54">
        <v>29.739944458007812</v>
      </c>
      <c r="P40" s="54">
        <v>0.05000000074505806</v>
      </c>
      <c r="Q40" s="54">
        <v>0.19089987874031067</v>
      </c>
      <c r="R40" s="54">
        <v>0.00019823455659206957</v>
      </c>
      <c r="S40" s="54">
        <v>0</v>
      </c>
      <c r="T40" s="54">
        <v>0</v>
      </c>
      <c r="U40" s="71">
        <v>0</v>
      </c>
      <c r="V40" s="79">
        <v>0</v>
      </c>
      <c r="W40" s="80">
        <v>95.03399658203125</v>
      </c>
      <c r="X40" s="71">
        <v>19.473379135131836</v>
      </c>
      <c r="Y40" s="71">
        <v>35</v>
      </c>
      <c r="Z40" s="71">
        <v>93.32032012939453</v>
      </c>
      <c r="AA40" s="71">
        <v>19.18402862548828</v>
      </c>
      <c r="AB40" s="71">
        <v>49.8155403137207</v>
      </c>
      <c r="AC40" s="71">
        <v>35</v>
      </c>
      <c r="AD40" s="71">
        <v>94.89149475097656</v>
      </c>
      <c r="AE40" s="58">
        <v>14.872684478759766</v>
      </c>
      <c r="AF40" s="58">
        <v>18.386503219604492</v>
      </c>
      <c r="AG40" s="58"/>
      <c r="AH40" s="58">
        <v>0</v>
      </c>
      <c r="AI40" s="58">
        <v>0</v>
      </c>
      <c r="AJ40" s="58">
        <v>0</v>
      </c>
      <c r="AK40" s="58">
        <v>86.22685241699219</v>
      </c>
      <c r="AL40" s="59">
        <v>49.41551208496094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41" t="s">
        <v>271</v>
      </c>
      <c r="C41" s="54">
        <v>0</v>
      </c>
      <c r="D41" s="54">
        <v>6.895065212120244E-07</v>
      </c>
      <c r="E41" s="54">
        <v>55.00578689575195</v>
      </c>
      <c r="F41" s="54"/>
      <c r="G41" s="54"/>
      <c r="H41" s="54">
        <v>0</v>
      </c>
      <c r="I41" s="54">
        <v>0</v>
      </c>
      <c r="J41" s="54">
        <v>27.26236915588379</v>
      </c>
      <c r="K41" s="54">
        <v>40</v>
      </c>
      <c r="L41" s="54">
        <v>50.48285675048828</v>
      </c>
      <c r="M41" s="54">
        <v>0</v>
      </c>
      <c r="N41" s="54">
        <v>0</v>
      </c>
      <c r="O41" s="54">
        <v>29.56814193725586</v>
      </c>
      <c r="P41" s="54">
        <v>0.05000000074505806</v>
      </c>
      <c r="Q41" s="54">
        <v>0.19690394401550293</v>
      </c>
      <c r="R41" s="54">
        <v>0.00019821930618491024</v>
      </c>
      <c r="S41" s="54">
        <v>0</v>
      </c>
      <c r="T41" s="54">
        <v>0</v>
      </c>
      <c r="U41" s="71">
        <v>0</v>
      </c>
      <c r="V41" s="79">
        <v>0</v>
      </c>
      <c r="W41" s="80">
        <v>99.3453369140625</v>
      </c>
      <c r="X41" s="71">
        <v>18.829570770263672</v>
      </c>
      <c r="Y41" s="71">
        <v>35.5</v>
      </c>
      <c r="Z41" s="71">
        <v>94.64844512939453</v>
      </c>
      <c r="AA41" s="71">
        <v>19.167753219604492</v>
      </c>
      <c r="AB41" s="71">
        <v>48.583988189697266</v>
      </c>
      <c r="AC41" s="71">
        <v>35.5</v>
      </c>
      <c r="AD41" s="71">
        <v>96.18923950195312</v>
      </c>
      <c r="AE41" s="58">
        <v>14.908853530883789</v>
      </c>
      <c r="AF41" s="58">
        <v>18.46245765686035</v>
      </c>
      <c r="AG41" s="58"/>
      <c r="AH41" s="58">
        <v>0</v>
      </c>
      <c r="AI41" s="58">
        <v>0</v>
      </c>
      <c r="AJ41" s="58">
        <v>0</v>
      </c>
      <c r="AK41" s="58">
        <v>86.21600341796875</v>
      </c>
      <c r="AL41" s="59">
        <v>49.10879898071289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0.95833333333333337</v>
      </c>
      <c r="C42" s="54">
        <v>0</v>
      </c>
      <c r="D42" s="54">
        <v>2.980232238769531E-07</v>
      </c>
      <c r="E42" s="54">
        <v>51.98929214477539</v>
      </c>
      <c r="F42" s="54"/>
      <c r="G42" s="54"/>
      <c r="H42" s="54">
        <v>0</v>
      </c>
      <c r="I42" s="54">
        <v>0</v>
      </c>
      <c r="J42" s="54">
        <v>27.253328323364258</v>
      </c>
      <c r="K42" s="54">
        <v>40</v>
      </c>
      <c r="L42" s="54">
        <v>50.70891189575195</v>
      </c>
      <c r="M42" s="54">
        <v>0</v>
      </c>
      <c r="N42" s="54">
        <v>0</v>
      </c>
      <c r="O42" s="54">
        <v>29.450593948364258</v>
      </c>
      <c r="P42" s="54">
        <v>0.05000000074505806</v>
      </c>
      <c r="Q42" s="54">
        <v>0.20146122574806213</v>
      </c>
      <c r="R42" s="54">
        <v>0.0001974792539840564</v>
      </c>
      <c r="S42" s="54">
        <v>0</v>
      </c>
      <c r="T42" s="54">
        <v>0</v>
      </c>
      <c r="U42" s="71">
        <v>0</v>
      </c>
      <c r="V42" s="79">
        <v>0</v>
      </c>
      <c r="W42" s="80">
        <v>90.2162857055664</v>
      </c>
      <c r="X42" s="71">
        <v>17.874710083007812</v>
      </c>
      <c r="Y42" s="71">
        <v>35</v>
      </c>
      <c r="Z42" s="71">
        <v>93.22917175292969</v>
      </c>
      <c r="AA42" s="71">
        <v>19.216581344604492</v>
      </c>
      <c r="AB42" s="71">
        <v>47.53146743774414</v>
      </c>
      <c r="AC42" s="71">
        <v>35.5</v>
      </c>
      <c r="AD42" s="71">
        <v>95.90711975097656</v>
      </c>
      <c r="AE42" s="58">
        <v>14.7804536819458</v>
      </c>
      <c r="AF42" s="58">
        <v>18.44075584411621</v>
      </c>
      <c r="AG42" s="58">
        <v>193.5399932861328</v>
      </c>
      <c r="AH42" s="58">
        <v>0</v>
      </c>
      <c r="AI42" s="58">
        <v>0</v>
      </c>
      <c r="AJ42" s="58">
        <v>7.246947643579915E-05</v>
      </c>
      <c r="AK42" s="58">
        <v>86.18706512451172</v>
      </c>
      <c r="AL42" s="59">
        <v>48.87442398071289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41" t="s">
        <v>272</v>
      </c>
      <c r="C43" s="54">
        <v>0</v>
      </c>
      <c r="D43" s="54">
        <v>1.4441013718169415E-06</v>
      </c>
      <c r="E43" s="54">
        <v>48.34346008300781</v>
      </c>
      <c r="F43" s="54"/>
      <c r="G43" s="54"/>
      <c r="H43" s="54">
        <v>0</v>
      </c>
      <c r="I43" s="54">
        <v>0</v>
      </c>
      <c r="J43" s="54">
        <v>27.199073791503906</v>
      </c>
      <c r="K43" s="54">
        <v>40</v>
      </c>
      <c r="L43" s="54">
        <v>49.867984771728516</v>
      </c>
      <c r="M43" s="54">
        <v>0</v>
      </c>
      <c r="N43" s="54">
        <v>0</v>
      </c>
      <c r="O43" s="54">
        <v>29.342086791992188</v>
      </c>
      <c r="P43" s="54">
        <v>0.05000000074505806</v>
      </c>
      <c r="Q43" s="54">
        <v>0.19936342537403107</v>
      </c>
      <c r="R43" s="54">
        <v>0.0001991119352169335</v>
      </c>
      <c r="S43" s="54">
        <v>0</v>
      </c>
      <c r="T43" s="54">
        <v>0</v>
      </c>
      <c r="U43" s="71">
        <v>0</v>
      </c>
      <c r="V43" s="79">
        <v>0</v>
      </c>
      <c r="W43" s="80">
        <v>96.60734558105469</v>
      </c>
      <c r="X43" s="71">
        <v>16.746238708496094</v>
      </c>
      <c r="Y43" s="71">
        <v>35</v>
      </c>
      <c r="Z43" s="71">
        <v>92.33073425292969</v>
      </c>
      <c r="AA43" s="71">
        <v>19.31966209411621</v>
      </c>
      <c r="AB43" s="71">
        <v>46.84787368774414</v>
      </c>
      <c r="AC43" s="71">
        <v>35.5</v>
      </c>
      <c r="AD43" s="71">
        <v>95.22570037841797</v>
      </c>
      <c r="AE43" s="58">
        <v>14.58875846862793</v>
      </c>
      <c r="AF43" s="58">
        <v>18.359375</v>
      </c>
      <c r="AG43" s="58"/>
      <c r="AH43" s="58">
        <v>0</v>
      </c>
      <c r="AI43" s="58">
        <v>0</v>
      </c>
      <c r="AJ43" s="58">
        <v>0</v>
      </c>
      <c r="AK43" s="58">
        <v>86.16898345947266</v>
      </c>
      <c r="AL43" s="59">
        <v>48.49826431274414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4.1666666666666664E-2</v>
      </c>
      <c r="C44" s="54">
        <v>0</v>
      </c>
      <c r="D44" s="54">
        <v>2.327918991795741E-06</v>
      </c>
      <c r="E44" s="54">
        <v>61.328125</v>
      </c>
      <c r="F44" s="54"/>
      <c r="G44" s="54"/>
      <c r="H44" s="54">
        <v>0</v>
      </c>
      <c r="I44" s="54">
        <v>0</v>
      </c>
      <c r="J44" s="54">
        <v>27.144821166992188</v>
      </c>
      <c r="K44" s="54">
        <v>40</v>
      </c>
      <c r="L44" s="54">
        <v>49.69618225097656</v>
      </c>
      <c r="M44" s="54">
        <v>0</v>
      </c>
      <c r="N44" s="54">
        <v>0</v>
      </c>
      <c r="O44" s="54">
        <v>29.251663208007812</v>
      </c>
      <c r="P44" s="54">
        <v>0.05000000074505806</v>
      </c>
      <c r="Q44" s="54">
        <v>0.20232927799224854</v>
      </c>
      <c r="R44" s="54">
        <v>0.0001982269313884899</v>
      </c>
      <c r="S44" s="54">
        <v>0</v>
      </c>
      <c r="T44" s="54">
        <v>0</v>
      </c>
      <c r="U44" s="71">
        <v>0</v>
      </c>
      <c r="V44" s="79">
        <v>0</v>
      </c>
      <c r="W44" s="80">
        <v>96.55670928955078</v>
      </c>
      <c r="X44" s="71">
        <v>17.2562198638916</v>
      </c>
      <c r="Y44" s="71">
        <v>35</v>
      </c>
      <c r="Z44" s="71">
        <v>92.51736450195312</v>
      </c>
      <c r="AA44" s="71">
        <v>19.48784828186035</v>
      </c>
      <c r="AB44" s="71">
        <v>46.240238189697266</v>
      </c>
      <c r="AC44" s="71">
        <v>35</v>
      </c>
      <c r="AD44" s="71">
        <v>94.06684112548828</v>
      </c>
      <c r="AE44" s="58">
        <v>14.297597885131836</v>
      </c>
      <c r="AF44" s="58">
        <v>18.435331344604492</v>
      </c>
      <c r="AG44" s="58"/>
      <c r="AH44" s="58">
        <v>0</v>
      </c>
      <c r="AI44" s="58">
        <v>0</v>
      </c>
      <c r="AJ44" s="58">
        <v>0</v>
      </c>
      <c r="AK44" s="58">
        <v>86.15451049804688</v>
      </c>
      <c r="AL44" s="59">
        <v>48.16840362548828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41" t="s">
        <v>273</v>
      </c>
      <c r="C45" s="54">
        <v>0</v>
      </c>
      <c r="D45" s="54">
        <v>0</v>
      </c>
      <c r="E45" s="54">
        <v>62.080440521240234</v>
      </c>
      <c r="F45" s="54"/>
      <c r="G45" s="54"/>
      <c r="H45" s="54">
        <v>0</v>
      </c>
      <c r="I45" s="54">
        <v>0</v>
      </c>
      <c r="J45" s="54">
        <v>27.04535675048828</v>
      </c>
      <c r="K45" s="54">
        <v>40</v>
      </c>
      <c r="L45" s="54">
        <v>49.64192581176758</v>
      </c>
      <c r="M45" s="54">
        <v>0</v>
      </c>
      <c r="N45" s="54">
        <v>0</v>
      </c>
      <c r="O45" s="54">
        <v>29.07986068725586</v>
      </c>
      <c r="P45" s="54">
        <v>0.05000000074505806</v>
      </c>
      <c r="Q45" s="54">
        <v>0.20232927799224854</v>
      </c>
      <c r="R45" s="54">
        <v>0.0001993637124542147</v>
      </c>
      <c r="S45" s="54">
        <v>0</v>
      </c>
      <c r="T45" s="54">
        <v>0</v>
      </c>
      <c r="U45" s="71">
        <v>0</v>
      </c>
      <c r="V45" s="79">
        <v>0</v>
      </c>
      <c r="W45" s="80">
        <v>97.71773529052734</v>
      </c>
      <c r="X45" s="71">
        <v>17.44791603088379</v>
      </c>
      <c r="Y45" s="71">
        <v>30</v>
      </c>
      <c r="Z45" s="71">
        <v>79.34461975097656</v>
      </c>
      <c r="AA45" s="71">
        <v>18.191190719604492</v>
      </c>
      <c r="AB45" s="71">
        <v>50.634769439697266</v>
      </c>
      <c r="AC45" s="71">
        <v>30</v>
      </c>
      <c r="AD45" s="71">
        <v>80.46441650390625</v>
      </c>
      <c r="AE45" s="58">
        <v>14.212600708007812</v>
      </c>
      <c r="AF45" s="58">
        <v>18.39192771911621</v>
      </c>
      <c r="AG45" s="58"/>
      <c r="AH45" s="58">
        <v>0</v>
      </c>
      <c r="AI45" s="58">
        <v>0</v>
      </c>
      <c r="AJ45" s="58">
        <v>0</v>
      </c>
      <c r="AK45" s="58">
        <v>86.12919616699219</v>
      </c>
      <c r="AL45" s="59">
        <v>47.887733459472656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0.125</v>
      </c>
      <c r="C46" s="54">
        <v>0</v>
      </c>
      <c r="D46" s="54">
        <v>1.0702609642976313E-06</v>
      </c>
      <c r="E46" s="54">
        <v>53.190101623535156</v>
      </c>
      <c r="F46" s="54"/>
      <c r="G46" s="54"/>
      <c r="H46" s="54">
        <v>0</v>
      </c>
      <c r="I46" s="54">
        <v>0</v>
      </c>
      <c r="J46" s="54">
        <v>26.927806854248047</v>
      </c>
      <c r="K46" s="54">
        <v>40</v>
      </c>
      <c r="L46" s="54">
        <v>49.958404541015625</v>
      </c>
      <c r="M46" s="54">
        <v>0</v>
      </c>
      <c r="N46" s="54">
        <v>0</v>
      </c>
      <c r="O46" s="54">
        <v>28.908058166503906</v>
      </c>
      <c r="P46" s="54">
        <v>0.05000000074505806</v>
      </c>
      <c r="Q46" s="54">
        <v>0.18561922013759613</v>
      </c>
      <c r="R46" s="54">
        <v>0.00019699096446856856</v>
      </c>
      <c r="S46" s="54">
        <v>0</v>
      </c>
      <c r="T46" s="54">
        <v>0</v>
      </c>
      <c r="U46" s="71">
        <v>0</v>
      </c>
      <c r="V46" s="79">
        <v>0</v>
      </c>
      <c r="W46" s="80">
        <v>94.27806854248047</v>
      </c>
      <c r="X46" s="71">
        <v>16.681133270263672</v>
      </c>
      <c r="Y46" s="71">
        <v>30</v>
      </c>
      <c r="Z46" s="71">
        <v>78.25521087646484</v>
      </c>
      <c r="AA46" s="71">
        <v>24.07769203186035</v>
      </c>
      <c r="AB46" s="71">
        <v>56.00043487548828</v>
      </c>
      <c r="AC46" s="71">
        <v>30</v>
      </c>
      <c r="AD46" s="71">
        <v>79.84809112548828</v>
      </c>
      <c r="AE46" s="58">
        <v>14.331958770751953</v>
      </c>
      <c r="AF46" s="58">
        <v>18.668621063232422</v>
      </c>
      <c r="AG46" s="58"/>
      <c r="AH46" s="58">
        <v>0</v>
      </c>
      <c r="AI46" s="58">
        <v>0</v>
      </c>
      <c r="AJ46" s="58">
        <v>0</v>
      </c>
      <c r="AK46" s="58">
        <v>86.09664154052734</v>
      </c>
      <c r="AL46" s="59">
        <v>47.56076431274414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0.16666666666666666</v>
      </c>
      <c r="C47" s="54">
        <v>0</v>
      </c>
      <c r="D47" s="54">
        <v>0</v>
      </c>
      <c r="E47" s="54">
        <v>58.015045166015625</v>
      </c>
      <c r="F47" s="54"/>
      <c r="G47" s="54"/>
      <c r="H47" s="54">
        <v>0</v>
      </c>
      <c r="I47" s="54">
        <v>0</v>
      </c>
      <c r="J47" s="54">
        <v>26.737918853759766</v>
      </c>
      <c r="K47" s="54">
        <v>40</v>
      </c>
      <c r="L47" s="54">
        <v>49.623844146728516</v>
      </c>
      <c r="M47" s="54">
        <v>0</v>
      </c>
      <c r="N47" s="54">
        <v>0</v>
      </c>
      <c r="O47" s="54">
        <v>28.627748489379883</v>
      </c>
      <c r="P47" s="54">
        <v>0.05000000074505806</v>
      </c>
      <c r="Q47" s="54">
        <v>0.1879340261220932</v>
      </c>
      <c r="R47" s="54">
        <v>0.00018767548317555338</v>
      </c>
      <c r="S47" s="54">
        <v>0</v>
      </c>
      <c r="T47" s="54">
        <v>0</v>
      </c>
      <c r="U47" s="71">
        <v>0</v>
      </c>
      <c r="V47" s="79">
        <v>0</v>
      </c>
      <c r="W47" s="80">
        <v>99.9782943725586</v>
      </c>
      <c r="X47" s="71">
        <v>16.30859375</v>
      </c>
      <c r="Y47" s="71">
        <v>30</v>
      </c>
      <c r="Z47" s="71">
        <v>77.75173950195312</v>
      </c>
      <c r="AA47" s="71">
        <v>24.54427146911621</v>
      </c>
      <c r="AB47" s="71">
        <v>54.55729293823242</v>
      </c>
      <c r="AC47" s="71">
        <v>30</v>
      </c>
      <c r="AD47" s="71">
        <v>79.765625</v>
      </c>
      <c r="AE47" s="58">
        <v>14.23611068725586</v>
      </c>
      <c r="AF47" s="58">
        <v>18.603515625</v>
      </c>
      <c r="AG47" s="58"/>
      <c r="AH47" s="58">
        <v>0</v>
      </c>
      <c r="AI47" s="58">
        <v>0</v>
      </c>
      <c r="AJ47" s="58">
        <v>0</v>
      </c>
      <c r="AK47" s="58">
        <v>86.05685424804688</v>
      </c>
      <c r="AL47" s="59">
        <v>47.222225189208984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0.20833333333333334</v>
      </c>
      <c r="C48" s="54">
        <v>0</v>
      </c>
      <c r="D48" s="54">
        <v>7.898807439232769E-07</v>
      </c>
      <c r="E48" s="54">
        <v>51.69270706176758</v>
      </c>
      <c r="F48" s="54"/>
      <c r="G48" s="54"/>
      <c r="H48" s="54">
        <v>0</v>
      </c>
      <c r="I48" s="54">
        <v>0</v>
      </c>
      <c r="J48" s="54">
        <v>26.63845443725586</v>
      </c>
      <c r="K48" s="54">
        <v>40</v>
      </c>
      <c r="L48" s="54">
        <v>49.415870666503906</v>
      </c>
      <c r="M48" s="54">
        <v>0</v>
      </c>
      <c r="N48" s="54">
        <v>0</v>
      </c>
      <c r="O48" s="54">
        <v>28.45594596862793</v>
      </c>
      <c r="P48" s="54">
        <v>0.05000000074505806</v>
      </c>
      <c r="Q48" s="54">
        <v>0.18482349812984467</v>
      </c>
      <c r="R48" s="54">
        <v>0.00018793487106449902</v>
      </c>
      <c r="S48" s="54">
        <v>0</v>
      </c>
      <c r="T48" s="54">
        <v>0</v>
      </c>
      <c r="U48" s="71">
        <v>0</v>
      </c>
      <c r="V48" s="79">
        <v>0</v>
      </c>
      <c r="W48" s="80">
        <v>95.02314758300781</v>
      </c>
      <c r="X48" s="71">
        <v>17.212818145751953</v>
      </c>
      <c r="Y48" s="71">
        <v>30</v>
      </c>
      <c r="Z48" s="71">
        <v>78.52864837646484</v>
      </c>
      <c r="AA48" s="71">
        <v>24.26215362548828</v>
      </c>
      <c r="AB48" s="71">
        <v>53.521053314208984</v>
      </c>
      <c r="AC48" s="71">
        <v>30</v>
      </c>
      <c r="AD48" s="71">
        <v>79.96961975097656</v>
      </c>
      <c r="AE48" s="58">
        <v>14.272279739379883</v>
      </c>
      <c r="AF48" s="58">
        <v>18.603515625</v>
      </c>
      <c r="AG48" s="58"/>
      <c r="AH48" s="58">
        <v>0</v>
      </c>
      <c r="AI48" s="58">
        <v>0</v>
      </c>
      <c r="AJ48" s="58">
        <v>0</v>
      </c>
      <c r="AK48" s="58">
        <v>86.05323791503906</v>
      </c>
      <c r="AL48" s="59">
        <v>46.9328727722168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0.25</v>
      </c>
      <c r="C49" s="54">
        <v>0</v>
      </c>
      <c r="D49" s="54">
        <v>1.6713141803847975E-07</v>
      </c>
      <c r="E49" s="54">
        <v>65.17650604248047</v>
      </c>
      <c r="F49" s="54"/>
      <c r="G49" s="54"/>
      <c r="H49" s="54">
        <v>0</v>
      </c>
      <c r="I49" s="54">
        <v>0</v>
      </c>
      <c r="J49" s="54">
        <v>26.47569465637207</v>
      </c>
      <c r="K49" s="54">
        <v>40</v>
      </c>
      <c r="L49" s="54">
        <v>49.57863235473633</v>
      </c>
      <c r="M49" s="54">
        <v>0</v>
      </c>
      <c r="N49" s="54">
        <v>0</v>
      </c>
      <c r="O49" s="54">
        <v>28.29318618774414</v>
      </c>
      <c r="P49" s="54">
        <v>0.05000000074505806</v>
      </c>
      <c r="Q49" s="54">
        <v>0.18648727238178253</v>
      </c>
      <c r="R49" s="54">
        <v>0.00018717956845648587</v>
      </c>
      <c r="S49" s="54">
        <v>0</v>
      </c>
      <c r="T49" s="54">
        <v>0</v>
      </c>
      <c r="U49" s="71">
        <v>0</v>
      </c>
      <c r="V49" s="79">
        <v>0</v>
      </c>
      <c r="W49" s="80">
        <v>95.61993408203125</v>
      </c>
      <c r="X49" s="71">
        <v>17.63237762451172</v>
      </c>
      <c r="Y49" s="71">
        <v>30</v>
      </c>
      <c r="Z49" s="71">
        <v>78.17274475097656</v>
      </c>
      <c r="AA49" s="71">
        <v>23.49717903137207</v>
      </c>
      <c r="AB49" s="71">
        <v>52.224395751953125</v>
      </c>
      <c r="AC49" s="71">
        <v>30</v>
      </c>
      <c r="AD49" s="71">
        <v>80.0998306274414</v>
      </c>
      <c r="AE49" s="58">
        <v>14.142071723937988</v>
      </c>
      <c r="AF49" s="58">
        <v>18.679471969604492</v>
      </c>
      <c r="AG49" s="58"/>
      <c r="AH49" s="58">
        <v>0</v>
      </c>
      <c r="AI49" s="58">
        <v>0</v>
      </c>
      <c r="AJ49" s="58">
        <v>0</v>
      </c>
      <c r="AK49" s="58">
        <v>86.00621795654297</v>
      </c>
      <c r="AL49" s="59">
        <v>46.66666793823242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0.29166666666666669</v>
      </c>
      <c r="C50" s="54">
        <v>0</v>
      </c>
      <c r="D50" s="54">
        <v>1.4257430848374497E-05</v>
      </c>
      <c r="E50" s="54">
        <v>59.95370101928711</v>
      </c>
      <c r="F50" s="54"/>
      <c r="G50" s="54"/>
      <c r="H50" s="54">
        <v>0</v>
      </c>
      <c r="I50" s="54">
        <v>0</v>
      </c>
      <c r="J50" s="54">
        <v>26.321975708007812</v>
      </c>
      <c r="K50" s="54">
        <v>40</v>
      </c>
      <c r="L50" s="54">
        <v>48.84621047973633</v>
      </c>
      <c r="M50" s="54">
        <v>0</v>
      </c>
      <c r="N50" s="54">
        <v>0</v>
      </c>
      <c r="O50" s="54">
        <v>28.076171875</v>
      </c>
      <c r="P50" s="54">
        <v>0.05000000074505806</v>
      </c>
      <c r="Q50" s="54">
        <v>0.12420428544282913</v>
      </c>
      <c r="R50" s="54">
        <v>0.00014308928803075105</v>
      </c>
      <c r="S50" s="54">
        <v>0</v>
      </c>
      <c r="T50" s="54">
        <v>0</v>
      </c>
      <c r="U50" s="71">
        <v>0</v>
      </c>
      <c r="V50" s="79">
        <v>0</v>
      </c>
      <c r="W50" s="80">
        <v>92.17665100097656</v>
      </c>
      <c r="X50" s="71">
        <v>16.6015625</v>
      </c>
      <c r="Y50" s="71">
        <v>30</v>
      </c>
      <c r="Z50" s="71">
        <v>78.25955200195312</v>
      </c>
      <c r="AA50" s="71">
        <v>23.04145050048828</v>
      </c>
      <c r="AB50" s="71">
        <v>50.72699737548828</v>
      </c>
      <c r="AC50" s="71">
        <v>30</v>
      </c>
      <c r="AD50" s="71">
        <v>79.85243225097656</v>
      </c>
      <c r="AE50" s="58">
        <v>13.932291030883789</v>
      </c>
      <c r="AF50" s="58">
        <v>18.619792938232422</v>
      </c>
      <c r="AG50" s="58"/>
      <c r="AH50" s="58">
        <v>0</v>
      </c>
      <c r="AI50" s="58">
        <v>0</v>
      </c>
      <c r="AJ50" s="58">
        <v>0</v>
      </c>
      <c r="AK50" s="58">
        <v>85.99536895751953</v>
      </c>
      <c r="AL50" s="59">
        <v>46.3078727722168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42">
        <v>0.33333333333333331</v>
      </c>
      <c r="C51" s="63">
        <v>0</v>
      </c>
      <c r="D51" s="63">
        <v>1.0002612725656945E-05</v>
      </c>
      <c r="E51" s="63">
        <v>54.39814758300781</v>
      </c>
      <c r="F51" s="63"/>
      <c r="G51" s="63"/>
      <c r="H51" s="63">
        <v>0</v>
      </c>
      <c r="I51" s="63">
        <v>0</v>
      </c>
      <c r="J51" s="63">
        <v>26.15017318725586</v>
      </c>
      <c r="K51" s="63">
        <v>40</v>
      </c>
      <c r="L51" s="63">
        <v>47.96006774902344</v>
      </c>
      <c r="M51" s="63">
        <v>0</v>
      </c>
      <c r="N51" s="63">
        <v>0</v>
      </c>
      <c r="O51" s="63">
        <v>27.949581146240234</v>
      </c>
      <c r="P51" s="63">
        <v>0.05000000074505806</v>
      </c>
      <c r="Q51" s="63">
        <v>0.15610532462596893</v>
      </c>
      <c r="R51" s="63">
        <v>0.00013220978144090623</v>
      </c>
      <c r="S51" s="63">
        <v>0</v>
      </c>
      <c r="T51" s="63">
        <v>0</v>
      </c>
      <c r="U51" s="74">
        <v>0</v>
      </c>
      <c r="V51" s="82">
        <v>0</v>
      </c>
      <c r="W51" s="83">
        <v>97.44646453857422</v>
      </c>
      <c r="X51" s="74">
        <v>16.087963104248047</v>
      </c>
      <c r="Y51" s="74">
        <v>30</v>
      </c>
      <c r="Z51" s="74">
        <v>78.78472900390625</v>
      </c>
      <c r="AA51" s="74">
        <v>59.771053314208984</v>
      </c>
      <c r="AB51" s="74">
        <v>86.56684112548828</v>
      </c>
      <c r="AC51" s="74">
        <v>0</v>
      </c>
      <c r="AD51" s="74">
        <v>0</v>
      </c>
      <c r="AE51" s="67">
        <v>13.798465728759766</v>
      </c>
      <c r="AF51" s="67">
        <v>17.85481834411621</v>
      </c>
      <c r="AG51" s="67"/>
      <c r="AH51" s="67">
        <v>0</v>
      </c>
      <c r="AI51" s="67">
        <v>0</v>
      </c>
      <c r="AJ51" s="67">
        <v>0</v>
      </c>
      <c r="AK51" s="67">
        <v>85.97728729248047</v>
      </c>
      <c r="AL51" s="68">
        <v>46.00405502319336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47" t="s">
        <v>372</v>
      </c>
      <c r="C52" s="148"/>
      <c r="D52" s="9" t="s">
        <v>274</v>
      </c>
      <c r="E52" s="124" t="s">
        <v>20</v>
      </c>
      <c r="F52" s="127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9"/>
      <c r="AP52" s="129"/>
      <c r="AQ52" s="129"/>
      <c r="AR52" s="130"/>
    </row>
    <row r="53" spans="2:44" ht="13.5" customHeight="1" x14ac:dyDescent="0.25">
      <c r="B53" s="123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31"/>
      <c r="AP53" s="131"/>
      <c r="AQ53" s="131"/>
      <c r="AR53" s="132"/>
    </row>
    <row r="54" spans="2:44" ht="13.5" customHeight="1" thickBot="1" x14ac:dyDescent="0.3">
      <c r="B54" s="135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33"/>
      <c r="AP54" s="133"/>
      <c r="AQ54" s="133"/>
      <c r="AR54" s="134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50" t="s">
        <v>230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</row>
    <row r="2" spans="2:58" ht="13" customHeight="1" x14ac:dyDescent="0.25">
      <c r="B2" s="197" t="s">
        <v>232</v>
      </c>
      <c r="C2" s="160"/>
      <c r="D2" s="160"/>
      <c r="E2" s="160"/>
      <c r="F2" s="160"/>
      <c r="G2" s="160"/>
      <c r="H2" s="160"/>
      <c r="I2" s="160"/>
      <c r="J2" s="160"/>
      <c r="K2" s="160"/>
      <c r="L2" s="165"/>
      <c r="M2" s="198" t="s">
        <v>231</v>
      </c>
      <c r="N2" s="160"/>
      <c r="O2" s="160"/>
      <c r="P2" s="160"/>
      <c r="Q2" s="160"/>
      <c r="R2" s="160"/>
      <c r="S2" s="160"/>
      <c r="T2" s="160"/>
      <c r="U2" s="160"/>
      <c r="V2" s="160"/>
      <c r="W2" s="165"/>
      <c r="X2" s="110" t="s">
        <v>233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5"/>
      <c r="AI2" s="198" t="s">
        <v>234</v>
      </c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5"/>
      <c r="AU2" s="110" t="s">
        <v>235</v>
      </c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99"/>
    </row>
    <row r="3" spans="2:58" ht="13" customHeight="1" x14ac:dyDescent="0.25">
      <c r="B3" s="201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204"/>
      <c r="N3" s="185"/>
      <c r="O3" s="185"/>
      <c r="P3" s="185"/>
      <c r="Q3" s="185"/>
      <c r="R3" s="185"/>
      <c r="S3" s="185"/>
      <c r="T3" s="185"/>
      <c r="U3" s="185"/>
      <c r="V3" s="185"/>
      <c r="W3" s="186"/>
      <c r="X3" s="192"/>
      <c r="Y3" s="185"/>
      <c r="Z3" s="185"/>
      <c r="AA3" s="185"/>
      <c r="AB3" s="185"/>
      <c r="AC3" s="185"/>
      <c r="AD3" s="185"/>
      <c r="AE3" s="185"/>
      <c r="AF3" s="185"/>
      <c r="AG3" s="185"/>
      <c r="AH3" s="186"/>
      <c r="AI3" s="214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6"/>
      <c r="AU3" s="192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94"/>
    </row>
    <row r="4" spans="2:58" ht="13" customHeight="1" x14ac:dyDescent="0.25">
      <c r="B4" s="202"/>
      <c r="C4" s="188"/>
      <c r="D4" s="188"/>
      <c r="E4" s="188"/>
      <c r="F4" s="188"/>
      <c r="G4" s="188"/>
      <c r="H4" s="188"/>
      <c r="I4" s="188"/>
      <c r="J4" s="188"/>
      <c r="K4" s="188"/>
      <c r="L4" s="189"/>
      <c r="M4" s="187"/>
      <c r="N4" s="188"/>
      <c r="O4" s="188"/>
      <c r="P4" s="188"/>
      <c r="Q4" s="188"/>
      <c r="R4" s="188"/>
      <c r="S4" s="188"/>
      <c r="T4" s="188"/>
      <c r="U4" s="188"/>
      <c r="V4" s="188"/>
      <c r="W4" s="189"/>
      <c r="X4" s="187"/>
      <c r="Y4" s="188"/>
      <c r="Z4" s="188"/>
      <c r="AA4" s="188"/>
      <c r="AB4" s="188"/>
      <c r="AC4" s="188"/>
      <c r="AD4" s="188"/>
      <c r="AE4" s="188"/>
      <c r="AF4" s="188"/>
      <c r="AG4" s="188"/>
      <c r="AH4" s="189"/>
      <c r="AI4" s="187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9"/>
      <c r="AU4" s="187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95"/>
    </row>
    <row r="5" spans="2:58" ht="13" customHeight="1" x14ac:dyDescent="0.25">
      <c r="B5" s="202"/>
      <c r="C5" s="188"/>
      <c r="D5" s="188"/>
      <c r="E5" s="188"/>
      <c r="F5" s="188"/>
      <c r="G5" s="188"/>
      <c r="H5" s="188"/>
      <c r="I5" s="188"/>
      <c r="J5" s="188"/>
      <c r="K5" s="188"/>
      <c r="L5" s="189"/>
      <c r="M5" s="187"/>
      <c r="N5" s="188"/>
      <c r="O5" s="188"/>
      <c r="P5" s="188"/>
      <c r="Q5" s="188"/>
      <c r="R5" s="188"/>
      <c r="S5" s="188"/>
      <c r="T5" s="188"/>
      <c r="U5" s="188"/>
      <c r="V5" s="188"/>
      <c r="W5" s="189"/>
      <c r="X5" s="187"/>
      <c r="Y5" s="188"/>
      <c r="Z5" s="188"/>
      <c r="AA5" s="188"/>
      <c r="AB5" s="188"/>
      <c r="AC5" s="188"/>
      <c r="AD5" s="188"/>
      <c r="AE5" s="188"/>
      <c r="AF5" s="188"/>
      <c r="AG5" s="188"/>
      <c r="AH5" s="189"/>
      <c r="AI5" s="187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9"/>
      <c r="AU5" s="187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95"/>
    </row>
    <row r="6" spans="2:58" ht="13" customHeight="1" x14ac:dyDescent="0.25">
      <c r="B6" s="202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87"/>
      <c r="N6" s="188"/>
      <c r="O6" s="188"/>
      <c r="P6" s="188"/>
      <c r="Q6" s="188"/>
      <c r="R6" s="188"/>
      <c r="S6" s="188"/>
      <c r="T6" s="188"/>
      <c r="U6" s="188"/>
      <c r="V6" s="188"/>
      <c r="W6" s="189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87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9"/>
      <c r="AU6" s="187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95"/>
    </row>
    <row r="7" spans="2:58" ht="13" customHeight="1" x14ac:dyDescent="0.25">
      <c r="B7" s="202"/>
      <c r="C7" s="188"/>
      <c r="D7" s="188"/>
      <c r="E7" s="188"/>
      <c r="F7" s="188"/>
      <c r="G7" s="188"/>
      <c r="H7" s="188"/>
      <c r="I7" s="188"/>
      <c r="J7" s="188"/>
      <c r="K7" s="188"/>
      <c r="L7" s="189"/>
      <c r="M7" s="187"/>
      <c r="N7" s="188"/>
      <c r="O7" s="188"/>
      <c r="P7" s="188"/>
      <c r="Q7" s="188"/>
      <c r="R7" s="188"/>
      <c r="S7" s="188"/>
      <c r="T7" s="188"/>
      <c r="U7" s="188"/>
      <c r="V7" s="188"/>
      <c r="W7" s="189"/>
      <c r="X7" s="187"/>
      <c r="Y7" s="188"/>
      <c r="Z7" s="188"/>
      <c r="AA7" s="188"/>
      <c r="AB7" s="188"/>
      <c r="AC7" s="188"/>
      <c r="AD7" s="188"/>
      <c r="AE7" s="188"/>
      <c r="AF7" s="188"/>
      <c r="AG7" s="188"/>
      <c r="AH7" s="189"/>
      <c r="AI7" s="187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9"/>
      <c r="AU7" s="187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95"/>
    </row>
    <row r="8" spans="2:58" ht="13" customHeight="1" x14ac:dyDescent="0.25">
      <c r="B8" s="202"/>
      <c r="C8" s="188"/>
      <c r="D8" s="188"/>
      <c r="E8" s="188"/>
      <c r="F8" s="188"/>
      <c r="G8" s="188"/>
      <c r="H8" s="188"/>
      <c r="I8" s="188"/>
      <c r="J8" s="188"/>
      <c r="K8" s="188"/>
      <c r="L8" s="189"/>
      <c r="M8" s="187"/>
      <c r="N8" s="188"/>
      <c r="O8" s="188"/>
      <c r="P8" s="188"/>
      <c r="Q8" s="188"/>
      <c r="R8" s="188"/>
      <c r="S8" s="188"/>
      <c r="T8" s="188"/>
      <c r="U8" s="188"/>
      <c r="V8" s="188"/>
      <c r="W8" s="189"/>
      <c r="X8" s="187"/>
      <c r="Y8" s="188"/>
      <c r="Z8" s="188"/>
      <c r="AA8" s="188"/>
      <c r="AB8" s="188"/>
      <c r="AC8" s="188"/>
      <c r="AD8" s="188"/>
      <c r="AE8" s="188"/>
      <c r="AF8" s="188"/>
      <c r="AG8" s="188"/>
      <c r="AH8" s="189"/>
      <c r="AI8" s="187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9"/>
      <c r="AU8" s="187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95"/>
    </row>
    <row r="9" spans="2:58" ht="13" customHeight="1" x14ac:dyDescent="0.25">
      <c r="B9" s="203"/>
      <c r="C9" s="191"/>
      <c r="D9" s="191"/>
      <c r="E9" s="191"/>
      <c r="F9" s="191"/>
      <c r="G9" s="191"/>
      <c r="H9" s="191"/>
      <c r="I9" s="191"/>
      <c r="J9" s="191"/>
      <c r="K9" s="191"/>
      <c r="L9" s="148"/>
      <c r="M9" s="190"/>
      <c r="N9" s="191"/>
      <c r="O9" s="191"/>
      <c r="P9" s="191"/>
      <c r="Q9" s="191"/>
      <c r="R9" s="191"/>
      <c r="S9" s="191"/>
      <c r="T9" s="191"/>
      <c r="U9" s="191"/>
      <c r="V9" s="191"/>
      <c r="W9" s="148"/>
      <c r="X9" s="190"/>
      <c r="Y9" s="191"/>
      <c r="Z9" s="191"/>
      <c r="AA9" s="191"/>
      <c r="AB9" s="191"/>
      <c r="AC9" s="191"/>
      <c r="AD9" s="191"/>
      <c r="AE9" s="191"/>
      <c r="AF9" s="191"/>
      <c r="AG9" s="191"/>
      <c r="AH9" s="148"/>
      <c r="AI9" s="190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48"/>
      <c r="AU9" s="190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6"/>
    </row>
    <row r="10" spans="2:58" ht="13" customHeight="1" x14ac:dyDescent="0.25">
      <c r="B10" s="180" t="s">
        <v>236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49"/>
      <c r="M10" s="200" t="s">
        <v>237</v>
      </c>
      <c r="N10" s="178"/>
      <c r="O10" s="178"/>
      <c r="P10" s="178"/>
      <c r="Q10" s="178"/>
      <c r="R10" s="178"/>
      <c r="S10" s="178"/>
      <c r="T10" s="178"/>
      <c r="U10" s="178"/>
      <c r="V10" s="178"/>
      <c r="W10" s="149"/>
      <c r="X10" s="155" t="s">
        <v>238</v>
      </c>
      <c r="Y10" s="178"/>
      <c r="Z10" s="178"/>
      <c r="AA10" s="178"/>
      <c r="AB10" s="178"/>
      <c r="AC10" s="178"/>
      <c r="AD10" s="178"/>
      <c r="AE10" s="178"/>
      <c r="AF10" s="178"/>
      <c r="AG10" s="178"/>
      <c r="AH10" s="149"/>
      <c r="AI10" s="155" t="s">
        <v>239</v>
      </c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49"/>
      <c r="AU10" s="131" t="s">
        <v>240</v>
      </c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82"/>
    </row>
    <row r="11" spans="2:58" ht="13" customHeight="1" x14ac:dyDescent="0.25">
      <c r="B11" s="201"/>
      <c r="C11" s="185"/>
      <c r="D11" s="185"/>
      <c r="E11" s="185"/>
      <c r="F11" s="185"/>
      <c r="G11" s="185"/>
      <c r="H11" s="185"/>
      <c r="I11" s="185"/>
      <c r="J11" s="185"/>
      <c r="K11" s="185"/>
      <c r="L11" s="186"/>
      <c r="M11" s="204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04"/>
      <c r="Y11" s="185"/>
      <c r="Z11" s="185"/>
      <c r="AA11" s="185"/>
      <c r="AB11" s="185"/>
      <c r="AC11" s="185"/>
      <c r="AD11" s="185"/>
      <c r="AE11" s="185"/>
      <c r="AF11" s="185"/>
      <c r="AG11" s="185"/>
      <c r="AH11" s="186"/>
      <c r="AI11" s="204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6"/>
      <c r="AU11" s="193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94"/>
    </row>
    <row r="12" spans="2:58" ht="13" customHeight="1" x14ac:dyDescent="0.25">
      <c r="B12" s="202"/>
      <c r="C12" s="188"/>
      <c r="D12" s="188"/>
      <c r="E12" s="188"/>
      <c r="F12" s="188"/>
      <c r="G12" s="188"/>
      <c r="H12" s="188"/>
      <c r="I12" s="188"/>
      <c r="J12" s="188"/>
      <c r="K12" s="188"/>
      <c r="L12" s="189"/>
      <c r="M12" s="187"/>
      <c r="N12" s="188"/>
      <c r="O12" s="188"/>
      <c r="P12" s="188"/>
      <c r="Q12" s="188"/>
      <c r="R12" s="188"/>
      <c r="S12" s="188"/>
      <c r="T12" s="188"/>
      <c r="U12" s="188"/>
      <c r="V12" s="188"/>
      <c r="W12" s="189"/>
      <c r="X12" s="187"/>
      <c r="Y12" s="188"/>
      <c r="Z12" s="188"/>
      <c r="AA12" s="188"/>
      <c r="AB12" s="188"/>
      <c r="AC12" s="188"/>
      <c r="AD12" s="188"/>
      <c r="AE12" s="188"/>
      <c r="AF12" s="188"/>
      <c r="AG12" s="188"/>
      <c r="AH12" s="189"/>
      <c r="AI12" s="187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9"/>
      <c r="AU12" s="187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95"/>
    </row>
    <row r="13" spans="2:58" ht="13" customHeight="1" x14ac:dyDescent="0.25">
      <c r="B13" s="202"/>
      <c r="C13" s="188"/>
      <c r="D13" s="188"/>
      <c r="E13" s="188"/>
      <c r="F13" s="188"/>
      <c r="G13" s="188"/>
      <c r="H13" s="188"/>
      <c r="I13" s="188"/>
      <c r="J13" s="188"/>
      <c r="K13" s="188"/>
      <c r="L13" s="189"/>
      <c r="M13" s="187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87"/>
      <c r="Y13" s="188"/>
      <c r="Z13" s="188"/>
      <c r="AA13" s="188"/>
      <c r="AB13" s="188"/>
      <c r="AC13" s="188"/>
      <c r="AD13" s="188"/>
      <c r="AE13" s="188"/>
      <c r="AF13" s="188"/>
      <c r="AG13" s="188"/>
      <c r="AH13" s="189"/>
      <c r="AI13" s="187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9"/>
      <c r="AU13" s="187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95"/>
    </row>
    <row r="14" spans="2:58" ht="13" customHeight="1" x14ac:dyDescent="0.25">
      <c r="B14" s="202"/>
      <c r="C14" s="188"/>
      <c r="D14" s="188"/>
      <c r="E14" s="188"/>
      <c r="F14" s="188"/>
      <c r="G14" s="188"/>
      <c r="H14" s="188"/>
      <c r="I14" s="188"/>
      <c r="J14" s="188"/>
      <c r="K14" s="188"/>
      <c r="L14" s="189"/>
      <c r="M14" s="187"/>
      <c r="N14" s="188"/>
      <c r="O14" s="188"/>
      <c r="P14" s="188"/>
      <c r="Q14" s="188"/>
      <c r="R14" s="188"/>
      <c r="S14" s="188"/>
      <c r="T14" s="188"/>
      <c r="U14" s="188"/>
      <c r="V14" s="188"/>
      <c r="W14" s="189"/>
      <c r="X14" s="187"/>
      <c r="Y14" s="188"/>
      <c r="Z14" s="188"/>
      <c r="AA14" s="188"/>
      <c r="AB14" s="188"/>
      <c r="AC14" s="188"/>
      <c r="AD14" s="188"/>
      <c r="AE14" s="188"/>
      <c r="AF14" s="188"/>
      <c r="AG14" s="188"/>
      <c r="AH14" s="189"/>
      <c r="AI14" s="187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9"/>
      <c r="AU14" s="187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95"/>
    </row>
    <row r="15" spans="2:58" ht="13" customHeight="1" x14ac:dyDescent="0.25">
      <c r="B15" s="202"/>
      <c r="C15" s="188"/>
      <c r="D15" s="188"/>
      <c r="E15" s="188"/>
      <c r="F15" s="188"/>
      <c r="G15" s="188"/>
      <c r="H15" s="188"/>
      <c r="I15" s="188"/>
      <c r="J15" s="188"/>
      <c r="K15" s="188"/>
      <c r="L15" s="189"/>
      <c r="M15" s="187"/>
      <c r="N15" s="188"/>
      <c r="O15" s="188"/>
      <c r="P15" s="188"/>
      <c r="Q15" s="188"/>
      <c r="R15" s="188"/>
      <c r="S15" s="188"/>
      <c r="T15" s="188"/>
      <c r="U15" s="188"/>
      <c r="V15" s="188"/>
      <c r="W15" s="189"/>
      <c r="X15" s="187"/>
      <c r="Y15" s="188"/>
      <c r="Z15" s="188"/>
      <c r="AA15" s="188"/>
      <c r="AB15" s="188"/>
      <c r="AC15" s="188"/>
      <c r="AD15" s="188"/>
      <c r="AE15" s="188"/>
      <c r="AF15" s="188"/>
      <c r="AG15" s="188"/>
      <c r="AH15" s="189"/>
      <c r="AI15" s="187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9"/>
      <c r="AU15" s="187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95"/>
    </row>
    <row r="16" spans="2:58" ht="13" customHeight="1" x14ac:dyDescent="0.25">
      <c r="B16" s="202"/>
      <c r="C16" s="188"/>
      <c r="D16" s="188"/>
      <c r="E16" s="188"/>
      <c r="F16" s="188"/>
      <c r="G16" s="188"/>
      <c r="H16" s="188"/>
      <c r="I16" s="188"/>
      <c r="J16" s="188"/>
      <c r="K16" s="188"/>
      <c r="L16" s="189"/>
      <c r="M16" s="187"/>
      <c r="N16" s="188"/>
      <c r="O16" s="188"/>
      <c r="P16" s="188"/>
      <c r="Q16" s="188"/>
      <c r="R16" s="188"/>
      <c r="S16" s="188"/>
      <c r="T16" s="188"/>
      <c r="U16" s="188"/>
      <c r="V16" s="188"/>
      <c r="W16" s="189"/>
      <c r="X16" s="187"/>
      <c r="Y16" s="188"/>
      <c r="Z16" s="188"/>
      <c r="AA16" s="188"/>
      <c r="AB16" s="188"/>
      <c r="AC16" s="188"/>
      <c r="AD16" s="188"/>
      <c r="AE16" s="188"/>
      <c r="AF16" s="188"/>
      <c r="AG16" s="188"/>
      <c r="AH16" s="189"/>
      <c r="AI16" s="187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9"/>
      <c r="AU16" s="187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95"/>
    </row>
    <row r="17" spans="2:58" ht="13" customHeight="1" x14ac:dyDescent="0.25">
      <c r="B17" s="203"/>
      <c r="C17" s="191"/>
      <c r="D17" s="191"/>
      <c r="E17" s="191"/>
      <c r="F17" s="191"/>
      <c r="G17" s="191"/>
      <c r="H17" s="191"/>
      <c r="I17" s="191"/>
      <c r="J17" s="191"/>
      <c r="K17" s="191"/>
      <c r="L17" s="148"/>
      <c r="M17" s="190"/>
      <c r="N17" s="191"/>
      <c r="O17" s="191"/>
      <c r="P17" s="191"/>
      <c r="Q17" s="191"/>
      <c r="R17" s="191"/>
      <c r="S17" s="191"/>
      <c r="T17" s="191"/>
      <c r="U17" s="191"/>
      <c r="V17" s="191"/>
      <c r="W17" s="148"/>
      <c r="X17" s="190"/>
      <c r="Y17" s="191"/>
      <c r="Z17" s="191"/>
      <c r="AA17" s="191"/>
      <c r="AB17" s="191"/>
      <c r="AC17" s="191"/>
      <c r="AD17" s="191"/>
      <c r="AE17" s="191"/>
      <c r="AF17" s="191"/>
      <c r="AG17" s="191"/>
      <c r="AH17" s="148"/>
      <c r="AI17" s="190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48"/>
      <c r="AU17" s="190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6"/>
    </row>
    <row r="18" spans="2:58" ht="13" customHeight="1" x14ac:dyDescent="0.25">
      <c r="B18" s="180" t="s">
        <v>241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213" t="s">
        <v>242</v>
      </c>
      <c r="N18" s="178"/>
      <c r="O18" s="178"/>
      <c r="P18" s="178"/>
      <c r="Q18" s="178"/>
      <c r="R18" s="178"/>
      <c r="S18" s="178"/>
      <c r="T18" s="178"/>
      <c r="U18" s="178"/>
      <c r="V18" s="178"/>
      <c r="W18" s="149"/>
      <c r="X18" s="212" t="s">
        <v>243</v>
      </c>
      <c r="Y18" s="178"/>
      <c r="Z18" s="178"/>
      <c r="AA18" s="178"/>
      <c r="AB18" s="178"/>
      <c r="AC18" s="178"/>
      <c r="AD18" s="178"/>
      <c r="AE18" s="178"/>
      <c r="AF18" s="178"/>
      <c r="AG18" s="178"/>
      <c r="AH18" s="149"/>
      <c r="AI18" s="117" t="s">
        <v>244</v>
      </c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49"/>
      <c r="AU18" s="131" t="s">
        <v>245</v>
      </c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82"/>
    </row>
    <row r="19" spans="2:58" ht="13" customHeight="1" x14ac:dyDescent="0.25">
      <c r="B19" s="201"/>
      <c r="C19" s="185"/>
      <c r="D19" s="185"/>
      <c r="E19" s="185"/>
      <c r="F19" s="185"/>
      <c r="G19" s="185"/>
      <c r="H19" s="185"/>
      <c r="I19" s="185"/>
      <c r="J19" s="185"/>
      <c r="K19" s="185"/>
      <c r="L19" s="186"/>
      <c r="M19" s="215"/>
      <c r="N19" s="185"/>
      <c r="O19" s="185"/>
      <c r="P19" s="185"/>
      <c r="Q19" s="185"/>
      <c r="R19" s="185"/>
      <c r="S19" s="185"/>
      <c r="T19" s="185"/>
      <c r="U19" s="185"/>
      <c r="V19" s="185"/>
      <c r="W19" s="186"/>
      <c r="X19" s="184"/>
      <c r="Y19" s="185"/>
      <c r="Z19" s="185"/>
      <c r="AA19" s="185"/>
      <c r="AB19" s="185"/>
      <c r="AC19" s="185"/>
      <c r="AD19" s="185"/>
      <c r="AE19" s="185"/>
      <c r="AF19" s="185"/>
      <c r="AG19" s="185"/>
      <c r="AH19" s="186"/>
      <c r="AI19" s="192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6"/>
      <c r="AU19" s="193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94"/>
    </row>
    <row r="20" spans="2:58" ht="13" customHeight="1" x14ac:dyDescent="0.25">
      <c r="B20" s="202"/>
      <c r="C20" s="188"/>
      <c r="D20" s="188"/>
      <c r="E20" s="188"/>
      <c r="F20" s="188"/>
      <c r="G20" s="188"/>
      <c r="H20" s="188"/>
      <c r="I20" s="188"/>
      <c r="J20" s="188"/>
      <c r="K20" s="188"/>
      <c r="L20" s="189"/>
      <c r="M20" s="187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187"/>
      <c r="Y20" s="188"/>
      <c r="Z20" s="188"/>
      <c r="AA20" s="188"/>
      <c r="AB20" s="188"/>
      <c r="AC20" s="188"/>
      <c r="AD20" s="188"/>
      <c r="AE20" s="188"/>
      <c r="AF20" s="188"/>
      <c r="AG20" s="188"/>
      <c r="AH20" s="189"/>
      <c r="AI20" s="187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9"/>
      <c r="AU20" s="187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95"/>
    </row>
    <row r="21" spans="2:58" ht="13" customHeight="1" x14ac:dyDescent="0.25">
      <c r="B21" s="202"/>
      <c r="C21" s="188"/>
      <c r="D21" s="188"/>
      <c r="E21" s="188"/>
      <c r="F21" s="188"/>
      <c r="G21" s="188"/>
      <c r="H21" s="188"/>
      <c r="I21" s="188"/>
      <c r="J21" s="188"/>
      <c r="K21" s="188"/>
      <c r="L21" s="189"/>
      <c r="M21" s="187"/>
      <c r="N21" s="188"/>
      <c r="O21" s="188"/>
      <c r="P21" s="188"/>
      <c r="Q21" s="188"/>
      <c r="R21" s="188"/>
      <c r="S21" s="188"/>
      <c r="T21" s="188"/>
      <c r="U21" s="188"/>
      <c r="V21" s="188"/>
      <c r="W21" s="189"/>
      <c r="X21" s="187"/>
      <c r="Y21" s="188"/>
      <c r="Z21" s="188"/>
      <c r="AA21" s="188"/>
      <c r="AB21" s="188"/>
      <c r="AC21" s="188"/>
      <c r="AD21" s="188"/>
      <c r="AE21" s="188"/>
      <c r="AF21" s="188"/>
      <c r="AG21" s="188"/>
      <c r="AH21" s="189"/>
      <c r="AI21" s="187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9"/>
      <c r="AU21" s="187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95"/>
    </row>
    <row r="22" spans="2:58" ht="13" customHeight="1" x14ac:dyDescent="0.25">
      <c r="B22" s="202"/>
      <c r="C22" s="188"/>
      <c r="D22" s="188"/>
      <c r="E22" s="188"/>
      <c r="F22" s="188"/>
      <c r="G22" s="188"/>
      <c r="H22" s="188"/>
      <c r="I22" s="188"/>
      <c r="J22" s="188"/>
      <c r="K22" s="188"/>
      <c r="L22" s="189"/>
      <c r="M22" s="187"/>
      <c r="N22" s="188"/>
      <c r="O22" s="188"/>
      <c r="P22" s="188"/>
      <c r="Q22" s="188"/>
      <c r="R22" s="188"/>
      <c r="S22" s="188"/>
      <c r="T22" s="188"/>
      <c r="U22" s="188"/>
      <c r="V22" s="188"/>
      <c r="W22" s="189"/>
      <c r="X22" s="187"/>
      <c r="Y22" s="188"/>
      <c r="Z22" s="188"/>
      <c r="AA22" s="188"/>
      <c r="AB22" s="188"/>
      <c r="AC22" s="188"/>
      <c r="AD22" s="188"/>
      <c r="AE22" s="188"/>
      <c r="AF22" s="188"/>
      <c r="AG22" s="188"/>
      <c r="AH22" s="189"/>
      <c r="AI22" s="187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9"/>
      <c r="AU22" s="187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95"/>
    </row>
    <row r="23" spans="2:58" ht="13" customHeight="1" x14ac:dyDescent="0.25">
      <c r="B23" s="202"/>
      <c r="C23" s="188"/>
      <c r="D23" s="188"/>
      <c r="E23" s="188"/>
      <c r="F23" s="188"/>
      <c r="G23" s="188"/>
      <c r="H23" s="188"/>
      <c r="I23" s="188"/>
      <c r="J23" s="188"/>
      <c r="K23" s="188"/>
      <c r="L23" s="189"/>
      <c r="M23" s="187"/>
      <c r="N23" s="188"/>
      <c r="O23" s="188"/>
      <c r="P23" s="188"/>
      <c r="Q23" s="188"/>
      <c r="R23" s="188"/>
      <c r="S23" s="188"/>
      <c r="T23" s="188"/>
      <c r="U23" s="188"/>
      <c r="V23" s="188"/>
      <c r="W23" s="189"/>
      <c r="X23" s="187"/>
      <c r="Y23" s="188"/>
      <c r="Z23" s="188"/>
      <c r="AA23" s="188"/>
      <c r="AB23" s="188"/>
      <c r="AC23" s="188"/>
      <c r="AD23" s="188"/>
      <c r="AE23" s="188"/>
      <c r="AF23" s="188"/>
      <c r="AG23" s="188"/>
      <c r="AH23" s="189"/>
      <c r="AI23" s="187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9"/>
      <c r="AU23" s="187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95"/>
    </row>
    <row r="24" spans="2:58" ht="13" customHeight="1" x14ac:dyDescent="0.25">
      <c r="B24" s="203"/>
      <c r="C24" s="191"/>
      <c r="D24" s="191"/>
      <c r="E24" s="191"/>
      <c r="F24" s="191"/>
      <c r="G24" s="191"/>
      <c r="H24" s="191"/>
      <c r="I24" s="191"/>
      <c r="J24" s="191"/>
      <c r="K24" s="191"/>
      <c r="L24" s="148"/>
      <c r="M24" s="190"/>
      <c r="N24" s="191"/>
      <c r="O24" s="191"/>
      <c r="P24" s="191"/>
      <c r="Q24" s="191"/>
      <c r="R24" s="191"/>
      <c r="S24" s="191"/>
      <c r="T24" s="191"/>
      <c r="U24" s="191"/>
      <c r="V24" s="191"/>
      <c r="W24" s="148"/>
      <c r="X24" s="190"/>
      <c r="Y24" s="191"/>
      <c r="Z24" s="191"/>
      <c r="AA24" s="191"/>
      <c r="AB24" s="191"/>
      <c r="AC24" s="191"/>
      <c r="AD24" s="191"/>
      <c r="AE24" s="191"/>
      <c r="AF24" s="191"/>
      <c r="AG24" s="191"/>
      <c r="AH24" s="148"/>
      <c r="AI24" s="190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48"/>
      <c r="AU24" s="190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6"/>
    </row>
    <row r="25" spans="2:58" ht="13" customHeight="1" x14ac:dyDescent="0.25">
      <c r="B25" s="180" t="s">
        <v>246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49"/>
      <c r="M25" s="155" t="s">
        <v>247</v>
      </c>
      <c r="N25" s="178"/>
      <c r="O25" s="178"/>
      <c r="P25" s="178"/>
      <c r="Q25" s="178"/>
      <c r="R25" s="178"/>
      <c r="S25" s="178"/>
      <c r="T25" s="178"/>
      <c r="U25" s="178"/>
      <c r="V25" s="178"/>
      <c r="W25" s="149"/>
      <c r="X25" s="181" t="s">
        <v>248</v>
      </c>
      <c r="Y25" s="178"/>
      <c r="Z25" s="178"/>
      <c r="AA25" s="178"/>
      <c r="AB25" s="178"/>
      <c r="AC25" s="178"/>
      <c r="AD25" s="178"/>
      <c r="AE25" s="178"/>
      <c r="AF25" s="178"/>
      <c r="AG25" s="178"/>
      <c r="AH25" s="149"/>
      <c r="AI25" s="131" t="s">
        <v>249</v>
      </c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49"/>
      <c r="AU25" s="131" t="s">
        <v>250</v>
      </c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82"/>
    </row>
    <row r="26" spans="2:58" ht="13" customHeight="1" x14ac:dyDescent="0.25">
      <c r="B26" s="201"/>
      <c r="C26" s="185"/>
      <c r="D26" s="185"/>
      <c r="E26" s="185"/>
      <c r="F26" s="185"/>
      <c r="G26" s="185"/>
      <c r="H26" s="185"/>
      <c r="I26" s="185"/>
      <c r="J26" s="185"/>
      <c r="K26" s="185"/>
      <c r="L26" s="186"/>
      <c r="M26" s="209"/>
      <c r="N26" s="185"/>
      <c r="O26" s="185"/>
      <c r="P26" s="185"/>
      <c r="Q26" s="185"/>
      <c r="R26" s="185"/>
      <c r="S26" s="185"/>
      <c r="T26" s="185"/>
      <c r="U26" s="185"/>
      <c r="V26" s="185"/>
      <c r="W26" s="186"/>
      <c r="X26" s="205"/>
      <c r="Y26" s="185"/>
      <c r="Z26" s="185"/>
      <c r="AA26" s="185"/>
      <c r="AB26" s="185"/>
      <c r="AC26" s="185"/>
      <c r="AD26" s="185"/>
      <c r="AE26" s="185"/>
      <c r="AF26" s="185"/>
      <c r="AG26" s="185"/>
      <c r="AH26" s="186"/>
      <c r="AI26" s="193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6"/>
      <c r="AU26" s="193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94"/>
    </row>
    <row r="27" spans="2:58" ht="13" customHeight="1" x14ac:dyDescent="0.25">
      <c r="B27" s="202"/>
      <c r="C27" s="188"/>
      <c r="D27" s="188"/>
      <c r="E27" s="188"/>
      <c r="F27" s="188"/>
      <c r="G27" s="188"/>
      <c r="H27" s="188"/>
      <c r="I27" s="188"/>
      <c r="J27" s="188"/>
      <c r="K27" s="188"/>
      <c r="L27" s="189"/>
      <c r="M27" s="187"/>
      <c r="N27" s="188"/>
      <c r="O27" s="188"/>
      <c r="P27" s="188"/>
      <c r="Q27" s="188"/>
      <c r="R27" s="188"/>
      <c r="S27" s="188"/>
      <c r="T27" s="188"/>
      <c r="U27" s="188"/>
      <c r="V27" s="188"/>
      <c r="W27" s="189"/>
      <c r="X27" s="187"/>
      <c r="Y27" s="188"/>
      <c r="Z27" s="188"/>
      <c r="AA27" s="188"/>
      <c r="AB27" s="188"/>
      <c r="AC27" s="188"/>
      <c r="AD27" s="188"/>
      <c r="AE27" s="188"/>
      <c r="AF27" s="188"/>
      <c r="AG27" s="188"/>
      <c r="AH27" s="189"/>
      <c r="AI27" s="187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9"/>
      <c r="AU27" s="187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95"/>
    </row>
    <row r="28" spans="2:58" ht="13" customHeight="1" x14ac:dyDescent="0.25">
      <c r="B28" s="202"/>
      <c r="C28" s="188"/>
      <c r="D28" s="188"/>
      <c r="E28" s="188"/>
      <c r="F28" s="188"/>
      <c r="G28" s="188"/>
      <c r="H28" s="188"/>
      <c r="I28" s="188"/>
      <c r="J28" s="188"/>
      <c r="K28" s="188"/>
      <c r="L28" s="189"/>
      <c r="M28" s="187"/>
      <c r="N28" s="188"/>
      <c r="O28" s="188"/>
      <c r="P28" s="188"/>
      <c r="Q28" s="188"/>
      <c r="R28" s="188"/>
      <c r="S28" s="188"/>
      <c r="T28" s="188"/>
      <c r="U28" s="188"/>
      <c r="V28" s="188"/>
      <c r="W28" s="189"/>
      <c r="X28" s="187"/>
      <c r="Y28" s="188"/>
      <c r="Z28" s="188"/>
      <c r="AA28" s="188"/>
      <c r="AB28" s="188"/>
      <c r="AC28" s="188"/>
      <c r="AD28" s="188"/>
      <c r="AE28" s="188"/>
      <c r="AF28" s="188"/>
      <c r="AG28" s="188"/>
      <c r="AH28" s="189"/>
      <c r="AI28" s="187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9"/>
      <c r="AU28" s="187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95"/>
    </row>
    <row r="29" spans="2:58" ht="13" customHeight="1" x14ac:dyDescent="0.25">
      <c r="B29" s="202"/>
      <c r="C29" s="188"/>
      <c r="D29" s="188"/>
      <c r="E29" s="188"/>
      <c r="F29" s="188"/>
      <c r="G29" s="188"/>
      <c r="H29" s="188"/>
      <c r="I29" s="188"/>
      <c r="J29" s="188"/>
      <c r="K29" s="188"/>
      <c r="L29" s="189"/>
      <c r="M29" s="187"/>
      <c r="N29" s="188"/>
      <c r="O29" s="188"/>
      <c r="P29" s="188"/>
      <c r="Q29" s="188"/>
      <c r="R29" s="188"/>
      <c r="S29" s="188"/>
      <c r="T29" s="188"/>
      <c r="U29" s="188"/>
      <c r="V29" s="188"/>
      <c r="W29" s="189"/>
      <c r="X29" s="187"/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  <c r="AI29" s="187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9"/>
      <c r="AU29" s="187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95"/>
    </row>
    <row r="30" spans="2:58" ht="13" customHeight="1" x14ac:dyDescent="0.25">
      <c r="B30" s="202"/>
      <c r="C30" s="188"/>
      <c r="D30" s="188"/>
      <c r="E30" s="188"/>
      <c r="F30" s="188"/>
      <c r="G30" s="188"/>
      <c r="H30" s="188"/>
      <c r="I30" s="188"/>
      <c r="J30" s="188"/>
      <c r="K30" s="188"/>
      <c r="L30" s="189"/>
      <c r="M30" s="187"/>
      <c r="N30" s="188"/>
      <c r="O30" s="188"/>
      <c r="P30" s="188"/>
      <c r="Q30" s="188"/>
      <c r="R30" s="188"/>
      <c r="S30" s="188"/>
      <c r="T30" s="188"/>
      <c r="U30" s="188"/>
      <c r="V30" s="188"/>
      <c r="W30" s="189"/>
      <c r="X30" s="187"/>
      <c r="Y30" s="188"/>
      <c r="Z30" s="188"/>
      <c r="AA30" s="188"/>
      <c r="AB30" s="188"/>
      <c r="AC30" s="188"/>
      <c r="AD30" s="188"/>
      <c r="AE30" s="188"/>
      <c r="AF30" s="188"/>
      <c r="AG30" s="188"/>
      <c r="AH30" s="189"/>
      <c r="AI30" s="187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9"/>
      <c r="AU30" s="187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95"/>
    </row>
    <row r="31" spans="2:58" ht="13" customHeight="1" x14ac:dyDescent="0.25">
      <c r="B31" s="203"/>
      <c r="C31" s="191"/>
      <c r="D31" s="191"/>
      <c r="E31" s="191"/>
      <c r="F31" s="191"/>
      <c r="G31" s="191"/>
      <c r="H31" s="191"/>
      <c r="I31" s="191"/>
      <c r="J31" s="191"/>
      <c r="K31" s="191"/>
      <c r="L31" s="148"/>
      <c r="M31" s="190"/>
      <c r="N31" s="191"/>
      <c r="O31" s="191"/>
      <c r="P31" s="191"/>
      <c r="Q31" s="191"/>
      <c r="R31" s="191"/>
      <c r="S31" s="191"/>
      <c r="T31" s="191"/>
      <c r="U31" s="191"/>
      <c r="V31" s="191"/>
      <c r="W31" s="148"/>
      <c r="X31" s="190"/>
      <c r="Y31" s="191"/>
      <c r="Z31" s="191"/>
      <c r="AA31" s="191"/>
      <c r="AB31" s="191"/>
      <c r="AC31" s="191"/>
      <c r="AD31" s="191"/>
      <c r="AE31" s="191"/>
      <c r="AF31" s="191"/>
      <c r="AG31" s="191"/>
      <c r="AH31" s="148"/>
      <c r="AI31" s="190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48"/>
      <c r="AU31" s="190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6"/>
    </row>
    <row r="32" spans="2:58" ht="13" customHeight="1" x14ac:dyDescent="0.25">
      <c r="B32" s="180" t="s">
        <v>251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49"/>
      <c r="M32" s="183" t="s">
        <v>252</v>
      </c>
      <c r="N32" s="178"/>
      <c r="O32" s="178"/>
      <c r="P32" s="178"/>
      <c r="Q32" s="178"/>
      <c r="R32" s="178"/>
      <c r="S32" s="178"/>
      <c r="T32" s="178"/>
      <c r="U32" s="178"/>
      <c r="V32" s="178"/>
      <c r="W32" s="149"/>
      <c r="X32" s="181" t="s">
        <v>253</v>
      </c>
      <c r="Y32" s="178"/>
      <c r="Z32" s="178"/>
      <c r="AA32" s="178"/>
      <c r="AB32" s="178"/>
      <c r="AC32" s="178"/>
      <c r="AD32" s="178"/>
      <c r="AE32" s="178"/>
      <c r="AF32" s="178"/>
      <c r="AG32" s="178"/>
      <c r="AH32" s="149"/>
      <c r="AI32" s="131" t="s">
        <v>254</v>
      </c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49"/>
      <c r="AU32" s="131" t="s">
        <v>255</v>
      </c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82"/>
    </row>
    <row r="33" spans="2:58" ht="13" customHeight="1" x14ac:dyDescent="0.25">
      <c r="B33" s="201"/>
      <c r="C33" s="185"/>
      <c r="D33" s="185"/>
      <c r="E33" s="185"/>
      <c r="F33" s="185"/>
      <c r="G33" s="185"/>
      <c r="H33" s="185"/>
      <c r="I33" s="185"/>
      <c r="J33" s="185"/>
      <c r="K33" s="185"/>
      <c r="L33" s="186"/>
      <c r="M33" s="204"/>
      <c r="N33" s="185"/>
      <c r="O33" s="185"/>
      <c r="P33" s="185"/>
      <c r="Q33" s="185"/>
      <c r="R33" s="185"/>
      <c r="S33" s="185"/>
      <c r="T33" s="185"/>
      <c r="U33" s="185"/>
      <c r="V33" s="185"/>
      <c r="W33" s="186"/>
      <c r="X33" s="205"/>
      <c r="Y33" s="185"/>
      <c r="Z33" s="185"/>
      <c r="AA33" s="185"/>
      <c r="AB33" s="185"/>
      <c r="AC33" s="185"/>
      <c r="AD33" s="185"/>
      <c r="AE33" s="185"/>
      <c r="AF33" s="185"/>
      <c r="AG33" s="185"/>
      <c r="AH33" s="186"/>
      <c r="AI33" s="193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6"/>
      <c r="AU33" s="193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94"/>
    </row>
    <row r="34" spans="2:58" ht="13" customHeight="1" x14ac:dyDescent="0.25">
      <c r="B34" s="202"/>
      <c r="C34" s="188"/>
      <c r="D34" s="188"/>
      <c r="E34" s="188"/>
      <c r="F34" s="188"/>
      <c r="G34" s="188"/>
      <c r="H34" s="188"/>
      <c r="I34" s="188"/>
      <c r="J34" s="188"/>
      <c r="K34" s="188"/>
      <c r="L34" s="189"/>
      <c r="M34" s="187"/>
      <c r="N34" s="188"/>
      <c r="O34" s="188"/>
      <c r="P34" s="188"/>
      <c r="Q34" s="188"/>
      <c r="R34" s="188"/>
      <c r="S34" s="188"/>
      <c r="T34" s="188"/>
      <c r="U34" s="188"/>
      <c r="V34" s="188"/>
      <c r="W34" s="189"/>
      <c r="X34" s="187"/>
      <c r="Y34" s="188"/>
      <c r="Z34" s="188"/>
      <c r="AA34" s="188"/>
      <c r="AB34" s="188"/>
      <c r="AC34" s="188"/>
      <c r="AD34" s="188"/>
      <c r="AE34" s="188"/>
      <c r="AF34" s="188"/>
      <c r="AG34" s="188"/>
      <c r="AH34" s="189"/>
      <c r="AI34" s="187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9"/>
      <c r="AU34" s="187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95"/>
    </row>
    <row r="35" spans="2:58" ht="13" customHeight="1" x14ac:dyDescent="0.25">
      <c r="B35" s="202"/>
      <c r="C35" s="188"/>
      <c r="D35" s="188"/>
      <c r="E35" s="188"/>
      <c r="F35" s="188"/>
      <c r="G35" s="188"/>
      <c r="H35" s="188"/>
      <c r="I35" s="188"/>
      <c r="J35" s="188"/>
      <c r="K35" s="188"/>
      <c r="L35" s="189"/>
      <c r="M35" s="187"/>
      <c r="N35" s="188"/>
      <c r="O35" s="188"/>
      <c r="P35" s="188"/>
      <c r="Q35" s="188"/>
      <c r="R35" s="188"/>
      <c r="S35" s="188"/>
      <c r="T35" s="188"/>
      <c r="U35" s="188"/>
      <c r="V35" s="188"/>
      <c r="W35" s="189"/>
      <c r="X35" s="187"/>
      <c r="Y35" s="188"/>
      <c r="Z35" s="188"/>
      <c r="AA35" s="188"/>
      <c r="AB35" s="188"/>
      <c r="AC35" s="188"/>
      <c r="AD35" s="188"/>
      <c r="AE35" s="188"/>
      <c r="AF35" s="188"/>
      <c r="AG35" s="188"/>
      <c r="AH35" s="189"/>
      <c r="AI35" s="187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9"/>
      <c r="AU35" s="187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95"/>
    </row>
    <row r="36" spans="2:58" ht="13" customHeight="1" x14ac:dyDescent="0.25">
      <c r="B36" s="202"/>
      <c r="C36" s="188"/>
      <c r="D36" s="188"/>
      <c r="E36" s="188"/>
      <c r="F36" s="188"/>
      <c r="G36" s="188"/>
      <c r="H36" s="188"/>
      <c r="I36" s="188"/>
      <c r="J36" s="188"/>
      <c r="K36" s="188"/>
      <c r="L36" s="189"/>
      <c r="M36" s="187"/>
      <c r="N36" s="188"/>
      <c r="O36" s="188"/>
      <c r="P36" s="188"/>
      <c r="Q36" s="188"/>
      <c r="R36" s="188"/>
      <c r="S36" s="188"/>
      <c r="T36" s="188"/>
      <c r="U36" s="188"/>
      <c r="V36" s="188"/>
      <c r="W36" s="189"/>
      <c r="X36" s="187"/>
      <c r="Y36" s="188"/>
      <c r="Z36" s="188"/>
      <c r="AA36" s="188"/>
      <c r="AB36" s="188"/>
      <c r="AC36" s="188"/>
      <c r="AD36" s="188"/>
      <c r="AE36" s="188"/>
      <c r="AF36" s="188"/>
      <c r="AG36" s="188"/>
      <c r="AH36" s="189"/>
      <c r="AI36" s="187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9"/>
      <c r="AU36" s="187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95"/>
    </row>
    <row r="37" spans="2:58" ht="13" customHeight="1" x14ac:dyDescent="0.25">
      <c r="B37" s="202"/>
      <c r="C37" s="188"/>
      <c r="D37" s="188"/>
      <c r="E37" s="188"/>
      <c r="F37" s="188"/>
      <c r="G37" s="188"/>
      <c r="H37" s="188"/>
      <c r="I37" s="188"/>
      <c r="J37" s="188"/>
      <c r="K37" s="188"/>
      <c r="L37" s="189"/>
      <c r="M37" s="187"/>
      <c r="N37" s="188"/>
      <c r="O37" s="188"/>
      <c r="P37" s="188"/>
      <c r="Q37" s="188"/>
      <c r="R37" s="188"/>
      <c r="S37" s="188"/>
      <c r="T37" s="188"/>
      <c r="U37" s="188"/>
      <c r="V37" s="188"/>
      <c r="W37" s="189"/>
      <c r="X37" s="187"/>
      <c r="Y37" s="188"/>
      <c r="Z37" s="188"/>
      <c r="AA37" s="188"/>
      <c r="AB37" s="188"/>
      <c r="AC37" s="188"/>
      <c r="AD37" s="188"/>
      <c r="AE37" s="188"/>
      <c r="AF37" s="188"/>
      <c r="AG37" s="188"/>
      <c r="AH37" s="189"/>
      <c r="AI37" s="187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9"/>
      <c r="AU37" s="187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95"/>
    </row>
    <row r="38" spans="2:58" ht="13" customHeight="1" x14ac:dyDescent="0.25">
      <c r="B38" s="203"/>
      <c r="C38" s="191"/>
      <c r="D38" s="191"/>
      <c r="E38" s="191"/>
      <c r="F38" s="191"/>
      <c r="G38" s="191"/>
      <c r="H38" s="191"/>
      <c r="I38" s="191"/>
      <c r="J38" s="191"/>
      <c r="K38" s="191"/>
      <c r="L38" s="148"/>
      <c r="M38" s="190"/>
      <c r="N38" s="191"/>
      <c r="O38" s="191"/>
      <c r="P38" s="191"/>
      <c r="Q38" s="191"/>
      <c r="R38" s="191"/>
      <c r="S38" s="191"/>
      <c r="T38" s="191"/>
      <c r="U38" s="191"/>
      <c r="V38" s="191"/>
      <c r="W38" s="148"/>
      <c r="X38" s="190"/>
      <c r="Y38" s="191"/>
      <c r="Z38" s="191"/>
      <c r="AA38" s="191"/>
      <c r="AB38" s="191"/>
      <c r="AC38" s="191"/>
      <c r="AD38" s="191"/>
      <c r="AE38" s="191"/>
      <c r="AF38" s="191"/>
      <c r="AG38" s="191"/>
      <c r="AH38" s="148"/>
      <c r="AI38" s="190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48"/>
      <c r="AU38" s="190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6"/>
    </row>
    <row r="39" spans="2:58" ht="13" customHeight="1" x14ac:dyDescent="0.25">
      <c r="B39" s="180" t="s">
        <v>256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49"/>
      <c r="M39" s="183" t="s">
        <v>257</v>
      </c>
      <c r="N39" s="178"/>
      <c r="O39" s="178"/>
      <c r="P39" s="178"/>
      <c r="Q39" s="178"/>
      <c r="R39" s="178"/>
      <c r="S39" s="178"/>
      <c r="T39" s="178"/>
      <c r="U39" s="178"/>
      <c r="V39" s="178"/>
      <c r="W39" s="149"/>
      <c r="X39" s="181" t="s">
        <v>258</v>
      </c>
      <c r="Y39" s="178"/>
      <c r="Z39" s="178"/>
      <c r="AA39" s="178"/>
      <c r="AB39" s="178"/>
      <c r="AC39" s="178"/>
      <c r="AD39" s="178"/>
      <c r="AE39" s="178"/>
      <c r="AF39" s="178"/>
      <c r="AG39" s="178"/>
      <c r="AH39" s="149"/>
      <c r="AI39" s="131" t="s">
        <v>259</v>
      </c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49"/>
      <c r="AU39" s="131" t="s">
        <v>260</v>
      </c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82"/>
    </row>
    <row r="40" spans="2:58" ht="13" customHeight="1" x14ac:dyDescent="0.25">
      <c r="B40" s="201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204"/>
      <c r="N40" s="185"/>
      <c r="O40" s="185"/>
      <c r="P40" s="185"/>
      <c r="Q40" s="185"/>
      <c r="R40" s="185"/>
      <c r="S40" s="185"/>
      <c r="T40" s="185"/>
      <c r="U40" s="185"/>
      <c r="V40" s="185"/>
      <c r="W40" s="186"/>
      <c r="X40" s="205"/>
      <c r="Y40" s="185"/>
      <c r="Z40" s="185"/>
      <c r="AA40" s="185"/>
      <c r="AB40" s="185"/>
      <c r="AC40" s="185"/>
      <c r="AD40" s="185"/>
      <c r="AE40" s="185"/>
      <c r="AF40" s="185"/>
      <c r="AG40" s="185"/>
      <c r="AH40" s="186"/>
      <c r="AI40" s="193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6"/>
      <c r="AU40" s="193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94"/>
    </row>
    <row r="41" spans="2:58" ht="13" customHeight="1" x14ac:dyDescent="0.25">
      <c r="B41" s="202"/>
      <c r="C41" s="188"/>
      <c r="D41" s="188"/>
      <c r="E41" s="188"/>
      <c r="F41" s="188"/>
      <c r="G41" s="188"/>
      <c r="H41" s="188"/>
      <c r="I41" s="188"/>
      <c r="J41" s="188"/>
      <c r="K41" s="188"/>
      <c r="L41" s="189"/>
      <c r="M41" s="187"/>
      <c r="N41" s="188"/>
      <c r="O41" s="188"/>
      <c r="P41" s="188"/>
      <c r="Q41" s="188"/>
      <c r="R41" s="188"/>
      <c r="S41" s="188"/>
      <c r="T41" s="188"/>
      <c r="U41" s="188"/>
      <c r="V41" s="188"/>
      <c r="W41" s="189"/>
      <c r="X41" s="187"/>
      <c r="Y41" s="188"/>
      <c r="Z41" s="188"/>
      <c r="AA41" s="188"/>
      <c r="AB41" s="188"/>
      <c r="AC41" s="188"/>
      <c r="AD41" s="188"/>
      <c r="AE41" s="188"/>
      <c r="AF41" s="188"/>
      <c r="AG41" s="188"/>
      <c r="AH41" s="189"/>
      <c r="AI41" s="187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9"/>
      <c r="AU41" s="187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95"/>
    </row>
    <row r="42" spans="2:58" ht="13" customHeight="1" x14ac:dyDescent="0.25">
      <c r="B42" s="202"/>
      <c r="C42" s="188"/>
      <c r="D42" s="188"/>
      <c r="E42" s="188"/>
      <c r="F42" s="188"/>
      <c r="G42" s="188"/>
      <c r="H42" s="188"/>
      <c r="I42" s="188"/>
      <c r="J42" s="188"/>
      <c r="K42" s="188"/>
      <c r="L42" s="189"/>
      <c r="M42" s="187"/>
      <c r="N42" s="188"/>
      <c r="O42" s="188"/>
      <c r="P42" s="188"/>
      <c r="Q42" s="188"/>
      <c r="R42" s="188"/>
      <c r="S42" s="188"/>
      <c r="T42" s="188"/>
      <c r="U42" s="188"/>
      <c r="V42" s="188"/>
      <c r="W42" s="189"/>
      <c r="X42" s="187"/>
      <c r="Y42" s="188"/>
      <c r="Z42" s="188"/>
      <c r="AA42" s="188"/>
      <c r="AB42" s="188"/>
      <c r="AC42" s="188"/>
      <c r="AD42" s="188"/>
      <c r="AE42" s="188"/>
      <c r="AF42" s="188"/>
      <c r="AG42" s="188"/>
      <c r="AH42" s="189"/>
      <c r="AI42" s="187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9"/>
      <c r="AU42" s="187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95"/>
    </row>
    <row r="43" spans="2:58" ht="13" customHeight="1" x14ac:dyDescent="0.25">
      <c r="B43" s="202"/>
      <c r="C43" s="188"/>
      <c r="D43" s="188"/>
      <c r="E43" s="188"/>
      <c r="F43" s="188"/>
      <c r="G43" s="188"/>
      <c r="H43" s="188"/>
      <c r="I43" s="188"/>
      <c r="J43" s="188"/>
      <c r="K43" s="188"/>
      <c r="L43" s="189"/>
      <c r="M43" s="187"/>
      <c r="N43" s="188"/>
      <c r="O43" s="188"/>
      <c r="P43" s="188"/>
      <c r="Q43" s="188"/>
      <c r="R43" s="188"/>
      <c r="S43" s="188"/>
      <c r="T43" s="188"/>
      <c r="U43" s="188"/>
      <c r="V43" s="188"/>
      <c r="W43" s="189"/>
      <c r="X43" s="187"/>
      <c r="Y43" s="188"/>
      <c r="Z43" s="188"/>
      <c r="AA43" s="188"/>
      <c r="AB43" s="188"/>
      <c r="AC43" s="188"/>
      <c r="AD43" s="188"/>
      <c r="AE43" s="188"/>
      <c r="AF43" s="188"/>
      <c r="AG43" s="188"/>
      <c r="AH43" s="189"/>
      <c r="AI43" s="187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9"/>
      <c r="AU43" s="187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95"/>
    </row>
    <row r="44" spans="2:58" ht="13" customHeight="1" x14ac:dyDescent="0.25">
      <c r="B44" s="202"/>
      <c r="C44" s="188"/>
      <c r="D44" s="188"/>
      <c r="E44" s="188"/>
      <c r="F44" s="188"/>
      <c r="G44" s="188"/>
      <c r="H44" s="188"/>
      <c r="I44" s="188"/>
      <c r="J44" s="188"/>
      <c r="K44" s="188"/>
      <c r="L44" s="189"/>
      <c r="M44" s="187"/>
      <c r="N44" s="188"/>
      <c r="O44" s="188"/>
      <c r="P44" s="188"/>
      <c r="Q44" s="188"/>
      <c r="R44" s="188"/>
      <c r="S44" s="188"/>
      <c r="T44" s="188"/>
      <c r="U44" s="188"/>
      <c r="V44" s="188"/>
      <c r="W44" s="189"/>
      <c r="X44" s="187"/>
      <c r="Y44" s="188"/>
      <c r="Z44" s="188"/>
      <c r="AA44" s="188"/>
      <c r="AB44" s="188"/>
      <c r="AC44" s="188"/>
      <c r="AD44" s="188"/>
      <c r="AE44" s="188"/>
      <c r="AF44" s="188"/>
      <c r="AG44" s="188"/>
      <c r="AH44" s="189"/>
      <c r="AI44" s="187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9"/>
      <c r="AU44" s="187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95"/>
    </row>
    <row r="45" spans="2:58" ht="13" customHeight="1" x14ac:dyDescent="0.25">
      <c r="B45" s="203"/>
      <c r="C45" s="191"/>
      <c r="D45" s="191"/>
      <c r="E45" s="191"/>
      <c r="F45" s="191"/>
      <c r="G45" s="191"/>
      <c r="H45" s="191"/>
      <c r="I45" s="191"/>
      <c r="J45" s="191"/>
      <c r="K45" s="191"/>
      <c r="L45" s="148"/>
      <c r="M45" s="190"/>
      <c r="N45" s="191"/>
      <c r="O45" s="191"/>
      <c r="P45" s="191"/>
      <c r="Q45" s="191"/>
      <c r="R45" s="191"/>
      <c r="S45" s="191"/>
      <c r="T45" s="191"/>
      <c r="U45" s="191"/>
      <c r="V45" s="191"/>
      <c r="W45" s="148"/>
      <c r="X45" s="190"/>
      <c r="Y45" s="191"/>
      <c r="Z45" s="191"/>
      <c r="AA45" s="191"/>
      <c r="AB45" s="191"/>
      <c r="AC45" s="191"/>
      <c r="AD45" s="191"/>
      <c r="AE45" s="191"/>
      <c r="AF45" s="191"/>
      <c r="AG45" s="191"/>
      <c r="AH45" s="148"/>
      <c r="AI45" s="190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48"/>
      <c r="AU45" s="190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6"/>
    </row>
    <row r="46" spans="2:58" ht="13" customHeight="1" x14ac:dyDescent="0.25">
      <c r="B46" s="180" t="s">
        <v>261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49"/>
      <c r="M46" s="155" t="s">
        <v>262</v>
      </c>
      <c r="N46" s="178"/>
      <c r="O46" s="178"/>
      <c r="P46" s="178"/>
      <c r="Q46" s="178"/>
      <c r="R46" s="178"/>
      <c r="S46" s="178"/>
      <c r="T46" s="178"/>
      <c r="U46" s="178"/>
      <c r="V46" s="178"/>
      <c r="W46" s="149"/>
      <c r="X46" s="181" t="s">
        <v>263</v>
      </c>
      <c r="Y46" s="178"/>
      <c r="Z46" s="178"/>
      <c r="AA46" s="178"/>
      <c r="AB46" s="178"/>
      <c r="AC46" s="178"/>
      <c r="AD46" s="178"/>
      <c r="AE46" s="178"/>
      <c r="AF46" s="178"/>
      <c r="AG46" s="178"/>
      <c r="AH46" s="149"/>
      <c r="AI46" s="131" t="s">
        <v>264</v>
      </c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49"/>
      <c r="AU46" s="131" t="s">
        <v>265</v>
      </c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82"/>
    </row>
    <row r="47" spans="2:58" ht="13" customHeight="1" x14ac:dyDescent="0.25">
      <c r="B47" s="201"/>
      <c r="C47" s="185"/>
      <c r="D47" s="185"/>
      <c r="E47" s="185"/>
      <c r="F47" s="185"/>
      <c r="G47" s="185"/>
      <c r="H47" s="185"/>
      <c r="I47" s="185"/>
      <c r="J47" s="185"/>
      <c r="K47" s="185"/>
      <c r="L47" s="186"/>
      <c r="M47" s="204"/>
      <c r="N47" s="185"/>
      <c r="O47" s="185"/>
      <c r="P47" s="185"/>
      <c r="Q47" s="185"/>
      <c r="R47" s="185"/>
      <c r="S47" s="185"/>
      <c r="T47" s="185"/>
      <c r="U47" s="185"/>
      <c r="V47" s="185"/>
      <c r="W47" s="186"/>
      <c r="X47" s="205"/>
      <c r="Y47" s="185"/>
      <c r="Z47" s="185"/>
      <c r="AA47" s="185"/>
      <c r="AB47" s="185"/>
      <c r="AC47" s="185"/>
      <c r="AD47" s="185"/>
      <c r="AE47" s="185"/>
      <c r="AF47" s="185"/>
      <c r="AG47" s="185"/>
      <c r="AH47" s="186"/>
      <c r="AI47" s="193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6"/>
      <c r="AU47" s="193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94"/>
    </row>
    <row r="48" spans="2:58" ht="13" customHeight="1" x14ac:dyDescent="0.25">
      <c r="B48" s="202"/>
      <c r="C48" s="188"/>
      <c r="D48" s="188"/>
      <c r="E48" s="188"/>
      <c r="F48" s="188"/>
      <c r="G48" s="188"/>
      <c r="H48" s="188"/>
      <c r="I48" s="188"/>
      <c r="J48" s="188"/>
      <c r="K48" s="188"/>
      <c r="L48" s="189"/>
      <c r="M48" s="187"/>
      <c r="N48" s="188"/>
      <c r="O48" s="188"/>
      <c r="P48" s="188"/>
      <c r="Q48" s="188"/>
      <c r="R48" s="188"/>
      <c r="S48" s="188"/>
      <c r="T48" s="188"/>
      <c r="U48" s="188"/>
      <c r="V48" s="188"/>
      <c r="W48" s="189"/>
      <c r="X48" s="187"/>
      <c r="Y48" s="188"/>
      <c r="Z48" s="188"/>
      <c r="AA48" s="188"/>
      <c r="AB48" s="188"/>
      <c r="AC48" s="188"/>
      <c r="AD48" s="188"/>
      <c r="AE48" s="188"/>
      <c r="AF48" s="188"/>
      <c r="AG48" s="188"/>
      <c r="AH48" s="189"/>
      <c r="AI48" s="187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9"/>
      <c r="AU48" s="187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95"/>
    </row>
    <row r="49" spans="2:58" ht="13" customHeight="1" x14ac:dyDescent="0.25">
      <c r="B49" s="202"/>
      <c r="C49" s="188"/>
      <c r="D49" s="188"/>
      <c r="E49" s="188"/>
      <c r="F49" s="188"/>
      <c r="G49" s="188"/>
      <c r="H49" s="188"/>
      <c r="I49" s="188"/>
      <c r="J49" s="188"/>
      <c r="K49" s="188"/>
      <c r="L49" s="189"/>
      <c r="M49" s="187"/>
      <c r="N49" s="188"/>
      <c r="O49" s="188"/>
      <c r="P49" s="188"/>
      <c r="Q49" s="188"/>
      <c r="R49" s="188"/>
      <c r="S49" s="188"/>
      <c r="T49" s="188"/>
      <c r="U49" s="188"/>
      <c r="V49" s="188"/>
      <c r="W49" s="189"/>
      <c r="X49" s="187"/>
      <c r="Y49" s="188"/>
      <c r="Z49" s="188"/>
      <c r="AA49" s="188"/>
      <c r="AB49" s="188"/>
      <c r="AC49" s="188"/>
      <c r="AD49" s="188"/>
      <c r="AE49" s="188"/>
      <c r="AF49" s="188"/>
      <c r="AG49" s="188"/>
      <c r="AH49" s="189"/>
      <c r="AI49" s="187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9"/>
      <c r="AU49" s="187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95"/>
    </row>
    <row r="50" spans="2:58" ht="13" customHeight="1" x14ac:dyDescent="0.25">
      <c r="B50" s="202"/>
      <c r="C50" s="188"/>
      <c r="D50" s="188"/>
      <c r="E50" s="188"/>
      <c r="F50" s="188"/>
      <c r="G50" s="188"/>
      <c r="H50" s="188"/>
      <c r="I50" s="188"/>
      <c r="J50" s="188"/>
      <c r="K50" s="188"/>
      <c r="L50" s="189"/>
      <c r="M50" s="187"/>
      <c r="N50" s="188"/>
      <c r="O50" s="188"/>
      <c r="P50" s="188"/>
      <c r="Q50" s="188"/>
      <c r="R50" s="188"/>
      <c r="S50" s="188"/>
      <c r="T50" s="188"/>
      <c r="U50" s="188"/>
      <c r="V50" s="188"/>
      <c r="W50" s="189"/>
      <c r="X50" s="187"/>
      <c r="Y50" s="188"/>
      <c r="Z50" s="188"/>
      <c r="AA50" s="188"/>
      <c r="AB50" s="188"/>
      <c r="AC50" s="188"/>
      <c r="AD50" s="188"/>
      <c r="AE50" s="188"/>
      <c r="AF50" s="188"/>
      <c r="AG50" s="188"/>
      <c r="AH50" s="189"/>
      <c r="AI50" s="187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9"/>
      <c r="AU50" s="187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95"/>
    </row>
    <row r="51" spans="2:58" ht="13" customHeight="1" x14ac:dyDescent="0.25">
      <c r="B51" s="202"/>
      <c r="C51" s="188"/>
      <c r="D51" s="188"/>
      <c r="E51" s="188"/>
      <c r="F51" s="188"/>
      <c r="G51" s="188"/>
      <c r="H51" s="188"/>
      <c r="I51" s="188"/>
      <c r="J51" s="188"/>
      <c r="K51" s="188"/>
      <c r="L51" s="189"/>
      <c r="M51" s="187"/>
      <c r="N51" s="188"/>
      <c r="O51" s="188"/>
      <c r="P51" s="188"/>
      <c r="Q51" s="188"/>
      <c r="R51" s="188"/>
      <c r="S51" s="188"/>
      <c r="T51" s="188"/>
      <c r="U51" s="188"/>
      <c r="V51" s="188"/>
      <c r="W51" s="189"/>
      <c r="X51" s="187"/>
      <c r="Y51" s="188"/>
      <c r="Z51" s="188"/>
      <c r="AA51" s="188"/>
      <c r="AB51" s="188"/>
      <c r="AC51" s="188"/>
      <c r="AD51" s="188"/>
      <c r="AE51" s="188"/>
      <c r="AF51" s="188"/>
      <c r="AG51" s="188"/>
      <c r="AH51" s="189"/>
      <c r="AI51" s="187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9"/>
      <c r="AU51" s="187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95"/>
    </row>
    <row r="52" spans="2:58" ht="13" customHeight="1" x14ac:dyDescent="0.25">
      <c r="B52" s="203"/>
      <c r="C52" s="191"/>
      <c r="D52" s="191"/>
      <c r="E52" s="191"/>
      <c r="F52" s="191"/>
      <c r="G52" s="191"/>
      <c r="H52" s="191"/>
      <c r="I52" s="191"/>
      <c r="J52" s="191"/>
      <c r="K52" s="191"/>
      <c r="L52" s="148"/>
      <c r="M52" s="190"/>
      <c r="N52" s="191"/>
      <c r="O52" s="191"/>
      <c r="P52" s="191"/>
      <c r="Q52" s="191"/>
      <c r="R52" s="191"/>
      <c r="S52" s="191"/>
      <c r="T52" s="191"/>
      <c r="U52" s="191"/>
      <c r="V52" s="191"/>
      <c r="W52" s="148"/>
      <c r="X52" s="190"/>
      <c r="Y52" s="191"/>
      <c r="Z52" s="191"/>
      <c r="AA52" s="191"/>
      <c r="AB52" s="191"/>
      <c r="AC52" s="191"/>
      <c r="AD52" s="191"/>
      <c r="AE52" s="191"/>
      <c r="AF52" s="191"/>
      <c r="AG52" s="191"/>
      <c r="AH52" s="148"/>
      <c r="AI52" s="190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48"/>
      <c r="AU52" s="190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6"/>
    </row>
    <row r="53" spans="2:58" ht="13" customHeight="1" x14ac:dyDescent="0.25">
      <c r="B53" s="180" t="s">
        <v>266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49"/>
      <c r="M53" s="183" t="s">
        <v>267</v>
      </c>
      <c r="N53" s="178"/>
      <c r="O53" s="178"/>
      <c r="P53" s="178"/>
      <c r="Q53" s="178"/>
      <c r="R53" s="178"/>
      <c r="S53" s="178"/>
      <c r="T53" s="178"/>
      <c r="U53" s="178"/>
      <c r="V53" s="178"/>
      <c r="W53" s="149"/>
      <c r="X53" s="181" t="s">
        <v>268</v>
      </c>
      <c r="Y53" s="178"/>
      <c r="Z53" s="178"/>
      <c r="AA53" s="178"/>
      <c r="AB53" s="178"/>
      <c r="AC53" s="178"/>
      <c r="AD53" s="178"/>
      <c r="AE53" s="178"/>
      <c r="AF53" s="178"/>
      <c r="AG53" s="178"/>
      <c r="AH53" s="149"/>
      <c r="AI53" s="131" t="s">
        <v>269</v>
      </c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49"/>
      <c r="AU53" s="131" t="s">
        <v>270</v>
      </c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82"/>
    </row>
    <row r="54" spans="2:58" ht="13" customHeight="1" x14ac:dyDescent="0.25">
      <c r="B54" s="201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209"/>
      <c r="N54" s="185"/>
      <c r="O54" s="185"/>
      <c r="P54" s="185"/>
      <c r="Q54" s="185"/>
      <c r="R54" s="185"/>
      <c r="S54" s="185"/>
      <c r="T54" s="185"/>
      <c r="U54" s="185"/>
      <c r="V54" s="185"/>
      <c r="W54" s="186"/>
      <c r="X54" s="205"/>
      <c r="Y54" s="185"/>
      <c r="Z54" s="185"/>
      <c r="AA54" s="185"/>
      <c r="AB54" s="185"/>
      <c r="AC54" s="185"/>
      <c r="AD54" s="185"/>
      <c r="AE54" s="185"/>
      <c r="AF54" s="185"/>
      <c r="AG54" s="185"/>
      <c r="AH54" s="186"/>
      <c r="AI54" s="193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6"/>
      <c r="AU54" s="193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94"/>
    </row>
    <row r="55" spans="2:58" ht="13" customHeight="1" x14ac:dyDescent="0.25">
      <c r="B55" s="202"/>
      <c r="C55" s="188"/>
      <c r="D55" s="188"/>
      <c r="E55" s="188"/>
      <c r="F55" s="188"/>
      <c r="G55" s="188"/>
      <c r="H55" s="188"/>
      <c r="I55" s="188"/>
      <c r="J55" s="188"/>
      <c r="K55" s="188"/>
      <c r="L55" s="189"/>
      <c r="M55" s="187"/>
      <c r="N55" s="188"/>
      <c r="O55" s="188"/>
      <c r="P55" s="188"/>
      <c r="Q55" s="188"/>
      <c r="R55" s="188"/>
      <c r="S55" s="188"/>
      <c r="T55" s="188"/>
      <c r="U55" s="188"/>
      <c r="V55" s="188"/>
      <c r="W55" s="189"/>
      <c r="X55" s="187"/>
      <c r="Y55" s="188"/>
      <c r="Z55" s="188"/>
      <c r="AA55" s="188"/>
      <c r="AB55" s="188"/>
      <c r="AC55" s="188"/>
      <c r="AD55" s="188"/>
      <c r="AE55" s="188"/>
      <c r="AF55" s="188"/>
      <c r="AG55" s="188"/>
      <c r="AH55" s="189"/>
      <c r="AI55" s="187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9"/>
      <c r="AU55" s="187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95"/>
    </row>
    <row r="56" spans="2:58" ht="13" customHeight="1" x14ac:dyDescent="0.25">
      <c r="B56" s="202"/>
      <c r="C56" s="188"/>
      <c r="D56" s="188"/>
      <c r="E56" s="188"/>
      <c r="F56" s="188"/>
      <c r="G56" s="188"/>
      <c r="H56" s="188"/>
      <c r="I56" s="188"/>
      <c r="J56" s="188"/>
      <c r="K56" s="188"/>
      <c r="L56" s="189"/>
      <c r="M56" s="187"/>
      <c r="N56" s="188"/>
      <c r="O56" s="188"/>
      <c r="P56" s="188"/>
      <c r="Q56" s="188"/>
      <c r="R56" s="188"/>
      <c r="S56" s="188"/>
      <c r="T56" s="188"/>
      <c r="U56" s="188"/>
      <c r="V56" s="188"/>
      <c r="W56" s="189"/>
      <c r="X56" s="187"/>
      <c r="Y56" s="188"/>
      <c r="Z56" s="188"/>
      <c r="AA56" s="188"/>
      <c r="AB56" s="188"/>
      <c r="AC56" s="188"/>
      <c r="AD56" s="188"/>
      <c r="AE56" s="188"/>
      <c r="AF56" s="188"/>
      <c r="AG56" s="188"/>
      <c r="AH56" s="189"/>
      <c r="AI56" s="187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9"/>
      <c r="AU56" s="187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95"/>
    </row>
    <row r="57" spans="2:58" ht="13" customHeight="1" x14ac:dyDescent="0.25">
      <c r="B57" s="202"/>
      <c r="C57" s="188"/>
      <c r="D57" s="188"/>
      <c r="E57" s="188"/>
      <c r="F57" s="188"/>
      <c r="G57" s="188"/>
      <c r="H57" s="188"/>
      <c r="I57" s="188"/>
      <c r="J57" s="188"/>
      <c r="K57" s="188"/>
      <c r="L57" s="189"/>
      <c r="M57" s="187"/>
      <c r="N57" s="188"/>
      <c r="O57" s="188"/>
      <c r="P57" s="188"/>
      <c r="Q57" s="188"/>
      <c r="R57" s="188"/>
      <c r="S57" s="188"/>
      <c r="T57" s="188"/>
      <c r="U57" s="188"/>
      <c r="V57" s="188"/>
      <c r="W57" s="189"/>
      <c r="X57" s="187"/>
      <c r="Y57" s="188"/>
      <c r="Z57" s="188"/>
      <c r="AA57" s="188"/>
      <c r="AB57" s="188"/>
      <c r="AC57" s="188"/>
      <c r="AD57" s="188"/>
      <c r="AE57" s="188"/>
      <c r="AF57" s="188"/>
      <c r="AG57" s="188"/>
      <c r="AH57" s="189"/>
      <c r="AI57" s="187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9"/>
      <c r="AU57" s="187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95"/>
    </row>
    <row r="58" spans="2:58" ht="13" customHeight="1" x14ac:dyDescent="0.25">
      <c r="B58" s="202"/>
      <c r="C58" s="188"/>
      <c r="D58" s="188"/>
      <c r="E58" s="188"/>
      <c r="F58" s="188"/>
      <c r="G58" s="188"/>
      <c r="H58" s="188"/>
      <c r="I58" s="188"/>
      <c r="J58" s="188"/>
      <c r="K58" s="188"/>
      <c r="L58" s="189"/>
      <c r="M58" s="187"/>
      <c r="N58" s="188"/>
      <c r="O58" s="188"/>
      <c r="P58" s="188"/>
      <c r="Q58" s="188"/>
      <c r="R58" s="188"/>
      <c r="S58" s="188"/>
      <c r="T58" s="188"/>
      <c r="U58" s="188"/>
      <c r="V58" s="188"/>
      <c r="W58" s="189"/>
      <c r="X58" s="187"/>
      <c r="Y58" s="188"/>
      <c r="Z58" s="188"/>
      <c r="AA58" s="188"/>
      <c r="AB58" s="188"/>
      <c r="AC58" s="188"/>
      <c r="AD58" s="188"/>
      <c r="AE58" s="188"/>
      <c r="AF58" s="188"/>
      <c r="AG58" s="188"/>
      <c r="AH58" s="189"/>
      <c r="AI58" s="187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9"/>
      <c r="AU58" s="187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95"/>
    </row>
    <row r="59" spans="2:58" ht="13" customHeight="1" x14ac:dyDescent="0.25">
      <c r="B59" s="206"/>
      <c r="C59" s="207"/>
      <c r="D59" s="207"/>
      <c r="E59" s="207"/>
      <c r="F59" s="207"/>
      <c r="G59" s="207"/>
      <c r="H59" s="207"/>
      <c r="I59" s="207"/>
      <c r="J59" s="207"/>
      <c r="K59" s="207"/>
      <c r="L59" s="208"/>
      <c r="M59" s="210"/>
      <c r="N59" s="207"/>
      <c r="O59" s="207"/>
      <c r="P59" s="207"/>
      <c r="Q59" s="207"/>
      <c r="R59" s="207"/>
      <c r="S59" s="207"/>
      <c r="T59" s="207"/>
      <c r="U59" s="207"/>
      <c r="V59" s="207"/>
      <c r="W59" s="208"/>
      <c r="X59" s="210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10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8"/>
      <c r="AU59" s="210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11"/>
    </row>
    <row r="60" spans="2:58" ht="13" customHeight="1" x14ac:dyDescent="0.25">
      <c r="B60" s="147" t="s">
        <v>372</v>
      </c>
      <c r="C60" s="148"/>
      <c r="D60" s="9" t="s">
        <v>274</v>
      </c>
      <c r="E60" s="124" t="s">
        <v>20</v>
      </c>
      <c r="F60" s="127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30"/>
    </row>
    <row r="61" spans="2:58" ht="13" customHeight="1" x14ac:dyDescent="0.25">
      <c r="B61" s="123" t="s">
        <v>275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2"/>
    </row>
    <row r="62" spans="2:58" ht="13" customHeight="1" thickBot="1" x14ac:dyDescent="0.3">
      <c r="B62" s="135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4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T11"/>
  <sheetViews>
    <sheetView tabSelected="1" zoomScaleNormal="100" workbookViewId="0">
      <selection activeCell="I19" sqref="I19:J19"/>
    </sheetView>
  </sheetViews>
  <sheetFormatPr defaultColWidth="9.81640625" defaultRowHeight="13" x14ac:dyDescent="0.25"/>
  <cols>
    <col min="1" max="1" width="1.7265625" style="105" customWidth="1"/>
    <col min="2" max="7" width="13.7265625" style="105" customWidth="1"/>
    <col min="8" max="10" width="13.90625" style="105" customWidth="1"/>
    <col min="11" max="11" width="12.7265625" style="105" bestFit="1" customWidth="1"/>
    <col min="12" max="12" width="11.36328125" style="105" bestFit="1" customWidth="1"/>
    <col min="13" max="15" width="9.90625" style="105" bestFit="1" customWidth="1"/>
    <col min="16" max="16" width="12.36328125" style="105" bestFit="1" customWidth="1"/>
    <col min="17" max="17" width="9.90625" style="105" bestFit="1" customWidth="1"/>
    <col min="18" max="18" width="9.81640625" style="105"/>
  </cols>
  <sheetData>
    <row r="2" spans="2:19" x14ac:dyDescent="0.25">
      <c r="B2" s="243" t="s">
        <v>350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5"/>
    </row>
    <row r="3" spans="2:19" x14ac:dyDescent="0.25">
      <c r="B3" s="246" t="s">
        <v>372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8"/>
    </row>
    <row r="4" spans="2:19" x14ac:dyDescent="0.25">
      <c r="B4" s="216" t="s">
        <v>351</v>
      </c>
      <c r="C4" s="91" t="s">
        <v>292</v>
      </c>
      <c r="D4" s="106" t="s">
        <v>352</v>
      </c>
      <c r="E4" s="106" t="s">
        <v>287</v>
      </c>
      <c r="F4" s="106" t="s">
        <v>288</v>
      </c>
      <c r="G4" s="91" t="s">
        <v>353</v>
      </c>
      <c r="H4" s="91" t="s">
        <v>354</v>
      </c>
      <c r="I4" s="91" t="s">
        <v>355</v>
      </c>
      <c r="J4" s="91" t="s">
        <v>356</v>
      </c>
      <c r="K4" s="106" t="s">
        <v>357</v>
      </c>
      <c r="L4" s="106" t="s">
        <v>358</v>
      </c>
      <c r="M4" s="91" t="s">
        <v>359</v>
      </c>
      <c r="N4" s="91" t="s">
        <v>360</v>
      </c>
      <c r="O4" s="91" t="s">
        <v>361</v>
      </c>
      <c r="P4" s="91" t="s">
        <v>362</v>
      </c>
      <c r="Q4" s="91" t="s">
        <v>363</v>
      </c>
      <c r="R4" s="91" t="s">
        <v>371</v>
      </c>
      <c r="S4" s="91" t="s">
        <v>370</v>
      </c>
    </row>
    <row r="5" spans="2:19" x14ac:dyDescent="0.25">
      <c r="B5" s="216"/>
      <c r="C5" s="91" t="s">
        <v>293</v>
      </c>
      <c r="D5" s="107" t="s">
        <v>364</v>
      </c>
      <c r="E5" s="91" t="s">
        <v>365</v>
      </c>
      <c r="F5" s="91" t="s">
        <v>366</v>
      </c>
      <c r="G5" s="91" t="s">
        <v>366</v>
      </c>
      <c r="H5" s="91" t="s">
        <v>366</v>
      </c>
      <c r="I5" s="91" t="s">
        <v>366</v>
      </c>
      <c r="J5" s="91" t="s">
        <v>366</v>
      </c>
      <c r="K5" s="91" t="s">
        <v>284</v>
      </c>
      <c r="L5" s="91" t="s">
        <v>282</v>
      </c>
      <c r="M5" s="91" t="s">
        <v>283</v>
      </c>
      <c r="N5" s="91" t="s">
        <v>283</v>
      </c>
      <c r="O5" s="91" t="s">
        <v>283</v>
      </c>
      <c r="P5" s="91" t="s">
        <v>281</v>
      </c>
      <c r="Q5" s="91" t="s">
        <v>281</v>
      </c>
      <c r="R5" s="91" t="s">
        <v>281</v>
      </c>
      <c r="S5" s="91" t="s">
        <v>281</v>
      </c>
    </row>
    <row r="6" spans="2:19" x14ac:dyDescent="0.25">
      <c r="B6" s="249" t="s">
        <v>372</v>
      </c>
      <c r="C6" s="249" t="s">
        <v>367</v>
      </c>
      <c r="D6" s="108">
        <v>74.6500015258789</v>
      </c>
      <c r="E6" s="108">
        <v>22.389999389648438</v>
      </c>
      <c r="F6" s="108">
        <v>436.17999267578125</v>
      </c>
      <c r="G6" s="250">
        <f>F6+F7+F8</f>
        <v>0</v>
      </c>
      <c r="H6" s="109">
        <f>F6*D6/100</f>
        <v>0</v>
      </c>
      <c r="I6" s="251">
        <f>H6+H7+H8</f>
        <v>0</v>
      </c>
      <c r="J6" s="251">
        <f t="shared" ref="J6" si="0">I6</f>
        <v>0</v>
      </c>
      <c r="K6" s="251">
        <v>3.600234270095825</v>
      </c>
      <c r="L6" s="251">
        <v>416.2272644042969</v>
      </c>
      <c r="M6" s="251">
        <f>K6*L6/1000</f>
        <v>0</v>
      </c>
      <c r="N6" s="251">
        <f>M6+'[1]2025.12月 '!N190</f>
        <v>0</v>
      </c>
      <c r="O6" s="251" t="e">
        <f>I6/M6*1.2/10</f>
        <v>#DIV/0!</v>
      </c>
      <c r="P6" s="252" t="s">
        <v>368</v>
      </c>
      <c r="Q6" s="251" t="e">
        <f>(I6+I9)/(K6+K9)/L6*1.2*100</f>
        <v>#DIV/0!</v>
      </c>
      <c r="R6" s="251">
        <v>1384.627197265625</v>
      </c>
      <c r="S6" s="251">
        <v>1844.8699951171875</v>
      </c>
    </row>
    <row r="7" spans="2:19" x14ac:dyDescent="0.25">
      <c r="B7" s="249"/>
      <c r="C7" s="249"/>
      <c r="D7" s="108">
        <v>79.66000366210938</v>
      </c>
      <c r="E7" s="108">
        <v>17.969999313354492</v>
      </c>
      <c r="F7" s="108">
        <v>479.95001220703125</v>
      </c>
      <c r="G7" s="250"/>
      <c r="H7" s="109">
        <f t="shared" ref="H7:H11" si="1">F7*D7/100</f>
        <v>0</v>
      </c>
      <c r="I7" s="251"/>
      <c r="J7" s="251"/>
      <c r="K7" s="251"/>
      <c r="L7" s="251"/>
      <c r="M7" s="251"/>
      <c r="N7" s="251"/>
      <c r="O7" s="251"/>
      <c r="P7" s="252" t="s">
        <v>368</v>
      </c>
      <c r="Q7" s="251"/>
      <c r="R7" s="251"/>
      <c r="S7" s="251"/>
    </row>
    <row r="8" spans="2:19" x14ac:dyDescent="0.25">
      <c r="B8" s="249"/>
      <c r="C8" s="249"/>
      <c r="D8" s="108"/>
      <c r="E8" s="108"/>
      <c r="F8" s="108"/>
      <c r="G8" s="250"/>
      <c r="H8" s="109">
        <f t="shared" si="1"/>
        <v>0</v>
      </c>
      <c r="I8" s="251"/>
      <c r="J8" s="251"/>
      <c r="K8" s="251"/>
      <c r="L8" s="251"/>
      <c r="M8" s="251"/>
      <c r="N8" s="251"/>
      <c r="O8" s="251"/>
      <c r="P8" s="252" t="s">
        <v>369</v>
      </c>
      <c r="Q8" s="251"/>
      <c r="R8" s="251"/>
      <c r="S8" s="251"/>
    </row>
    <row r="9" spans="2:19" x14ac:dyDescent="0.25">
      <c r="B9" s="249"/>
      <c r="C9" s="249"/>
      <c r="D9" s="108">
        <v>74.8499984741211</v>
      </c>
      <c r="E9" s="108">
        <v>22.520000457763672</v>
      </c>
      <c r="F9" s="108">
        <v>433.5299987792969</v>
      </c>
      <c r="G9" s="250">
        <f>F9+F10+F11</f>
        <v>0</v>
      </c>
      <c r="H9" s="109">
        <f>F9*D9/100</f>
        <v>0</v>
      </c>
      <c r="I9" s="251">
        <f>H9+H10+H11</f>
        <v>0</v>
      </c>
      <c r="J9" s="251">
        <f>J6+I9</f>
        <v>0</v>
      </c>
      <c r="K9" s="251">
        <v>3.2999844551086426</v>
      </c>
      <c r="L9" s="251">
        <v>423.1100158691406</v>
      </c>
      <c r="M9" s="251">
        <f>K9*L9/1000</f>
        <v>0</v>
      </c>
      <c r="N9" s="251">
        <f>M9+N6</f>
        <v>0</v>
      </c>
      <c r="O9" s="251" t="e">
        <f>I9/M9*1.2/10</f>
        <v>#DIV/0!</v>
      </c>
      <c r="P9" s="252" t="s">
        <v>368</v>
      </c>
      <c r="Q9" s="251"/>
      <c r="R9" s="251"/>
      <c r="S9" s="251"/>
    </row>
    <row r="10" spans="2:19" x14ac:dyDescent="0.25">
      <c r="B10" s="249"/>
      <c r="C10" s="249"/>
      <c r="D10" s="108">
        <v>71.12000274658203</v>
      </c>
      <c r="E10" s="108">
        <v>27.219999313354492</v>
      </c>
      <c r="F10" s="108">
        <v>495.2099914550781</v>
      </c>
      <c r="G10" s="250"/>
      <c r="H10" s="109">
        <f t="shared" si="1"/>
        <v>0</v>
      </c>
      <c r="I10" s="251"/>
      <c r="J10" s="251"/>
      <c r="K10" s="251"/>
      <c r="L10" s="251"/>
      <c r="M10" s="251"/>
      <c r="N10" s="251"/>
      <c r="O10" s="251"/>
      <c r="P10" s="252" t="s">
        <v>368</v>
      </c>
      <c r="Q10" s="251"/>
      <c r="R10" s="251"/>
      <c r="S10" s="251"/>
    </row>
    <row r="11" spans="2:19" x14ac:dyDescent="0.25">
      <c r="B11" s="249"/>
      <c r="C11" s="249"/>
      <c r="D11" s="108"/>
      <c r="E11" s="108"/>
      <c r="F11" s="108"/>
      <c r="G11" s="250"/>
      <c r="H11" s="109">
        <f t="shared" si="1"/>
        <v>0</v>
      </c>
      <c r="I11" s="251"/>
      <c r="J11" s="251"/>
      <c r="K11" s="251"/>
      <c r="L11" s="251"/>
      <c r="M11" s="251"/>
      <c r="N11" s="251"/>
      <c r="O11" s="251"/>
      <c r="P11" s="252" t="s">
        <v>369</v>
      </c>
      <c r="Q11" s="251"/>
      <c r="R11" s="251"/>
      <c r="S11" s="251"/>
    </row>
  </sheetData>
  <mergeCells count="24"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  <mergeCell ref="S6:S11"/>
    <mergeCell ref="R6:R11"/>
    <mergeCell ref="N9:N11"/>
    <mergeCell ref="O9:O11"/>
    <mergeCell ref="K6:K8"/>
    <mergeCell ref="L6:L8"/>
    <mergeCell ref="M6:M8"/>
    <mergeCell ref="N6:N8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zoomScaleNormal="100" workbookViewId="0">
      <selection activeCell="O16" sqref="O1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20" t="s">
        <v>349</v>
      </c>
      <c r="C2" s="221"/>
      <c r="D2" s="221"/>
      <c r="E2" s="221"/>
      <c r="F2" s="221"/>
      <c r="G2" s="221"/>
      <c r="H2" s="221"/>
      <c r="I2" s="221"/>
      <c r="J2" s="222"/>
    </row>
    <row r="3" spans="2:10" ht="20.15" customHeight="1" x14ac:dyDescent="0.25">
      <c r="B3" s="85"/>
      <c r="C3" s="86"/>
      <c r="D3" s="86"/>
      <c r="E3" s="86"/>
      <c r="F3" s="86"/>
      <c r="G3" s="87"/>
      <c r="H3" s="223"/>
      <c r="I3" s="223"/>
      <c r="J3" s="224"/>
    </row>
    <row r="4" spans="2:10" ht="21" x14ac:dyDescent="0.25">
      <c r="B4" s="225" t="s">
        <v>292</v>
      </c>
      <c r="C4" s="226"/>
      <c r="D4" s="227"/>
      <c r="E4" s="88" t="s">
        <v>293</v>
      </c>
      <c r="F4" s="88" t="s">
        <v>294</v>
      </c>
      <c r="G4" s="88" t="s">
        <v>295</v>
      </c>
      <c r="H4" s="228" t="s">
        <v>296</v>
      </c>
      <c r="I4" s="227"/>
      <c r="J4" s="89" t="s">
        <v>297</v>
      </c>
    </row>
    <row r="5" spans="2:10" x14ac:dyDescent="0.25">
      <c r="B5" s="90" t="s">
        <v>298</v>
      </c>
      <c r="C5" s="216" t="s">
        <v>299</v>
      </c>
      <c r="D5" s="216"/>
      <c r="E5" s="91" t="s">
        <v>283</v>
      </c>
      <c r="F5" s="92">
        <v>90</v>
      </c>
      <c r="G5" s="93">
        <v>57.852317810058594</v>
      </c>
      <c r="H5" s="94">
        <f>(G5-F5)/F5*100</f>
        <v>-100</v>
      </c>
      <c r="I5" s="95" t="s">
        <v>283</v>
      </c>
      <c r="J5" s="96"/>
    </row>
    <row r="6" spans="2:10" x14ac:dyDescent="0.25">
      <c r="B6" s="217" t="s">
        <v>300</v>
      </c>
      <c r="C6" s="216" t="s">
        <v>301</v>
      </c>
      <c r="D6" s="216"/>
      <c r="E6" s="91" t="s">
        <v>280</v>
      </c>
      <c r="F6" s="92" t="s">
        <v>302</v>
      </c>
      <c r="G6" s="93">
        <v>2181.61328125</v>
      </c>
      <c r="H6" s="97" t="str">
        <f>IF($G6="","",IF(AND($G6&gt;=0,$G6&lt;=1427),"合格","不合格"))</f>
        <v/>
      </c>
      <c r="I6" s="98" t="s">
        <v>4</v>
      </c>
      <c r="J6" s="96"/>
    </row>
    <row r="7" spans="2:10" x14ac:dyDescent="0.25">
      <c r="B7" s="218"/>
      <c r="C7" s="216" t="s">
        <v>303</v>
      </c>
      <c r="D7" s="216"/>
      <c r="E7" s="91" t="s">
        <v>280</v>
      </c>
      <c r="F7" s="92" t="s">
        <v>304</v>
      </c>
      <c r="G7" s="93">
        <v>345.0111999511719</v>
      </c>
      <c r="H7" s="97" t="str">
        <f>IF($G7="","",IF(AND($G7&gt;=210,$G7&lt;=220),"合格","不合格"))</f>
        <v/>
      </c>
      <c r="I7" s="98" t="s">
        <v>4</v>
      </c>
      <c r="J7" s="96"/>
    </row>
    <row r="8" spans="2:10" x14ac:dyDescent="0.25">
      <c r="B8" s="219"/>
      <c r="C8" s="216" t="s">
        <v>305</v>
      </c>
      <c r="D8" s="216"/>
      <c r="E8" s="91" t="s">
        <v>280</v>
      </c>
      <c r="F8" s="92" t="s">
        <v>306</v>
      </c>
      <c r="G8" s="93">
        <v>227.01502990722656</v>
      </c>
      <c r="H8" s="97" t="str">
        <f>IF($G8="","",IF(AND($G8&gt;=190,$G8&lt;=210),"合格","不合格"))</f>
        <v/>
      </c>
      <c r="I8" s="98" t="s">
        <v>4</v>
      </c>
      <c r="J8" s="96"/>
    </row>
    <row r="9" spans="2:10" x14ac:dyDescent="0.25">
      <c r="B9" s="217" t="s">
        <v>307</v>
      </c>
      <c r="C9" s="91" t="s">
        <v>308</v>
      </c>
      <c r="D9" s="91" t="s">
        <v>309</v>
      </c>
      <c r="E9" s="91" t="s">
        <v>310</v>
      </c>
      <c r="F9" s="92" t="s">
        <v>311</v>
      </c>
      <c r="G9" s="93">
        <v>419.53094482421875</v>
      </c>
      <c r="H9" s="97" t="str">
        <f>IF($G9="","",IF(AND($G9&gt;=412,$G9&lt;=422),"合格","不合格"))</f>
        <v/>
      </c>
      <c r="I9" s="98" t="s">
        <v>4</v>
      </c>
      <c r="J9" s="96"/>
    </row>
    <row r="10" spans="2:10" x14ac:dyDescent="0.25">
      <c r="B10" s="218"/>
      <c r="C10" s="216" t="s">
        <v>312</v>
      </c>
      <c r="D10" s="91" t="s">
        <v>313</v>
      </c>
      <c r="E10" s="98" t="s">
        <v>4</v>
      </c>
      <c r="F10" s="92" t="s">
        <v>314</v>
      </c>
      <c r="G10" s="93">
        <v>0.5290741920471191</v>
      </c>
      <c r="H10" s="97" t="str">
        <f>IF($G10="","",IF(AND($G10&gt;=0.525,$G10&lt;=0.5357),"合格","不合格"))</f>
        <v/>
      </c>
      <c r="I10" s="98" t="s">
        <v>4</v>
      </c>
      <c r="J10" s="96"/>
    </row>
    <row r="11" spans="2:10" x14ac:dyDescent="0.25">
      <c r="B11" s="218"/>
      <c r="C11" s="216"/>
      <c r="D11" s="91" t="s">
        <v>315</v>
      </c>
      <c r="E11" s="91" t="s">
        <v>316</v>
      </c>
      <c r="F11" s="92">
        <v>46.63</v>
      </c>
      <c r="G11" s="93">
        <v>46.65299987792969</v>
      </c>
      <c r="H11" s="97" t="s">
        <v>317</v>
      </c>
      <c r="I11" s="98" t="s">
        <v>4</v>
      </c>
      <c r="J11" s="96"/>
    </row>
    <row r="12" spans="2:10" x14ac:dyDescent="0.25">
      <c r="B12" s="218"/>
      <c r="C12" s="216"/>
      <c r="D12" s="91" t="s">
        <v>318</v>
      </c>
      <c r="E12" s="91" t="s">
        <v>285</v>
      </c>
      <c r="F12" s="92" t="s">
        <v>319</v>
      </c>
      <c r="G12" s="93">
        <v>0.7381065487861633</v>
      </c>
      <c r="H12" s="97" t="str">
        <f>IF($G12="","",IF(AND($G12&gt;=0.745,$G12&lt;=0.755),"合格","不合格"))</f>
        <v/>
      </c>
      <c r="I12" s="98" t="s">
        <v>4</v>
      </c>
      <c r="J12" s="96"/>
    </row>
    <row r="13" spans="2:10" x14ac:dyDescent="0.25">
      <c r="B13" s="218"/>
      <c r="C13" s="216"/>
      <c r="D13" s="91" t="s">
        <v>320</v>
      </c>
      <c r="E13" s="91" t="s">
        <v>286</v>
      </c>
      <c r="F13" s="92" t="s">
        <v>321</v>
      </c>
      <c r="G13" s="93">
        <v>90.46529388427734</v>
      </c>
      <c r="H13" s="97" t="str">
        <f>IF($G13="","",IF(AND($G13&gt;=88,$G13&lt;=92),"合格","不合格"))</f>
        <v/>
      </c>
      <c r="I13" s="98" t="s">
        <v>4</v>
      </c>
      <c r="J13" s="96"/>
    </row>
    <row r="14" spans="2:10" x14ac:dyDescent="0.25">
      <c r="B14" s="218"/>
      <c r="C14" s="216"/>
      <c r="D14" s="91" t="s">
        <v>322</v>
      </c>
      <c r="E14" s="91" t="s">
        <v>286</v>
      </c>
      <c r="F14" s="92" t="s">
        <v>323</v>
      </c>
      <c r="G14" s="93">
        <v>139.44505310058594</v>
      </c>
      <c r="H14" s="97" t="str">
        <f>IF($G14="","",IF(AND($G14&gt;=143,$G14&lt;=147),"合格","不合格"))</f>
        <v/>
      </c>
      <c r="I14" s="98" t="s">
        <v>4</v>
      </c>
      <c r="J14" s="96"/>
    </row>
    <row r="15" spans="2:10" x14ac:dyDescent="0.25">
      <c r="B15" s="218"/>
      <c r="C15" s="216"/>
      <c r="D15" s="91" t="s">
        <v>324</v>
      </c>
      <c r="E15" s="91" t="s">
        <v>286</v>
      </c>
      <c r="F15" s="92" t="s">
        <v>325</v>
      </c>
      <c r="G15" s="93">
        <v>162.80816650390625</v>
      </c>
      <c r="H15" s="97" t="str">
        <f>IF($G15="","",IF(AND($G15&gt;=166,$G15&lt;=170),"合格","不合格"))</f>
        <v/>
      </c>
      <c r="I15" s="98" t="s">
        <v>4</v>
      </c>
      <c r="J15" s="96"/>
    </row>
    <row r="16" spans="2:10" x14ac:dyDescent="0.25">
      <c r="B16" s="218"/>
      <c r="C16" s="216" t="s">
        <v>326</v>
      </c>
      <c r="D16" s="91" t="s">
        <v>327</v>
      </c>
      <c r="E16" s="91" t="s">
        <v>286</v>
      </c>
      <c r="F16" s="92" t="s">
        <v>328</v>
      </c>
      <c r="G16" s="93">
        <v>46.798606872558594</v>
      </c>
      <c r="H16" s="97" t="str">
        <f>IF($G16="","",IF(AND($G16&gt;=0,$G16&lt;=45),"合格","不合格"))</f>
        <v/>
      </c>
      <c r="I16" s="98" t="s">
        <v>4</v>
      </c>
      <c r="J16" s="96"/>
    </row>
    <row r="17" spans="2:10" x14ac:dyDescent="0.25">
      <c r="B17" s="218"/>
      <c r="C17" s="216"/>
      <c r="D17" s="91" t="s">
        <v>329</v>
      </c>
      <c r="E17" s="91" t="s">
        <v>286</v>
      </c>
      <c r="F17" s="92" t="s">
        <v>330</v>
      </c>
      <c r="G17" s="93">
        <v>20.218751907348633</v>
      </c>
      <c r="H17" s="97" t="str">
        <f>IF($G17="","",IF(AND($G17&gt;=0,$G17&lt;=20),"合格","不合格"))</f>
        <v/>
      </c>
      <c r="I17" s="98" t="s">
        <v>4</v>
      </c>
      <c r="J17" s="96"/>
    </row>
    <row r="18" spans="2:10" x14ac:dyDescent="0.25">
      <c r="B18" s="218"/>
      <c r="C18" s="216"/>
      <c r="D18" s="91" t="s">
        <v>331</v>
      </c>
      <c r="E18" s="91" t="s">
        <v>286</v>
      </c>
      <c r="F18" s="92" t="s">
        <v>332</v>
      </c>
      <c r="G18" s="93">
        <v>0</v>
      </c>
      <c r="H18" s="97" t="str">
        <f>IF($G18="","",IF(AND($G18&gt;=46,$G18&lt;=50),"合格","不合格"))</f>
        <v/>
      </c>
      <c r="I18" s="98" t="s">
        <v>4</v>
      </c>
      <c r="J18" s="96"/>
    </row>
    <row r="19" spans="2:10" x14ac:dyDescent="0.25">
      <c r="B19" s="218"/>
      <c r="C19" s="216"/>
      <c r="D19" s="91" t="s">
        <v>333</v>
      </c>
      <c r="E19" s="91" t="s">
        <v>286</v>
      </c>
      <c r="F19" s="92" t="s">
        <v>334</v>
      </c>
      <c r="G19" s="93">
        <v>17.901329040527344</v>
      </c>
      <c r="H19" s="97" t="str">
        <f>IF($G19="","",IF(AND($G19&gt;=0,$G19&lt;=20),"合格","不合格"))</f>
        <v/>
      </c>
      <c r="I19" s="98" t="s">
        <v>4</v>
      </c>
      <c r="J19" s="96"/>
    </row>
    <row r="20" spans="2:10" x14ac:dyDescent="0.25">
      <c r="B20" s="218"/>
      <c r="C20" s="216" t="s">
        <v>335</v>
      </c>
      <c r="D20" s="91" t="s">
        <v>89</v>
      </c>
      <c r="E20" s="91" t="s">
        <v>283</v>
      </c>
      <c r="F20" s="99" t="s">
        <v>82</v>
      </c>
      <c r="G20" s="93">
        <v>34.43499755859375</v>
      </c>
      <c r="H20" s="100" t="s">
        <v>336</v>
      </c>
      <c r="I20" s="98" t="s">
        <v>4</v>
      </c>
      <c r="J20" s="96"/>
    </row>
    <row r="21" spans="2:10" x14ac:dyDescent="0.25">
      <c r="B21" s="218"/>
      <c r="C21" s="216"/>
      <c r="D21" s="91" t="s">
        <v>92</v>
      </c>
      <c r="E21" s="91" t="s">
        <v>283</v>
      </c>
      <c r="F21" s="99" t="s">
        <v>82</v>
      </c>
      <c r="G21" s="93"/>
      <c r="H21" s="100" t="s">
        <v>336</v>
      </c>
      <c r="I21" s="98" t="s">
        <v>4</v>
      </c>
      <c r="J21" s="96"/>
    </row>
    <row r="22" spans="2:10" x14ac:dyDescent="0.25">
      <c r="B22" s="218"/>
      <c r="C22" s="216"/>
      <c r="D22" s="91" t="s">
        <v>337</v>
      </c>
      <c r="E22" s="98" t="s">
        <v>4</v>
      </c>
      <c r="F22" s="99" t="s">
        <v>82</v>
      </c>
      <c r="G22" s="93">
        <v>6.842499732971191</v>
      </c>
      <c r="H22" s="100" t="s">
        <v>336</v>
      </c>
      <c r="I22" s="98" t="s">
        <v>4</v>
      </c>
      <c r="J22" s="96"/>
    </row>
    <row r="23" spans="2:10" x14ac:dyDescent="0.25">
      <c r="B23" s="218"/>
      <c r="C23" s="216"/>
      <c r="D23" s="91" t="s">
        <v>166</v>
      </c>
      <c r="E23" s="91" t="s">
        <v>310</v>
      </c>
      <c r="F23" s="99" t="s">
        <v>82</v>
      </c>
      <c r="G23" s="93">
        <v>16.30666732788086</v>
      </c>
      <c r="H23" s="100" t="s">
        <v>336</v>
      </c>
      <c r="I23" s="98" t="s">
        <v>4</v>
      </c>
      <c r="J23" s="96"/>
    </row>
    <row r="24" spans="2:10" x14ac:dyDescent="0.25">
      <c r="B24" s="219"/>
      <c r="C24" s="216"/>
      <c r="D24" s="91" t="s">
        <v>167</v>
      </c>
      <c r="E24" s="91" t="s">
        <v>310</v>
      </c>
      <c r="F24" s="99" t="s">
        <v>82</v>
      </c>
      <c r="G24" s="93">
        <v>9.229999542236328</v>
      </c>
      <c r="H24" s="100" t="s">
        <v>336</v>
      </c>
      <c r="I24" s="98" t="s">
        <v>4</v>
      </c>
      <c r="J24" s="96"/>
    </row>
    <row r="25" spans="2:10" x14ac:dyDescent="0.25">
      <c r="B25" s="229" t="s">
        <v>338</v>
      </c>
      <c r="C25" s="91" t="s">
        <v>339</v>
      </c>
      <c r="D25" s="91" t="s">
        <v>340</v>
      </c>
      <c r="E25" s="91" t="s">
        <v>341</v>
      </c>
      <c r="F25" s="92" t="s">
        <v>342</v>
      </c>
      <c r="G25" s="93">
        <v>0.22532713413238525</v>
      </c>
      <c r="H25" s="97" t="str">
        <f>IF($G25="","",IF(AND($G25&gt;=0,$G25&lt;=0.38),"合格","不合格"))</f>
        <v/>
      </c>
      <c r="I25" s="98" t="s">
        <v>4</v>
      </c>
      <c r="J25" s="96"/>
    </row>
    <row r="26" spans="2:10" x14ac:dyDescent="0.25">
      <c r="B26" s="229"/>
      <c r="C26" s="216" t="s">
        <v>343</v>
      </c>
      <c r="D26" s="91" t="s">
        <v>10</v>
      </c>
      <c r="E26" s="91" t="s">
        <v>283</v>
      </c>
      <c r="F26" s="92">
        <v>7</v>
      </c>
      <c r="G26" s="93"/>
      <c r="H26" s="94">
        <f>(G26-F26)</f>
        <v>-7</v>
      </c>
      <c r="I26" s="98" t="s">
        <v>283</v>
      </c>
      <c r="J26" s="96"/>
    </row>
    <row r="27" spans="2:10" x14ac:dyDescent="0.25">
      <c r="B27" s="229"/>
      <c r="C27" s="216"/>
      <c r="D27" s="91" t="s">
        <v>344</v>
      </c>
      <c r="E27" s="91" t="s">
        <v>283</v>
      </c>
      <c r="F27" s="92">
        <v>15</v>
      </c>
      <c r="G27" s="93"/>
      <c r="H27" s="94">
        <f t="shared" ref="H27:H31" si="0">(G27-F27)</f>
        <v>-15</v>
      </c>
      <c r="I27" s="98" t="s">
        <v>283</v>
      </c>
      <c r="J27" s="96"/>
    </row>
    <row r="28" spans="2:10" x14ac:dyDescent="0.25">
      <c r="B28" s="229"/>
      <c r="C28" s="216"/>
      <c r="D28" s="91" t="s">
        <v>345</v>
      </c>
      <c r="E28" s="91" t="s">
        <v>283</v>
      </c>
      <c r="F28" s="92">
        <v>4</v>
      </c>
      <c r="G28" s="93"/>
      <c r="H28" s="94">
        <f t="shared" si="0"/>
        <v>-4</v>
      </c>
      <c r="I28" s="98" t="s">
        <v>283</v>
      </c>
      <c r="J28" s="96"/>
    </row>
    <row r="29" spans="2:10" x14ac:dyDescent="0.25">
      <c r="B29" s="229"/>
      <c r="C29" s="216"/>
      <c r="D29" s="91" t="s">
        <v>166</v>
      </c>
      <c r="E29" s="91" t="s">
        <v>283</v>
      </c>
      <c r="F29" s="92">
        <v>7</v>
      </c>
      <c r="G29" s="93"/>
      <c r="H29" s="94">
        <f t="shared" si="0"/>
        <v>-7</v>
      </c>
      <c r="I29" s="98" t="s">
        <v>283</v>
      </c>
      <c r="J29" s="96"/>
    </row>
    <row r="30" spans="2:10" x14ac:dyDescent="0.25">
      <c r="B30" s="229"/>
      <c r="C30" s="216"/>
      <c r="D30" s="91" t="s">
        <v>167</v>
      </c>
      <c r="E30" s="91" t="s">
        <v>283</v>
      </c>
      <c r="F30" s="92">
        <v>7</v>
      </c>
      <c r="G30" s="93"/>
      <c r="H30" s="94">
        <f t="shared" si="0"/>
        <v>-7</v>
      </c>
      <c r="I30" s="98" t="s">
        <v>283</v>
      </c>
      <c r="J30" s="96"/>
    </row>
    <row r="31" spans="2:10" x14ac:dyDescent="0.25">
      <c r="B31" s="229"/>
      <c r="C31" s="216"/>
      <c r="D31" s="91" t="s">
        <v>346</v>
      </c>
      <c r="E31" s="91" t="s">
        <v>347</v>
      </c>
      <c r="F31" s="92">
        <v>10</v>
      </c>
      <c r="G31" s="93"/>
      <c r="H31" s="94">
        <f t="shared" si="0"/>
        <v>-10</v>
      </c>
      <c r="I31" s="98" t="s">
        <v>283</v>
      </c>
      <c r="J31" s="96"/>
    </row>
    <row r="32" spans="2:10" ht="14.5" thickBot="1" x14ac:dyDescent="0.3">
      <c r="B32" s="217"/>
      <c r="C32" s="230"/>
      <c r="D32" s="101" t="s">
        <v>287</v>
      </c>
      <c r="E32" s="101" t="s">
        <v>283</v>
      </c>
      <c r="F32" s="102">
        <v>50</v>
      </c>
      <c r="G32" s="103"/>
      <c r="H32" s="94">
        <f>(G32-F32)</f>
        <v>-50</v>
      </c>
      <c r="I32" s="98" t="s">
        <v>283</v>
      </c>
      <c r="J32" s="104"/>
    </row>
    <row r="33" spans="2:10" x14ac:dyDescent="0.25">
      <c r="B33" s="231" t="s">
        <v>348</v>
      </c>
      <c r="C33" s="234"/>
      <c r="D33" s="235"/>
      <c r="E33" s="235"/>
      <c r="F33" s="235"/>
      <c r="G33" s="235"/>
      <c r="H33" s="235"/>
      <c r="I33" s="235"/>
      <c r="J33" s="236"/>
    </row>
    <row r="34" spans="2:10" x14ac:dyDescent="0.25">
      <c r="B34" s="232"/>
      <c r="C34" s="237"/>
      <c r="D34" s="238"/>
      <c r="E34" s="238"/>
      <c r="F34" s="238"/>
      <c r="G34" s="238"/>
      <c r="H34" s="238"/>
      <c r="I34" s="238"/>
      <c r="J34" s="239"/>
    </row>
    <row r="35" spans="2:10" ht="14.5" thickBot="1" x14ac:dyDescent="0.3">
      <c r="B35" s="233"/>
      <c r="C35" s="240"/>
      <c r="D35" s="241"/>
      <c r="E35" s="241"/>
      <c r="F35" s="241"/>
      <c r="G35" s="241"/>
      <c r="H35" s="241"/>
      <c r="I35" s="241"/>
      <c r="J35" s="242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台账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2026-05-28T03:10:59Z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