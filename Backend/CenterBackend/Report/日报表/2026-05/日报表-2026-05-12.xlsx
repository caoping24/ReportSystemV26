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台账" sheetId="11" r:id="rId5"/>
    <sheet name="日报表" sheetId="12" r:id="rId6"/>
  </sheets>
  <externalReferences>
    <externalReference r:id="rId7"/>
  </externalReferences>
  <definedNames>
    <definedName name="_xlnm.Print_Area" localSheetId="4"><![CDATA[台账!#REF!]]></definedName>
  </definedNames>
  <calcPr calcId="191029"/>
</workbook>
</file>

<file path=xl/calcChain.xml><?xml version="1.0" encoding="utf-8"?>
<calcChain xmlns="http://schemas.openxmlformats.org/spreadsheetml/2006/main">
  <c r="H11" i="11" l="1"/>
  <c r="H10" i="11"/>
  <c r="M9" i="11"/>
  <c r="H9" i="11"/>
  <c r="I9" i="11" s="1"/>
  <c r="G9" i="11"/>
  <c r="H8" i="11"/>
  <c r="H7" i="11"/>
  <c r="M6" i="11"/>
  <c r="N6" i="11" s="1"/>
  <c r="H6" i="11"/>
  <c r="G6" i="11"/>
  <c r="N9" i="11" l="1"/>
  <c r="I6" i="11"/>
  <c r="O9" i="11"/>
  <c r="J6" i="11"/>
  <c r="J9" i="11" s="1"/>
  <c r="Q6" i="11"/>
  <c r="O6" i="11"/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<sst xmlns="http://schemas.openxmlformats.org/spreadsheetml/2006/main" count="884" uniqueCount="373">
  <si>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</si>
  <si>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</si>
  <si>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</si>
  <si>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</si>
  <si>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</si>
  <si>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</si>
  <si>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</si>
  <si>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</si>
  <si>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</si>
  <si>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</si>
  <si>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</si>
  <si>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</si>
  <si>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</si>
  <si>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</si>
  <si>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</si>
  <si>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</si>
  <si>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</si>
  <si>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</si>
  <si>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</si>
  <si>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</si>
  <si>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</si>
  <si>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</si>
  <si>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</si>
  <si>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</si>
  <si>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</si>
  <si>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</si>
  <si>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</si>
  <si>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</si>
  <si>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</si>
  <si>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</si>
  <si>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</si>
  <si>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</si>
  <si>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</si>
  <si>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</si>
  <si>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</si>
  <si>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</si>
  <si>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</si>
  <si>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</si>
  <si>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</si>
  <si>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</si>
  <si>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</si>
  <si>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</si>
  <si>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</si>
  <si>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</si>
  <si>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</si>
  <si>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</si>
  <si>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</si>
  <si>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</si>
  <si>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</si>
  <si>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</si>
  <si>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</si>
  <si>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</si>
  <si>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</si>
  <si>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</si>
  <si>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</si>
  <si>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</si>
  <si>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</si>
  <si>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</si>
  <si>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</si>
  <si>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</si>
  <si>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</si>
  <si>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</si>
  <si>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</si>
  <si>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</si>
  <si>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</si>
  <si>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</si>
  <si>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</si>
  <si>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</si>
  <si>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</si>
  <si>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</si>
  <si>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</si>
  <si>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</si>
  <si>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</si>
  <si>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</si>
  <si>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</si>
  <si>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</si>
  <si>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</si>
  <si>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</si>
  <si>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</si>
  <si>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</si>
  <si>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</si>
  <si>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</si>
  <si>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</si>
  <si>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</si>
  <si>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</si>
  <si>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</si>
  <si>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</si>
  <si>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</si>
  <si>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</si>
  <si>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</si>
  <si>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</si>
  <si>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</si>
  <si>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</si>
  <si>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</si>
  <si>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</si>
  <si>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</si>
  <si>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</si>
  <si>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</si>
  <si>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</si>
  <si>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</si>
  <si>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</si>
  <si>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</si>
  <si>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</si>
  <si>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</si>
  <si>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</si>
  <si>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</si>
  <si>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</si>
  <si>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</si>
  <si>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</si>
  <si>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</si>
  <si>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</si>
  <si>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</si>
  <si>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</si>
  <si>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</si>
  <si>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</si>
  <si>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</si>
  <si>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</si>
  <si>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</si>
  <si>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</si>
  <si>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</si>
  <si>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</si>
  <si>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</si>
  <si>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</si>
  <si>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</si>
  <si>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</si>
  <si>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</si>
  <si>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</si>
  <si>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</si>
  <si>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</si>
  <si>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</si>
  <si>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</si>
  <si>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</si>
  <si>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</si>
  <si>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</si>
  <si>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</si>
  <si>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</si>
  <si>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</si>
  <si>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</si>
  <si>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</si>
  <si>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</si>
  <si>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</si>
  <si>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</si>
  <si>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</si>
  <si>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</si>
  <si>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</si>
  <si>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</si>
  <si>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</si>
  <si>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</si>
  <si>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</si>
  <si>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</si>
  <si>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</si>
  <si>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</si>
  <si>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</si>
  <si>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</si>
  <si>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</si>
  <si>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</si>
  <si>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</si>
  <si>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</si>
  <si>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</si>
  <si>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</si>
  <si>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</si>
  <si>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</si>
  <si>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</si>
  <si>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</si>
  <si>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</si>
  <si>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</si>
  <si>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</si>
  <si>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</si>
  <si>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</si>
  <si>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</si>
  <si>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</si>
  <si>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</si>
  <si>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</si>
  <si>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</si>
  <si>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</si>
  <si>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</si>
  <si>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</si>
  <si>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</si>
  <si>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</si>
  <si>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</si>
  <si>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</si>
  <si>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</si>
  <si>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</si>
  <si>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</si>
  <si>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</si>
  <si>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</si>
  <si>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</si>
  <si>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</si>
  <si>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</si>
  <si>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</si>
  <si>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</si>
  <si>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</si>
  <si>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</si>
  <si>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</si>
  <si>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</si>
  <si>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</si>
  <si>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</si>
  <si>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</si>
  <si>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</si>
  <si>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</si>
  <si>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</si>
  <si>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</si>
  <si>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</si>
  <si>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</si>
  <si>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</si>
  <si>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</si>
  <si>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</si>
  <si>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</si>
  <si>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</si>
  <si>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</si>
  <si>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</si>
  <si>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</si>
  <si>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</si>
  <si>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</si>
  <si>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</si>
  <si>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</si>
  <si>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</si>
  <si>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</si>
  <si>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</si>
  <si>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</si>
  <si>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</si>
  <si>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</si>
  <si>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</si>
  <si>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</si>
  <si>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</si>
  <si>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</si>
  <si>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</si>
  <si>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</si>
  <si>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</si>
  <si>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</si>
  <si>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</si>
  <si>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</si>
  <si>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</si>
  <si>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</si>
  <si>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</si>
  <si>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</si>
  <si>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</si>
  <si>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</si>
  <si>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</si>
  <si>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</si>
  <si>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</si>
  <si>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</si>
  <si>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</si>
  <si>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</si>
  <si>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</si>
  <si>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</si>
  <si>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</si>
  <si>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</si>
  <si>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</si>
  <si>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</si>
  <si>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</si>
  <si>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</si>
  <si>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</si>
  <si>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</si>
  <si>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</si>
  <si>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</si>
  <si>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</si>
  <si>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</si>
  <si>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</si>
  <si>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</si>
  <si>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</si>
  <si>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</si>
  <si>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</si>
  <si>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</si>
  <si>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</si>
  <si>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</si>
  <si>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</si>
  <si>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</si>
  <si>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</si>
  <si>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</si>
  <si>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</si>
  <si>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</si>
  <si>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</si>
  <si>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</si>
  <si>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</si>
  <si>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</si>
  <si>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</si>
  <si>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</si>
  <si>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</si>
  <si>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</si>
  <si>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</si>
  <si>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</si>
  <si>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</si>
  <si>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</si>
  <si>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</si>
  <si>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</si>
  <si>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</si>
  <si>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水分</t>
    <phoneticPr fontId="1" type="noConversion"/>
  </si>
  <si>
    <t xml:space="preserve">产量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</si>
  <si>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</si>
  <si>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</si>
  <si>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</si>
  <si>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</si>
  <si>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</si>
  <si>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</si>
  <si>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</si>
  <si>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</si>
  <si>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</si>
  <si>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</si>
  <si>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</si>
  <si>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</si>
  <si>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</si>
  <si>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</si>
  <si>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</si>
  <si>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</si>
  <si>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</si>
  <si>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</si>
  <si>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</si>
  <si>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</si>
  <si>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</si>
  <si>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</si>
  <si>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</si>
  <si>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</si>
  <si>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</si>
  <si>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</si>
  <si>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</si>
  <si>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</si>
  <si>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</si>
  <si>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</si>
  <si>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</si>
  <si>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</si>
  <si>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</si>
  <si>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</si>
  <si>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</si>
  <si>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</si>
  <si>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</si>
  <si>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</si>
  <si>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</si>
  <si>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</si>
  <si>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</si>
  <si>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</si>
  <si>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</si>
  <si>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</si>
  <si>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</si>
  <si>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</si>
  <si>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</si>
  <si>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</si>
  <si>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</si>
  <si>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</si>
  <si>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</si>
  <si>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</si>
  <si>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</si>
  <si>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</si>
  <si>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</si>
  <si>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</si>
  <si>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</si>
  <si>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</si>
  <si>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</si>
  <si>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</si>
  <si>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</si>
  <si>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产量台账</t>
    <phoneticPr fontId="1" type="noConversion"/>
  </si>
  <si>
    <t xml:space="preserve">日期</t>
    <phoneticPr fontId="1" type="noConversion"/>
  </si>
  <si>
    <t xml:space="preserve">含量</t>
    <phoneticPr fontId="1" type="noConversion"/>
  </si>
  <si>
    <t xml:space="preserve">累计</t>
    <phoneticPr fontId="1" type="noConversion"/>
  </si>
  <si>
    <t xml:space="preserve">折百产量(Kg)</t>
    <phoneticPr fontId="1" type="noConversion"/>
  </si>
  <si>
    <t xml:space="preserve">折百累计</t>
    <phoneticPr fontId="1" type="noConversion"/>
  </si>
  <si>
    <t xml:space="preserve">折百总累计</t>
    <phoneticPr fontId="1" type="noConversion"/>
  </si>
  <si>
    <t xml:space="preserve">羟基用量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</si>
  <si>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</si>
  <si>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</si>
  <si>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</si>
  <si>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</si>
  <si>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分类</t>
    <phoneticPr fontId="1" type="noConversion"/>
  </si>
  <si>
    <t xml:space="preserve">总收率天%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</si>
  <si>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</si>
  <si>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</si>
  <si>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Kg</t>
    <phoneticPr fontId="1" type="noConversion"/>
  </si>
  <si>
    <t xml:space="preserve">星期一</t>
    <phoneticPr fontId="1" type="noConversion"/>
  </si>
  <si>
    <t xml:space="preserve">一次结晶</t>
    <phoneticPr fontId="24" type="noConversion"/>
  </si>
  <si>
    <t xml:space="preserve">二次结晶</t>
    <phoneticPr fontId="24" type="noConversion"/>
  </si>
  <si>
    <t xml:space="preserve">总产量</t>
    <phoneticPr fontId="1" type="noConversion"/>
  </si>
  <si>
    <t xml:space="preserve">总折百</t>
    <phoneticPr fontId="1" type="noConversion"/>
  </si>
  <si>
    <t xml:space="preserve">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</si>
</sst>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_ "/>
    <numFmt numFmtId="179" formatCode="0.00_);[Red]\(0.00\)"/>
    <numFmt numFmtId="180" formatCode="0.0_ "/>
  </numFmts>
  <fonts count="2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仿宋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 wrapText="1"/>
    </xf>
    <xf numFmtId="176" fontId="18" fillId="0" borderId="4" xfId="0" applyNumberFormat="1" applyFont="1" applyBorder="1" applyAlignment="1">
      <alignment horizontal="center" vertical="center" wrapText="1"/>
    </xf>
    <xf numFmtId="176" fontId="18" fillId="0" borderId="47" xfId="0" applyNumberFormat="1" applyFont="1" applyBorder="1" applyAlignment="1">
      <alignment horizontal="center" vertical="center" wrapText="1"/>
    </xf>
    <xf numFmtId="176" fontId="18" fillId="0" borderId="51" xfId="0" applyNumberFormat="1" applyFont="1" applyBorder="1" applyAlignment="1">
      <alignment horizontal="center" vertical="center" wrapText="1"/>
    </xf>
    <xf numFmtId="177" fontId="17" fillId="0" borderId="4" xfId="0" applyNumberFormat="1" applyFont="1" applyBorder="1" applyAlignment="1">
      <alignment horizontal="center" vertical="center" wrapText="1"/>
    </xf>
    <xf numFmtId="177" fontId="17" fillId="0" borderId="47" xfId="0" applyNumberFormat="1" applyFont="1" applyBorder="1" applyAlignment="1">
      <alignment horizontal="center" vertical="center" wrapText="1"/>
    </xf>
    <xf numFmtId="177" fontId="17" fillId="0" borderId="51" xfId="0" applyNumberFormat="1" applyFont="1" applyBorder="1" applyAlignment="1">
      <alignment horizontal="center" vertical="center" wrapText="1"/>
    </xf>
    <xf numFmtId="177" fontId="17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17" fillId="0" borderId="30" xfId="0" applyNumberFormat="1" applyFont="1" applyBorder="1" applyAlignment="1">
      <alignment horizontal="center" vertical="center" wrapText="1"/>
    </xf>
    <xf numFmtId="177" fontId="17" fillId="0" borderId="48" xfId="0" applyNumberFormat="1" applyFont="1" applyBorder="1" applyAlignment="1">
      <alignment horizontal="center" vertical="center" wrapText="1"/>
    </xf>
    <xf numFmtId="177" fontId="17" fillId="0" borderId="52" xfId="0" applyNumberFormat="1" applyFont="1" applyBorder="1" applyAlignment="1">
      <alignment horizontal="center" vertical="center" wrapText="1"/>
    </xf>
    <xf numFmtId="177" fontId="17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17" fillId="0" borderId="12" xfId="0" applyNumberFormat="1" applyFont="1" applyBorder="1" applyAlignment="1">
      <alignment horizontal="center" vertical="center" wrapText="1"/>
    </xf>
    <xf numFmtId="177" fontId="18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17" fillId="0" borderId="45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18" fillId="0" borderId="47" xfId="0" applyNumberFormat="1" applyFont="1" applyBorder="1" applyAlignment="1">
      <alignment horizontal="center" vertical="center" wrapText="1"/>
    </xf>
    <xf numFmtId="177" fontId="18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0" fontId="20" fillId="3" borderId="61" xfId="0" applyFont="1" applyFill="1" applyBorder="1" applyAlignment="1">
      <alignment vertical="center"/>
    </xf>
    <xf numFmtId="0" fontId="20" fillId="3" borderId="62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21" fillId="0" borderId="77" xfId="0" applyFont="1" applyBorder="1" applyAlignment="1">
      <alignment horizontal="left" vertical="center"/>
    </xf>
    <xf numFmtId="0" fontId="21" fillId="0" borderId="75" xfId="0" applyFont="1" applyBorder="1" applyAlignment="1">
      <alignment horizontal="center" vertical="center"/>
    </xf>
    <xf numFmtId="177" fontId="22" fillId="0" borderId="75" xfId="0" applyNumberFormat="1" applyFont="1" applyBorder="1" applyAlignment="1">
      <alignment horizontal="center" vertical="center"/>
    </xf>
    <xf numFmtId="177" fontId="16" fillId="0" borderId="75" xfId="0" applyNumberFormat="1" applyFont="1" applyBorder="1" applyAlignment="1">
      <alignment horizontal="center" vertical="center"/>
    </xf>
    <xf numFmtId="178" fontId="22" fillId="0" borderId="75" xfId="0" applyNumberFormat="1" applyFont="1" applyBorder="1" applyAlignment="1">
      <alignment horizontal="center" vertical="center"/>
    </xf>
    <xf numFmtId="178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1" fillId="0" borderId="75" xfId="0" quotePrefix="1" applyFont="1" applyBorder="1" applyAlignment="1">
      <alignment horizontal="center" vertical="center"/>
    </xf>
    <xf numFmtId="177" fontId="21" fillId="0" borderId="75" xfId="0" quotePrefix="1" applyNumberFormat="1" applyFont="1" applyBorder="1" applyAlignment="1">
      <alignment horizontal="center" vertical="center"/>
    </xf>
    <xf numFmtId="0" fontId="22" fillId="0" borderId="75" xfId="0" quotePrefix="1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177" fontId="22" fillId="0" borderId="81" xfId="0" applyNumberFormat="1" applyFont="1" applyBorder="1" applyAlignment="1">
      <alignment horizontal="center" vertical="center"/>
    </xf>
    <xf numFmtId="177" fontId="16" fillId="0" borderId="81" xfId="0" applyNumberFormat="1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4" borderId="75" xfId="0" applyFont="1" applyFill="1" applyBorder="1" applyAlignment="1">
      <alignment horizontal="center" vertical="center"/>
    </xf>
    <xf numFmtId="0" fontId="21" fillId="0" borderId="75" xfId="0" applyFont="1" applyBorder="1" applyAlignment="1">
      <alignment horizontal="center" vertical="center" wrapText="1"/>
    </xf>
    <xf numFmtId="179" fontId="21" fillId="5" borderId="75" xfId="0" applyNumberFormat="1" applyFont="1" applyFill="1" applyBorder="1" applyAlignment="1">
      <alignment vertical="center"/>
    </xf>
    <xf numFmtId="178" fontId="21" fillId="5" borderId="75" xfId="0" applyNumberFormat="1" applyFont="1" applyFill="1" applyBorder="1" applyAlignment="1">
      <alignment horizontal="center" vertical="center"/>
    </xf>
    <xf numFmtId="0" fontId="21" fillId="5" borderId="73" xfId="0" applyFont="1" applyFill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5" borderId="81" xfId="0" applyFont="1" applyFill="1" applyBorder="1" applyAlignment="1">
      <alignment horizontal="center" vertical="center"/>
    </xf>
    <xf numFmtId="0" fontId="21" fillId="5" borderId="94" xfId="0" applyFont="1" applyFill="1" applyBorder="1" applyAlignment="1">
      <alignment horizontal="center" vertical="center"/>
    </xf>
    <xf numFmtId="180" fontId="21" fillId="5" borderId="81" xfId="0" applyNumberFormat="1" applyFont="1" applyFill="1" applyBorder="1" applyAlignment="1">
      <alignment horizontal="center" vertical="center"/>
    </xf>
    <xf numFmtId="180" fontId="21" fillId="5" borderId="94" xfId="0" applyNumberFormat="1" applyFont="1" applyFill="1" applyBorder="1" applyAlignment="1">
      <alignment horizontal="center" vertical="center"/>
    </xf>
    <xf numFmtId="180" fontId="21" fillId="5" borderId="95" xfId="0" applyNumberFormat="1" applyFont="1" applyFill="1" applyBorder="1" applyAlignment="1">
      <alignment horizontal="center" vertical="center"/>
    </xf>
    <xf numFmtId="178" fontId="21" fillId="5" borderId="81" xfId="0" applyNumberFormat="1" applyFont="1" applyFill="1" applyBorder="1" applyAlignment="1">
      <alignment horizontal="center" vertical="center"/>
    </xf>
    <xf numFmtId="178" fontId="21" fillId="5" borderId="94" xfId="0" applyNumberFormat="1" applyFont="1" applyFill="1" applyBorder="1" applyAlignment="1">
      <alignment horizontal="center" vertical="center"/>
    </xf>
    <xf numFmtId="178" fontId="21" fillId="5" borderId="95" xfId="0" applyNumberFormat="1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21" fillId="0" borderId="93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19" fillId="3" borderId="71" xfId="0" applyFont="1" applyFill="1" applyBorder="1" applyAlignment="1">
      <alignment horizontal="center" vertical="center"/>
    </xf>
    <xf numFmtId="0" fontId="19" fillId="3" borderId="70" xfId="0" applyFont="1" applyFill="1" applyBorder="1" applyAlignment="1">
      <alignment horizontal="center" vertical="center"/>
    </xf>
    <xf numFmtId="0" fontId="19" fillId="3" borderId="69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54">
        <v>7.660590171813965</v>
      </c>
      <c r="D6" s="54">
        <v>18.44075584411621</v>
      </c>
      <c r="E6" s="54">
        <v>412.5790710449219</v>
      </c>
      <c r="F6" s="54"/>
      <c r="G6" s="54"/>
      <c r="H6" s="55">
        <v>413.5778503417969</v>
      </c>
      <c r="I6" s="56">
        <v>27.242477416992188</v>
      </c>
      <c r="J6" s="54"/>
      <c r="K6" s="54">
        <v>42.55642318725586</v>
      </c>
      <c r="L6" s="54">
        <v>1.3238751888275146</v>
      </c>
      <c r="M6" s="54">
        <v>107.94271087646484</v>
      </c>
      <c r="N6" s="54">
        <v>112.45659637451172</v>
      </c>
      <c r="O6" s="54">
        <v>20.26471519470215</v>
      </c>
      <c r="P6" s="54"/>
      <c r="Q6" s="54"/>
      <c r="R6" s="54"/>
      <c r="S6" s="54">
        <v>139.27227783203125</v>
      </c>
      <c r="T6" s="54">
        <v>1.6100000143051147</v>
      </c>
      <c r="U6" s="54">
        <v>0.299699604511261</v>
      </c>
      <c r="V6" s="54"/>
      <c r="W6" s="54">
        <v>90.79137420654297</v>
      </c>
      <c r="X6" s="54">
        <v>0.5299611687660217</v>
      </c>
      <c r="Y6" s="54"/>
      <c r="Z6" s="54">
        <v>0.7479745745658875</v>
      </c>
      <c r="AA6" s="54">
        <v>149.1247100830078</v>
      </c>
      <c r="AB6" s="54">
        <v>163.3101806640625</v>
      </c>
      <c r="AC6" s="54">
        <v>0.42726418375968933</v>
      </c>
      <c r="AD6" s="54">
        <v>155.25897216796875</v>
      </c>
      <c r="AE6" s="57">
        <v>33.75</v>
      </c>
      <c r="AF6" s="57"/>
      <c r="AG6" s="57"/>
      <c r="AH6" s="57">
        <v>12.619999885559082</v>
      </c>
      <c r="AI6" s="57">
        <v>33.31999969482422</v>
      </c>
      <c r="AJ6" s="57">
        <v>2.1500000953674316</v>
      </c>
      <c r="AK6" s="57">
        <v>7.21999979019165</v>
      </c>
      <c r="AL6" s="54">
        <v>0</v>
      </c>
      <c r="AM6" s="58"/>
      <c r="AN6" s="59">
        <v>61.28472137451172</v>
      </c>
      <c r="AO6" s="60"/>
      <c r="AP6" s="61">
        <v>-81.04022216796875</v>
      </c>
      <c r="AQ6" s="61">
        <v>0.29246237874031067</v>
      </c>
      <c r="AR6" s="62"/>
    </row>
    <row r="7" spans="2:47" ht="13.5" customHeight="1" x14ac:dyDescent="0.25">
      <c r="B7" s="14">
        <v>0.375</v>
      </c>
      <c r="C7" s="54">
        <v>6.546585559844971</v>
      </c>
      <c r="D7" s="54">
        <v>18.581815719604492</v>
      </c>
      <c r="E7" s="54">
        <v>412.54217529296875</v>
      </c>
      <c r="F7" s="54">
        <v>0.2634609341621399</v>
      </c>
      <c r="G7" s="54">
        <v>0</v>
      </c>
      <c r="H7" s="55">
        <v>412.81268310546875</v>
      </c>
      <c r="I7" s="56">
        <v>3.038194417953491</v>
      </c>
      <c r="J7" s="54">
        <v>0.020400390028953552</v>
      </c>
      <c r="K7" s="54">
        <v>45.341434478759766</v>
      </c>
      <c r="L7" s="54">
        <v>1.4510091543197632</v>
      </c>
      <c r="M7" s="54">
        <v>108.50695037841797</v>
      </c>
      <c r="N7" s="54">
        <v>111.28472137451172</v>
      </c>
      <c r="O7" s="54">
        <v>20.270893096923828</v>
      </c>
      <c r="P7" s="54">
        <v>20.166015625</v>
      </c>
      <c r="Q7" s="54"/>
      <c r="R7" s="54">
        <v>2.40625</v>
      </c>
      <c r="S7" s="54">
        <v>139.67013549804688</v>
      </c>
      <c r="T7" s="54">
        <v>1.6100000143051147</v>
      </c>
      <c r="U7" s="54">
        <v>0.30340760946273804</v>
      </c>
      <c r="V7" s="54">
        <v>0.2998359501361847</v>
      </c>
      <c r="W7" s="54">
        <v>90.4803237915039</v>
      </c>
      <c r="X7" s="54">
        <v>0.5278204083442688</v>
      </c>
      <c r="Y7" s="54" t="s">
        <v>82</v>
      </c>
      <c r="Z7" s="54">
        <v>0.731134295463562</v>
      </c>
      <c r="AA7" s="54">
        <v>148.5098419189453</v>
      </c>
      <c r="AB7" s="54">
        <v>163.58506774902344</v>
      </c>
      <c r="AC7" s="54">
        <v>0.45023149251937866</v>
      </c>
      <c r="AD7" s="54">
        <v>155.55555725097656</v>
      </c>
      <c r="AE7" s="57"/>
      <c r="AF7" s="57"/>
      <c r="AG7" s="57"/>
      <c r="AH7" s="57"/>
      <c r="AI7" s="57"/>
      <c r="AJ7" s="57"/>
      <c r="AK7" s="57"/>
      <c r="AL7" s="54">
        <v>35.2430534362793</v>
      </c>
      <c r="AM7" s="58">
        <v>0.012789062224328518</v>
      </c>
      <c r="AN7" s="59">
        <v>58.72757339477539</v>
      </c>
      <c r="AO7" s="60"/>
      <c r="AP7" s="61">
        <v>-80.81597137451172</v>
      </c>
      <c r="AQ7" s="61">
        <v>0.29759839177131653</v>
      </c>
      <c r="AR7" s="62">
        <v>0.00029094694764353335</v>
      </c>
    </row>
    <row r="8" spans="2:47" ht="13.5" customHeight="1" x14ac:dyDescent="0.25">
      <c r="B8" s="14">
        <v>0.41666666666666669</v>
      </c>
      <c r="C8" s="54">
        <v>7.928240776062012</v>
      </c>
      <c r="D8" s="54">
        <v>18.630643844604492</v>
      </c>
      <c r="E8" s="54">
        <v>418.2694396972656</v>
      </c>
      <c r="F8" s="54">
        <v>0.3366640508174896</v>
      </c>
      <c r="G8" s="54">
        <v>0</v>
      </c>
      <c r="H8" s="55">
        <v>413.9842529296875</v>
      </c>
      <c r="I8" s="56">
        <v>23.723236083984375</v>
      </c>
      <c r="J8" s="54">
        <v>0.0200800783932209</v>
      </c>
      <c r="K8" s="54">
        <v>45.92013931274414</v>
      </c>
      <c r="L8" s="54">
        <v>1.4589663743972778</v>
      </c>
      <c r="M8" s="54">
        <v>109.96636962890625</v>
      </c>
      <c r="N8" s="54">
        <v>112.76764678955078</v>
      </c>
      <c r="O8" s="54">
        <v>20.110645294189453</v>
      </c>
      <c r="P8" s="54">
        <v>20.1689453125</v>
      </c>
      <c r="Q8" s="54"/>
      <c r="R8" s="54">
        <v>2.389892578125</v>
      </c>
      <c r="S8" s="54">
        <v>139.3590850830078</v>
      </c>
      <c r="T8" s="54">
        <v>1.6100000143051147</v>
      </c>
      <c r="U8" s="54">
        <v>0.29786232113838196</v>
      </c>
      <c r="V8" s="54">
        <v>0.29984375834465027</v>
      </c>
      <c r="W8" s="54">
        <v>90.6032943725586</v>
      </c>
      <c r="X8" s="54">
        <v>0.5273693203926086</v>
      </c>
      <c r="Y8" s="54" t="s">
        <v>82</v>
      </c>
      <c r="Z8" s="54">
        <v>0.7244791984558105</v>
      </c>
      <c r="AA8" s="54">
        <v>149.07406616210938</v>
      </c>
      <c r="AB8" s="54">
        <v>162.74594116210938</v>
      </c>
      <c r="AC8" s="54">
        <v>0.4522569477558136</v>
      </c>
      <c r="AD8" s="54">
        <v>154.83216857910156</v>
      </c>
      <c r="AE8" s="57"/>
      <c r="AF8" s="57"/>
      <c r="AG8" s="57"/>
      <c r="AH8" s="57"/>
      <c r="AI8" s="57"/>
      <c r="AJ8" s="57"/>
      <c r="AK8" s="57"/>
      <c r="AL8" s="54">
        <v>27.56076431274414</v>
      </c>
      <c r="AM8" s="58">
        <v>0.012911621481180191</v>
      </c>
      <c r="AN8" s="59">
        <v>60.17433166503906</v>
      </c>
      <c r="AO8" s="60"/>
      <c r="AP8" s="61">
        <v>-81.01851654052734</v>
      </c>
      <c r="AQ8" s="61">
        <v>0.2389322966337204</v>
      </c>
      <c r="AR8" s="62">
        <v>0.00029077910585328937</v>
      </c>
    </row>
    <row r="9" spans="2:47" ht="13.5" customHeight="1" x14ac:dyDescent="0.25">
      <c r="B9" s="14">
        <v>0.45833333333333298</v>
      </c>
      <c r="C9" s="54">
        <v>6.976996421813965</v>
      </c>
      <c r="D9" s="54">
        <v>19.15147590637207</v>
      </c>
      <c r="E9" s="54">
        <v>418.0555419921875</v>
      </c>
      <c r="F9" s="54">
        <v>0.2648671865463257</v>
      </c>
      <c r="G9" s="54">
        <v>0</v>
      </c>
      <c r="H9" s="55">
        <v>414.9049987792969</v>
      </c>
      <c r="I9" s="56">
        <v>26.862703323364258</v>
      </c>
      <c r="J9" s="54">
        <v>0.020200194790959358</v>
      </c>
      <c r="K9" s="54">
        <v>45.07378387451172</v>
      </c>
      <c r="L9" s="54">
        <v>1.411313772201538</v>
      </c>
      <c r="M9" s="54">
        <v>109.89041137695312</v>
      </c>
      <c r="N9" s="54">
        <v>111.19068145751953</v>
      </c>
      <c r="O9" s="54">
        <v>19.86360740661621</v>
      </c>
      <c r="P9" s="54">
        <v>20.22265625</v>
      </c>
      <c r="Q9" s="54"/>
      <c r="R9" s="54">
        <v>2.4910888671875</v>
      </c>
      <c r="S9" s="54">
        <v>139.40248107910156</v>
      </c>
      <c r="T9" s="54">
        <v>1.6100000143051147</v>
      </c>
      <c r="U9" s="54">
        <v>0.29639604687690735</v>
      </c>
      <c r="V9" s="54">
        <v>0.3000468611717224</v>
      </c>
      <c r="W9" s="54">
        <v>90.5092544555664</v>
      </c>
      <c r="X9" s="54">
        <v>0.5291659235954285</v>
      </c>
      <c r="Y9" s="54" t="s">
        <v>82</v>
      </c>
      <c r="Z9" s="54">
        <v>0.7324074506759644</v>
      </c>
      <c r="AA9" s="54">
        <v>148.09750366210938</v>
      </c>
      <c r="AB9" s="54">
        <v>162.54339599609375</v>
      </c>
      <c r="AC9" s="54">
        <v>0.48180699348449707</v>
      </c>
      <c r="AD9" s="54">
        <v>155.32406616210938</v>
      </c>
      <c r="AE9" s="57"/>
      <c r="AF9" s="57"/>
      <c r="AG9" s="57"/>
      <c r="AH9" s="57"/>
      <c r="AI9" s="57"/>
      <c r="AJ9" s="57"/>
      <c r="AK9" s="57"/>
      <c r="AL9" s="54">
        <v>22.86241340637207</v>
      </c>
      <c r="AM9" s="58">
        <v>0.010655761696398258</v>
      </c>
      <c r="AN9" s="59">
        <v>57.588253021240234</v>
      </c>
      <c r="AO9" s="60"/>
      <c r="AP9" s="61">
        <v>-80.85214233398438</v>
      </c>
      <c r="AQ9" s="61">
        <v>0.2850115895271301</v>
      </c>
      <c r="AR9" s="62">
        <v>0.000290084833977744</v>
      </c>
    </row>
    <row r="10" spans="2:47" ht="13.5" customHeight="1" x14ac:dyDescent="0.25">
      <c r="B10" s="14">
        <v>0.5</v>
      </c>
      <c r="C10" s="54">
        <v>6.387442111968994</v>
      </c>
      <c r="D10" s="54">
        <v>19.547527313232422</v>
      </c>
      <c r="E10" s="54">
        <v>417.59722900390625</v>
      </c>
      <c r="F10" s="54">
        <v>0.27565625309944153</v>
      </c>
      <c r="G10" s="54">
        <v>0</v>
      </c>
      <c r="H10" s="55">
        <v>415.7510986328125</v>
      </c>
      <c r="I10" s="56">
        <v>22.48263931274414</v>
      </c>
      <c r="J10" s="54">
        <v>0.019362304359674454</v>
      </c>
      <c r="K10" s="54">
        <v>45.52227783203125</v>
      </c>
      <c r="L10" s="54">
        <v>1.4558919668197632</v>
      </c>
      <c r="M10" s="54">
        <v>110.26476287841797</v>
      </c>
      <c r="N10" s="54">
        <v>111.17621612548828</v>
      </c>
      <c r="O10" s="54">
        <v>20.23933219909668</v>
      </c>
      <c r="P10" s="54">
        <v>20.224609375</v>
      </c>
      <c r="Q10" s="54"/>
      <c r="R10" s="54">
        <v>2.4742431640625</v>
      </c>
      <c r="S10" s="54">
        <v>139.65567016601562</v>
      </c>
      <c r="T10" s="54">
        <v>1.6100000143051147</v>
      </c>
      <c r="U10" s="54">
        <v>0.30100521445274353</v>
      </c>
      <c r="V10" s="54">
        <v>0.2993203103542328</v>
      </c>
      <c r="W10" s="54">
        <v>90.78414154052734</v>
      </c>
      <c r="X10" s="54">
        <v>0.5267864465713501</v>
      </c>
      <c r="Y10" s="54" t="s">
        <v>82</v>
      </c>
      <c r="Z10" s="54">
        <v>0.7322338223457336</v>
      </c>
      <c r="AA10" s="54">
        <v>148.6979217529297</v>
      </c>
      <c r="AB10" s="54">
        <v>162.6663818359375</v>
      </c>
      <c r="AC10" s="54">
        <v>0.49963831901550293</v>
      </c>
      <c r="AD10" s="54">
        <v>155.46151733398438</v>
      </c>
      <c r="AE10" s="57"/>
      <c r="AF10" s="57"/>
      <c r="AG10" s="57"/>
      <c r="AH10" s="57"/>
      <c r="AI10" s="57"/>
      <c r="AJ10" s="57"/>
      <c r="AK10" s="57"/>
      <c r="AL10" s="54">
        <v>69.20934295654297</v>
      </c>
      <c r="AM10" s="58">
        <v>0.010309082455933094</v>
      </c>
      <c r="AN10" s="59">
        <v>61.40407943725586</v>
      </c>
      <c r="AO10" s="60"/>
      <c r="AP10" s="61">
        <v>-81.24276733398438</v>
      </c>
      <c r="AQ10" s="61">
        <v>0.30085358023643494</v>
      </c>
      <c r="AR10" s="62">
        <v>0.0002890243486035615</v>
      </c>
    </row>
    <row r="11" spans="2:47" ht="13.5" customHeight="1" x14ac:dyDescent="0.25">
      <c r="B11" s="14">
        <v>0.54166666666666696</v>
      </c>
      <c r="C11" s="54">
        <v>7.3712382316589355</v>
      </c>
      <c r="D11" s="54">
        <v>20.30707550048828</v>
      </c>
      <c r="E11" s="54">
        <v>417.82611083984375</v>
      </c>
      <c r="F11" s="54">
        <v>0.3287343680858612</v>
      </c>
      <c r="G11" s="54">
        <v>0</v>
      </c>
      <c r="H11" s="55">
        <v>416.3902587890625</v>
      </c>
      <c r="I11" s="56">
        <v>25.394241333007812</v>
      </c>
      <c r="J11" s="54">
        <v>0.01988867111504078</v>
      </c>
      <c r="K11" s="54">
        <v>45.276329040527344</v>
      </c>
      <c r="L11" s="54">
        <v>1.4188188314437866</v>
      </c>
      <c r="M11" s="54">
        <v>106.80339050292969</v>
      </c>
      <c r="N11" s="54">
        <v>110.06221008300781</v>
      </c>
      <c r="O11" s="54">
        <v>20.104442596435547</v>
      </c>
      <c r="P11" s="54">
        <v>20.294921875</v>
      </c>
      <c r="Q11" s="54"/>
      <c r="R11" s="54">
        <v>2.436279296875</v>
      </c>
      <c r="S11" s="54">
        <v>139.7135467529297</v>
      </c>
      <c r="T11" s="54">
        <v>1.6100000143051147</v>
      </c>
      <c r="U11" s="54">
        <v>0.3000972867012024</v>
      </c>
      <c r="V11" s="54">
        <v>0.3004218637943268</v>
      </c>
      <c r="W11" s="54">
        <v>90.69010162353516</v>
      </c>
      <c r="X11" s="54">
        <v>0.5313547253608704</v>
      </c>
      <c r="Y11" s="54" t="s">
        <v>82</v>
      </c>
      <c r="Z11" s="54">
        <v>0.735127329826355</v>
      </c>
      <c r="AA11" s="54">
        <v>149.65277099609375</v>
      </c>
      <c r="AB11" s="54">
        <v>162.83274841308594</v>
      </c>
      <c r="AC11" s="54">
        <v>0.390190988779068</v>
      </c>
      <c r="AD11" s="54">
        <v>155.41087341308594</v>
      </c>
      <c r="AE11" s="57">
        <v>34.43000030517578</v>
      </c>
      <c r="AF11" s="57"/>
      <c r="AG11" s="57"/>
      <c r="AH11" s="57">
        <v>13.529999732971191</v>
      </c>
      <c r="AI11" s="57">
        <v>32.41999816894531</v>
      </c>
      <c r="AJ11" s="57">
        <v>10.479999542236328</v>
      </c>
      <c r="AK11" s="57">
        <v>6.769999980926514</v>
      </c>
      <c r="AL11" s="54">
        <v>10.42751693725586</v>
      </c>
      <c r="AM11" s="58">
        <v>0.01181347668170929</v>
      </c>
      <c r="AN11" s="59">
        <v>58.365882873535156</v>
      </c>
      <c r="AO11" s="60"/>
      <c r="AP11" s="61">
        <v>-81.14872741699219</v>
      </c>
      <c r="AQ11" s="61">
        <v>0.29918980598449707</v>
      </c>
      <c r="AR11" s="62">
        <v>0.0002914428769145161</v>
      </c>
    </row>
    <row r="12" spans="2:47" ht="13.5" customHeight="1" x14ac:dyDescent="0.25">
      <c r="B12" s="14">
        <v>0.58333333333333304</v>
      </c>
      <c r="C12" s="54">
        <v>6.007667541503906</v>
      </c>
      <c r="D12" s="54">
        <v>20.507814407348633</v>
      </c>
      <c r="E12" s="54">
        <v>417.5678405761719</v>
      </c>
      <c r="F12" s="54">
        <v>0.26160937547683716</v>
      </c>
      <c r="G12" s="54">
        <v>0</v>
      </c>
      <c r="H12" s="55">
        <v>416.9429626464844</v>
      </c>
      <c r="I12" s="56">
        <v>22.811777114868164</v>
      </c>
      <c r="J12" s="54">
        <v>0.01936621032655239</v>
      </c>
      <c r="K12" s="54">
        <v>46.13715362548828</v>
      </c>
      <c r="L12" s="54">
        <v>1.4427807331085205</v>
      </c>
      <c r="M12" s="54">
        <v>107.06380462646484</v>
      </c>
      <c r="N12" s="54">
        <v>111.95746612548828</v>
      </c>
      <c r="O12" s="54">
        <v>20.2905216217041</v>
      </c>
      <c r="P12" s="54">
        <v>20.263671875</v>
      </c>
      <c r="Q12" s="54"/>
      <c r="R12" s="54">
        <v>2.466552734375</v>
      </c>
      <c r="S12" s="54">
        <v>139.1927032470703</v>
      </c>
      <c r="T12" s="54">
        <v>1.6100000143051147</v>
      </c>
      <c r="U12" s="54">
        <v>0.3002799153327942</v>
      </c>
      <c r="V12" s="54">
        <v>0.2999609410762787</v>
      </c>
      <c r="W12" s="54">
        <v>90.7696762084961</v>
      </c>
      <c r="X12" s="54">
        <v>0.5289817452430725</v>
      </c>
      <c r="Y12" s="54" t="s">
        <v>82</v>
      </c>
      <c r="Z12" s="54">
        <v>0.7458333373069763</v>
      </c>
      <c r="AA12" s="54">
        <v>148.81365966796875</v>
      </c>
      <c r="AB12" s="54">
        <v>162.78211975097656</v>
      </c>
      <c r="AC12" s="54">
        <v>0.36635562777519226</v>
      </c>
      <c r="AD12" s="54">
        <v>155.09982299804688</v>
      </c>
      <c r="AE12" s="57"/>
      <c r="AF12" s="57"/>
      <c r="AG12" s="57"/>
      <c r="AH12" s="57"/>
      <c r="AI12" s="57"/>
      <c r="AJ12" s="57"/>
      <c r="AK12" s="57"/>
      <c r="AL12" s="54">
        <v>0</v>
      </c>
      <c r="AM12" s="58">
        <v>0.01140576135367155</v>
      </c>
      <c r="AN12" s="59">
        <v>61.393226623535156</v>
      </c>
      <c r="AO12" s="60"/>
      <c r="AP12" s="61">
        <v>-81.21382904052734</v>
      </c>
      <c r="AQ12" s="61">
        <v>0.3059895932674408</v>
      </c>
      <c r="AR12" s="62">
        <v>0.00028746796306222677</v>
      </c>
    </row>
    <row r="13" spans="2:47" ht="13.5" customHeight="1" x14ac:dyDescent="0.25">
      <c r="B13" s="14">
        <v>0.625</v>
      </c>
      <c r="C13" s="54">
        <v>7.2193284034729</v>
      </c>
      <c r="D13" s="54">
        <v>20.779081344604492</v>
      </c>
      <c r="E13" s="54">
        <v>413.1078796386719</v>
      </c>
      <c r="F13" s="54">
        <v>0.3382343649864197</v>
      </c>
      <c r="G13" s="54">
        <v>0</v>
      </c>
      <c r="H13" s="55">
        <v>416.8980407714844</v>
      </c>
      <c r="I13" s="56">
        <v>25.039785385131836</v>
      </c>
      <c r="J13" s="54">
        <v>0.019859375432133675</v>
      </c>
      <c r="K13" s="54">
        <v>45.710357666015625</v>
      </c>
      <c r="L13" s="54">
        <v>1.435727834701538</v>
      </c>
      <c r="M13" s="54">
        <v>106.7599868774414</v>
      </c>
      <c r="N13" s="54">
        <v>111.9646987915039</v>
      </c>
      <c r="O13" s="54">
        <v>20.284542083740234</v>
      </c>
      <c r="P13" s="54">
        <v>20.26171875</v>
      </c>
      <c r="Q13" s="54"/>
      <c r="R13" s="54">
        <v>2.416259765625</v>
      </c>
      <c r="S13" s="54">
        <v>139.1565399169922</v>
      </c>
      <c r="T13" s="54">
        <v>1.6100000143051147</v>
      </c>
      <c r="U13" s="54">
        <v>0.2993773818016052</v>
      </c>
      <c r="V13" s="54">
        <v>0.29991406202316284</v>
      </c>
      <c r="W13" s="54">
        <v>90.68286895751953</v>
      </c>
      <c r="X13" s="54">
        <v>0.5285691022872925</v>
      </c>
      <c r="Y13" s="54" t="s">
        <v>82</v>
      </c>
      <c r="Z13" s="54">
        <v>0.7438079118728638</v>
      </c>
      <c r="AA13" s="54">
        <v>148.58216857910156</v>
      </c>
      <c r="AB13" s="54">
        <v>162.9629669189453</v>
      </c>
      <c r="AC13" s="54">
        <v>0.49074074625968933</v>
      </c>
      <c r="AD13" s="54">
        <v>155.54832458496094</v>
      </c>
      <c r="AE13" s="57"/>
      <c r="AF13" s="57"/>
      <c r="AG13" s="57"/>
      <c r="AH13" s="57"/>
      <c r="AI13" s="57"/>
      <c r="AJ13" s="57"/>
      <c r="AK13" s="57"/>
      <c r="AL13" s="54">
        <v>9.447338104248047</v>
      </c>
      <c r="AM13" s="58">
        <v>0.012273437343537807</v>
      </c>
      <c r="AN13" s="59">
        <v>58.71310806274414</v>
      </c>
      <c r="AO13" s="60"/>
      <c r="AP13" s="61">
        <v>-81.33680725097656</v>
      </c>
      <c r="AQ13" s="61">
        <v>0.29094329476356506</v>
      </c>
      <c r="AR13" s="62">
        <v>0.0002893905621021986</v>
      </c>
    </row>
    <row r="14" spans="2:47" ht="13.5" customHeight="1" x14ac:dyDescent="0.25">
      <c r="B14" s="14">
        <v>0.66666666666666696</v>
      </c>
      <c r="C14" s="54">
        <v>6.34765625</v>
      </c>
      <c r="D14" s="54">
        <v>20.83333396911621</v>
      </c>
      <c r="E14" s="54">
        <v>412.52001953125</v>
      </c>
      <c r="F14" s="54">
        <v>0.2675468623638153</v>
      </c>
      <c r="G14" s="54">
        <v>0</v>
      </c>
      <c r="H14" s="55">
        <v>415.82171630859375</v>
      </c>
      <c r="I14" s="56">
        <v>22.280092239379883</v>
      </c>
      <c r="J14" s="54">
        <v>0.020151367411017418</v>
      </c>
      <c r="K14" s="54">
        <v>46.60734939575195</v>
      </c>
      <c r="L14" s="54">
        <v>1.474428653717041</v>
      </c>
      <c r="M14" s="54">
        <v>110.34614562988281</v>
      </c>
      <c r="N14" s="54">
        <v>111.11833953857422</v>
      </c>
      <c r="O14" s="54">
        <v>20.520769119262695</v>
      </c>
      <c r="P14" s="54">
        <v>20.28125</v>
      </c>
      <c r="Q14" s="54"/>
      <c r="R14" s="54">
        <v>2.401123046875</v>
      </c>
      <c r="S14" s="54">
        <v>139.3807830810547</v>
      </c>
      <c r="T14" s="54">
        <v>1.6100000143051147</v>
      </c>
      <c r="U14" s="54">
        <v>0.3020893633365631</v>
      </c>
      <c r="V14" s="54">
        <v>0.3002031147480011</v>
      </c>
      <c r="W14" s="54">
        <v>90.52372741699219</v>
      </c>
      <c r="X14" s="54">
        <v>0.528989315032959</v>
      </c>
      <c r="Y14" s="54" t="s">
        <v>82</v>
      </c>
      <c r="Z14" s="54">
        <v>0.7247685790061951</v>
      </c>
      <c r="AA14" s="54">
        <v>148.7557830810547</v>
      </c>
      <c r="AB14" s="54">
        <v>162.7965850830078</v>
      </c>
      <c r="AC14" s="54">
        <v>0.5195674300193787</v>
      </c>
      <c r="AD14" s="54">
        <v>154.96238708496094</v>
      </c>
      <c r="AE14" s="57"/>
      <c r="AF14" s="57"/>
      <c r="AG14" s="57"/>
      <c r="AH14" s="57"/>
      <c r="AI14" s="57"/>
      <c r="AJ14" s="57"/>
      <c r="AK14" s="57"/>
      <c r="AL14" s="54">
        <v>20.352285385131836</v>
      </c>
      <c r="AM14" s="58">
        <v>0.013188476674258709</v>
      </c>
      <c r="AN14" s="59">
        <v>61.22685241699219</v>
      </c>
      <c r="AO14" s="60"/>
      <c r="AP14" s="61">
        <v>-81.37297058105469</v>
      </c>
      <c r="AQ14" s="61">
        <v>0.2957899272441864</v>
      </c>
      <c r="AR14" s="62">
        <v>0.0002907486050389707</v>
      </c>
    </row>
    <row r="15" spans="2:47" ht="13.5" customHeight="1" x14ac:dyDescent="0.25">
      <c r="B15" s="14">
        <v>0.70833333333333304</v>
      </c>
      <c r="C15" s="54">
        <v>7.172308921813965</v>
      </c>
      <c r="D15" s="54">
        <v>20.86046028137207</v>
      </c>
      <c r="E15" s="54">
        <v>412.9546813964844</v>
      </c>
      <c r="F15" s="54">
        <v>0.3383437395095825</v>
      </c>
      <c r="G15" s="54">
        <v>0</v>
      </c>
      <c r="H15" s="55">
        <v>414.8662109375</v>
      </c>
      <c r="I15" s="56">
        <v>15.975839614868164</v>
      </c>
      <c r="J15" s="54">
        <v>0.020283203572034836</v>
      </c>
      <c r="K15" s="54">
        <v>47.5477409362793</v>
      </c>
      <c r="L15" s="54">
        <v>1.5078848600387573</v>
      </c>
      <c r="M15" s="54">
        <v>110.1291275024414</v>
      </c>
      <c r="N15" s="54">
        <v>111.31365203857422</v>
      </c>
      <c r="O15" s="54">
        <v>20.34278678894043</v>
      </c>
      <c r="P15" s="54">
        <v>20.2451171875</v>
      </c>
      <c r="Q15" s="54"/>
      <c r="R15" s="54">
        <v>2.5107421875</v>
      </c>
      <c r="S15" s="54">
        <v>139.53993225097656</v>
      </c>
      <c r="T15" s="54">
        <v>1.6100000143051147</v>
      </c>
      <c r="U15" s="54">
        <v>0.3013676404953003</v>
      </c>
      <c r="V15" s="54">
        <v>0.29964062571525574</v>
      </c>
      <c r="W15" s="54">
        <v>90.3790512084961</v>
      </c>
      <c r="X15" s="54">
        <v>0.5298841595649719</v>
      </c>
      <c r="Y15" s="54" t="s">
        <v>82</v>
      </c>
      <c r="Z15" s="54">
        <v>0.7328703999519348</v>
      </c>
      <c r="AA15" s="54">
        <v>149.4140625</v>
      </c>
      <c r="AB15" s="54">
        <v>163.2161407470703</v>
      </c>
      <c r="AC15" s="54">
        <v>0.5318287014961243</v>
      </c>
      <c r="AD15" s="54">
        <v>155.57725524902344</v>
      </c>
      <c r="AE15" s="57"/>
      <c r="AF15" s="57"/>
      <c r="AG15" s="57"/>
      <c r="AH15" s="57"/>
      <c r="AI15" s="57"/>
      <c r="AJ15" s="57"/>
      <c r="AK15" s="57"/>
      <c r="AL15" s="54">
        <v>12.243200302124023</v>
      </c>
      <c r="AM15" s="58">
        <v>0.010323730297386646</v>
      </c>
      <c r="AN15" s="59">
        <v>60.597511291503906</v>
      </c>
      <c r="AO15" s="60"/>
      <c r="AP15" s="61">
        <v>-81.46701049804688</v>
      </c>
      <c r="AQ15" s="61">
        <v>0.291015625</v>
      </c>
      <c r="AR15" s="62">
        <v>0.00028987121186219156</v>
      </c>
    </row>
    <row r="16" spans="2:47" ht="13.5" customHeight="1" x14ac:dyDescent="0.25">
      <c r="B16" s="14">
        <v>0.75</v>
      </c>
      <c r="C16" s="54">
        <v>6.192129611968994</v>
      </c>
      <c r="D16" s="54">
        <v>20.25824737548828</v>
      </c>
      <c r="E16" s="54">
        <v>412.9208984375</v>
      </c>
      <c r="F16" s="54">
        <v>0.2691406309604645</v>
      </c>
      <c r="G16" s="54">
        <v>0</v>
      </c>
      <c r="H16" s="55">
        <v>414.4610290527344</v>
      </c>
      <c r="I16" s="56">
        <v>21.57118034362793</v>
      </c>
      <c r="J16" s="54">
        <v>0.020027343183755875</v>
      </c>
      <c r="K16" s="54">
        <v>44.00318145751953</v>
      </c>
      <c r="L16" s="54">
        <v>1.3667354583740234</v>
      </c>
      <c r="M16" s="54">
        <v>110.00977325439453</v>
      </c>
      <c r="N16" s="54">
        <v>112.20341491699219</v>
      </c>
      <c r="O16" s="54">
        <v>20.031387329101562</v>
      </c>
      <c r="P16" s="54">
        <v>20.271484375</v>
      </c>
      <c r="Q16" s="54"/>
      <c r="R16" s="54">
        <v>2.5126953125</v>
      </c>
      <c r="S16" s="54">
        <v>139.53993225097656</v>
      </c>
      <c r="T16" s="54">
        <v>1.6100000143051147</v>
      </c>
      <c r="U16" s="54">
        <v>0.2983592748641968</v>
      </c>
      <c r="V16" s="54">
        <v>0.3001484274864197</v>
      </c>
      <c r="W16" s="54">
        <v>90.6756362915039</v>
      </c>
      <c r="X16" s="54">
        <v>0.5319338440895081</v>
      </c>
      <c r="Y16" s="54" t="s">
        <v>82</v>
      </c>
      <c r="Z16" s="54">
        <v>0.7406828999519348</v>
      </c>
      <c r="AA16" s="54">
        <v>149.68894958496094</v>
      </c>
      <c r="AB16" s="54">
        <v>163.2089080810547</v>
      </c>
      <c r="AC16" s="54">
        <v>0.5256438255310059</v>
      </c>
      <c r="AD16" s="54">
        <v>155.526611328125</v>
      </c>
      <c r="AE16" s="57"/>
      <c r="AF16" s="57"/>
      <c r="AG16" s="57"/>
      <c r="AH16" s="57"/>
      <c r="AI16" s="57"/>
      <c r="AJ16" s="57"/>
      <c r="AK16" s="57"/>
      <c r="AL16" s="54">
        <v>2.7669270038604736</v>
      </c>
      <c r="AM16" s="58">
        <v>0.008435546420514584</v>
      </c>
      <c r="AN16" s="59">
        <v>60.22858810424805</v>
      </c>
      <c r="AO16" s="60"/>
      <c r="AP16" s="61">
        <v>-81.45977783203125</v>
      </c>
      <c r="AQ16" s="61">
        <v>0.28327545523643494</v>
      </c>
      <c r="AR16" s="62">
        <v>0.0002896423393394798</v>
      </c>
    </row>
    <row r="17" spans="2:44" ht="13.5" customHeight="1" x14ac:dyDescent="0.25">
      <c r="B17" s="14">
        <v>0.79166666666666696</v>
      </c>
      <c r="C17" s="54">
        <v>6.93359375</v>
      </c>
      <c r="D17" s="54">
        <v>20.07921028137207</v>
      </c>
      <c r="E17" s="54">
        <v>413.1767578125</v>
      </c>
      <c r="F17" s="54">
        <v>0.3374375104904175</v>
      </c>
      <c r="G17" s="54">
        <v>0</v>
      </c>
      <c r="H17" s="55">
        <v>413.63763427734375</v>
      </c>
      <c r="I17" s="56">
        <v>20.381221771240234</v>
      </c>
      <c r="J17" s="54">
        <v>0.02002832107245922</v>
      </c>
      <c r="K17" s="54">
        <v>46.89670181274414</v>
      </c>
      <c r="L17" s="54">
        <v>1.4931460618972778</v>
      </c>
      <c r="M17" s="54">
        <v>105.64236450195312</v>
      </c>
      <c r="N17" s="54">
        <v>111.49449920654297</v>
      </c>
      <c r="O17" s="54">
        <v>20.237895965576172</v>
      </c>
      <c r="P17" s="54">
        <v>20.2744140625</v>
      </c>
      <c r="Q17" s="54"/>
      <c r="R17" s="54">
        <v>2.4818115234375</v>
      </c>
      <c r="S17" s="54">
        <v>139.5471649169922</v>
      </c>
      <c r="T17" s="54">
        <v>1.6100000143051147</v>
      </c>
      <c r="U17" s="54">
        <v>0.3004758059978485</v>
      </c>
      <c r="V17" s="54">
        <v>0.30003124475479126</v>
      </c>
      <c r="W17" s="54">
        <v>90.33564758300781</v>
      </c>
      <c r="X17" s="54">
        <v>0.5297607779502869</v>
      </c>
      <c r="Y17" s="54" t="s">
        <v>82</v>
      </c>
      <c r="Z17" s="54">
        <v>0.7297453880310059</v>
      </c>
      <c r="AA17" s="54">
        <v>149.1898193359375</v>
      </c>
      <c r="AB17" s="54">
        <v>163.143798828125</v>
      </c>
      <c r="AC17" s="54">
        <v>0.5141420960426331</v>
      </c>
      <c r="AD17" s="54">
        <v>155.64959716796875</v>
      </c>
      <c r="AE17" s="57"/>
      <c r="AF17" s="57"/>
      <c r="AG17" s="57"/>
      <c r="AH17" s="57"/>
      <c r="AI17" s="57"/>
      <c r="AJ17" s="57"/>
      <c r="AK17" s="57"/>
      <c r="AL17" s="54">
        <v>9.016926765441895</v>
      </c>
      <c r="AM17" s="58">
        <v>0.007394531276077032</v>
      </c>
      <c r="AN17" s="59">
        <v>61.299190521240234</v>
      </c>
      <c r="AO17" s="60"/>
      <c r="AP17" s="61">
        <v>-81.61892700195312</v>
      </c>
      <c r="AQ17" s="61">
        <v>0.28985822200775146</v>
      </c>
      <c r="AR17" s="62">
        <v>0.0002893676864914596</v>
      </c>
    </row>
    <row r="18" spans="2:44" ht="13.5" customHeight="1" x14ac:dyDescent="0.25">
      <c r="B18" s="42">
        <v>0.83333333333333404</v>
      </c>
      <c r="C18" s="63">
        <v>7.700376033782959</v>
      </c>
      <c r="D18" s="63">
        <v>19.91645050048828</v>
      </c>
      <c r="E18" s="63">
        <v>420.9178161621094</v>
      </c>
      <c r="F18" s="63">
        <v>0.33704686164855957</v>
      </c>
      <c r="G18" s="63">
        <v>0</v>
      </c>
      <c r="H18" s="64">
        <v>414.0601501464844</v>
      </c>
      <c r="I18" s="65">
        <v>25.394241333007812</v>
      </c>
      <c r="J18" s="63">
        <v>0.019948242232203484</v>
      </c>
      <c r="K18" s="63">
        <v>45.54397964477539</v>
      </c>
      <c r="L18" s="63">
        <v>1.4155635833740234</v>
      </c>
      <c r="M18" s="63">
        <v>113.1564712524414</v>
      </c>
      <c r="N18" s="63">
        <v>113.09317016601562</v>
      </c>
      <c r="O18" s="63">
        <v>20.368335723876953</v>
      </c>
      <c r="P18" s="63">
        <v>20.255859375</v>
      </c>
      <c r="Q18" s="63"/>
      <c r="R18" s="63">
        <v>2.59765625</v>
      </c>
      <c r="S18" s="63">
        <v>139.706298828125</v>
      </c>
      <c r="T18" s="63">
        <v>1.6100000143051147</v>
      </c>
      <c r="U18" s="63">
        <v>0.2995612919330597</v>
      </c>
      <c r="V18" s="63">
        <v>0.29988279938697815</v>
      </c>
      <c r="W18" s="63">
        <v>90.41522216796875</v>
      </c>
      <c r="X18" s="63">
        <v>0.5293356776237488</v>
      </c>
      <c r="Y18" s="63">
        <v>0.5277769565582275</v>
      </c>
      <c r="Z18" s="63">
        <v>0.731134295463562</v>
      </c>
      <c r="AA18" s="63">
        <v>149.9059600830078</v>
      </c>
      <c r="AB18" s="63">
        <v>163.20167541503906</v>
      </c>
      <c r="AC18" s="63">
        <v>0.4860025942325592</v>
      </c>
      <c r="AD18" s="63">
        <v>155.6351318359375</v>
      </c>
      <c r="AE18" s="66">
        <v>33.84000015258789</v>
      </c>
      <c r="AF18" s="66"/>
      <c r="AG18" s="66"/>
      <c r="AH18" s="66">
        <v>12.800000190734863</v>
      </c>
      <c r="AI18" s="66"/>
      <c r="AJ18" s="66"/>
      <c r="AK18" s="66">
        <v>7.099999904632568</v>
      </c>
      <c r="AL18" s="63">
        <v>67.03197479248047</v>
      </c>
      <c r="AM18" s="67">
        <v>0.008444824256002903</v>
      </c>
      <c r="AN18" s="68">
        <v>58.937355041503906</v>
      </c>
      <c r="AO18" s="60"/>
      <c r="AP18" s="61">
        <v>-81.45254516601562</v>
      </c>
      <c r="AQ18" s="61">
        <v>0.3064959645271301</v>
      </c>
      <c r="AR18" s="69">
        <v>0.00028959655901417136</v>
      </c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54">
        <v>-81.04022216796875</v>
      </c>
      <c r="D22" s="54">
        <v>-81.01128387451172</v>
      </c>
      <c r="E22" s="54">
        <v>103.125</v>
      </c>
      <c r="F22" s="54">
        <v>0.08521412312984467</v>
      </c>
      <c r="G22" s="54"/>
      <c r="H22" s="54"/>
      <c r="I22" s="54"/>
      <c r="J22" s="54"/>
      <c r="K22" s="54"/>
      <c r="L22" s="55"/>
      <c r="M22" s="70">
        <v>70</v>
      </c>
      <c r="N22" s="54">
        <v>42.332176208496094</v>
      </c>
      <c r="O22" s="54">
        <v>39.5</v>
      </c>
      <c r="P22" s="54">
        <v>22</v>
      </c>
      <c r="Q22" s="54">
        <v>3.620225667953491</v>
      </c>
      <c r="R22" s="54">
        <v>20.60546875</v>
      </c>
      <c r="S22" s="71">
        <v>94.03573608398438</v>
      </c>
      <c r="T22" s="71">
        <v>0</v>
      </c>
      <c r="U22" s="71">
        <v>0</v>
      </c>
      <c r="V22" s="71">
        <v>23.133682250976562</v>
      </c>
      <c r="W22" s="71">
        <v>96.90213012695312</v>
      </c>
      <c r="X22" s="71">
        <v>29</v>
      </c>
      <c r="Y22" s="71">
        <v>78.68851470947266</v>
      </c>
      <c r="Z22" s="71">
        <v>13.666449546813965</v>
      </c>
      <c r="AA22" s="71">
        <v>19.742839813232422</v>
      </c>
      <c r="AB22" s="71"/>
      <c r="AC22" s="58"/>
      <c r="AD22" s="58">
        <v>1.5483940839767456</v>
      </c>
      <c r="AE22" s="58"/>
      <c r="AF22" s="58">
        <v>28.515625</v>
      </c>
      <c r="AG22" s="58">
        <v>37.22511672973633</v>
      </c>
      <c r="AH22" s="58"/>
      <c r="AI22" s="72"/>
      <c r="AJ22" s="72"/>
      <c r="AK22" s="72"/>
      <c r="AL22" s="72"/>
      <c r="AM22" s="72"/>
      <c r="AN22" s="58">
        <v>42.73003387451172</v>
      </c>
      <c r="AO22" s="59">
        <v>50</v>
      </c>
      <c r="AP22" s="60">
        <v>24.57682228088379</v>
      </c>
      <c r="AQ22" s="61">
        <v>39.72800827026367</v>
      </c>
      <c r="AR22" s="62">
        <v>0.0868072509765625</v>
      </c>
    </row>
    <row r="23" spans="2:44" ht="13.5" customHeight="1" x14ac:dyDescent="0.25">
      <c r="B23" s="14">
        <v>0.375</v>
      </c>
      <c r="C23" s="54">
        <v>-80.81597137451172</v>
      </c>
      <c r="D23" s="54">
        <v>-80.83767700195312</v>
      </c>
      <c r="E23" s="54">
        <v>103.13223266601562</v>
      </c>
      <c r="F23" s="54">
        <v>0.08449073880910873</v>
      </c>
      <c r="G23" s="54">
        <v>7.883072248660028E-05</v>
      </c>
      <c r="H23" s="54">
        <v>59612</v>
      </c>
      <c r="I23" s="54">
        <v>1325</v>
      </c>
      <c r="J23" s="54">
        <v>817</v>
      </c>
      <c r="K23" s="54">
        <v>53.400001525878906</v>
      </c>
      <c r="L23" s="55">
        <v>9.050000190734863</v>
      </c>
      <c r="M23" s="70">
        <v>70</v>
      </c>
      <c r="N23" s="54">
        <v>42.570892333984375</v>
      </c>
      <c r="O23" s="54">
        <v>39.5</v>
      </c>
      <c r="P23" s="54">
        <v>22</v>
      </c>
      <c r="Q23" s="54">
        <v>3.600694417953491</v>
      </c>
      <c r="R23" s="54">
        <v>20.96354103088379</v>
      </c>
      <c r="S23" s="71">
        <v>94.65422058105469</v>
      </c>
      <c r="T23" s="71">
        <v>40</v>
      </c>
      <c r="U23" s="71">
        <v>77.18045043945312</v>
      </c>
      <c r="V23" s="71">
        <v>17.22005271911621</v>
      </c>
      <c r="W23" s="71">
        <v>20.58919334411621</v>
      </c>
      <c r="X23" s="71">
        <v>9.5</v>
      </c>
      <c r="Y23" s="71">
        <v>8.072916984558105</v>
      </c>
      <c r="Z23" s="71">
        <v>15.044487953186035</v>
      </c>
      <c r="AA23" s="71">
        <v>39.7081184387207</v>
      </c>
      <c r="AB23" s="71"/>
      <c r="AC23" s="58"/>
      <c r="AD23" s="58">
        <v>1.5482856035232544</v>
      </c>
      <c r="AE23" s="58">
        <v>0.001211822498589754</v>
      </c>
      <c r="AF23" s="58">
        <v>29.89366340637207</v>
      </c>
      <c r="AG23" s="58">
        <v>35.637298583984375</v>
      </c>
      <c r="AH23" s="58"/>
      <c r="AI23" s="72"/>
      <c r="AJ23" s="72"/>
      <c r="AK23" s="72"/>
      <c r="AL23" s="72"/>
      <c r="AM23" s="72"/>
      <c r="AN23" s="58">
        <v>42.961517333984375</v>
      </c>
      <c r="AO23" s="59">
        <v>50</v>
      </c>
      <c r="AP23" s="60">
        <v>24.079500198364258</v>
      </c>
      <c r="AQ23" s="61">
        <v>39.17824172973633</v>
      </c>
      <c r="AR23" s="62">
        <v>0.075958251953125</v>
      </c>
    </row>
    <row r="24" spans="2:44" ht="13.5" customHeight="1" x14ac:dyDescent="0.25">
      <c r="B24" s="14">
        <v>0.41666666666666702</v>
      </c>
      <c r="C24" s="54">
        <v>-81.01851654052734</v>
      </c>
      <c r="D24" s="54">
        <v>-81.01128387451172</v>
      </c>
      <c r="E24" s="54">
        <v>103.125</v>
      </c>
      <c r="F24" s="54">
        <v>0.0824652761220932</v>
      </c>
      <c r="G24" s="54">
        <v>7.877349707996473E-05</v>
      </c>
      <c r="H24" s="54"/>
      <c r="I24" s="54"/>
      <c r="J24" s="54"/>
      <c r="K24" s="54"/>
      <c r="L24" s="55"/>
      <c r="M24" s="70">
        <v>70</v>
      </c>
      <c r="N24" s="54">
        <v>43.63064193725586</v>
      </c>
      <c r="O24" s="54">
        <v>39.5</v>
      </c>
      <c r="P24" s="54">
        <v>22</v>
      </c>
      <c r="Q24" s="54">
        <v>3.4830729961395264</v>
      </c>
      <c r="R24" s="54">
        <v>20.9671573638916</v>
      </c>
      <c r="S24" s="71">
        <v>93.45341491699219</v>
      </c>
      <c r="T24" s="71">
        <v>41.5</v>
      </c>
      <c r="U24" s="71">
        <v>80.03399658203125</v>
      </c>
      <c r="V24" s="71">
        <v>16.531034469604492</v>
      </c>
      <c r="W24" s="71">
        <v>20.448135375976562</v>
      </c>
      <c r="X24" s="71">
        <v>9.5</v>
      </c>
      <c r="Y24" s="71">
        <v>0</v>
      </c>
      <c r="Z24" s="71">
        <v>17.73003387451172</v>
      </c>
      <c r="AA24" s="71">
        <v>43.343101501464844</v>
      </c>
      <c r="AB24" s="71"/>
      <c r="AC24" s="58"/>
      <c r="AD24" s="58">
        <v>0</v>
      </c>
      <c r="AE24" s="58">
        <v>0.0011614990653470159</v>
      </c>
      <c r="AF24" s="58">
        <v>28.370948791503906</v>
      </c>
      <c r="AG24" s="58">
        <v>31.33680534362793</v>
      </c>
      <c r="AH24" s="58"/>
      <c r="AI24" s="72"/>
      <c r="AJ24" s="72"/>
      <c r="AK24" s="72"/>
      <c r="AL24" s="72"/>
      <c r="AM24" s="72"/>
      <c r="AN24" s="58">
        <v>40.69733810424805</v>
      </c>
      <c r="AO24" s="59">
        <v>50</v>
      </c>
      <c r="AP24" s="60">
        <v>24.00716209411621</v>
      </c>
      <c r="AQ24" s="61">
        <v>39.36993408203125</v>
      </c>
      <c r="AR24" s="62">
        <v>0.0868072509765625</v>
      </c>
    </row>
    <row r="25" spans="2:44" ht="13.5" customHeight="1" x14ac:dyDescent="0.25">
      <c r="B25" s="14">
        <v>0.45833333333333298</v>
      </c>
      <c r="C25" s="54">
        <v>-80.85214233398438</v>
      </c>
      <c r="D25" s="54">
        <v>-80.8304443359375</v>
      </c>
      <c r="E25" s="54">
        <v>103.13223266601562</v>
      </c>
      <c r="F25" s="54">
        <v>0.082899309694767</v>
      </c>
      <c r="G25" s="54">
        <v>7.926177931949496E-05</v>
      </c>
      <c r="H25" s="54"/>
      <c r="I25" s="54"/>
      <c r="J25" s="54"/>
      <c r="K25" s="54"/>
      <c r="L25" s="55"/>
      <c r="M25" s="70">
        <v>71</v>
      </c>
      <c r="N25" s="54">
        <v>46.827980041503906</v>
      </c>
      <c r="O25" s="54">
        <v>39.5</v>
      </c>
      <c r="P25" s="54">
        <v>22</v>
      </c>
      <c r="Q25" s="54">
        <v>3.4869792461395264</v>
      </c>
      <c r="R25" s="54">
        <v>21.079282760620117</v>
      </c>
      <c r="S25" s="71">
        <v>94.82421875</v>
      </c>
      <c r="T25" s="71">
        <v>41.5</v>
      </c>
      <c r="U25" s="71">
        <v>80.12930297851562</v>
      </c>
      <c r="V25" s="71">
        <v>16.60698890686035</v>
      </c>
      <c r="W25" s="71">
        <v>20.670574188232422</v>
      </c>
      <c r="X25" s="71">
        <v>9.5</v>
      </c>
      <c r="Y25" s="71">
        <v>0</v>
      </c>
      <c r="Z25" s="71">
        <v>19.62347984313965</v>
      </c>
      <c r="AA25" s="71">
        <v>41.40082550048828</v>
      </c>
      <c r="AB25" s="71"/>
      <c r="AC25" s="58"/>
      <c r="AD25" s="58">
        <v>1.5484483242034912</v>
      </c>
      <c r="AE25" s="58">
        <v>0.0011821289081126451</v>
      </c>
      <c r="AF25" s="58">
        <v>37.0008659362793</v>
      </c>
      <c r="AG25" s="58">
        <v>34.85966491699219</v>
      </c>
      <c r="AH25" s="58"/>
      <c r="AI25" s="72"/>
      <c r="AJ25" s="72"/>
      <c r="AK25" s="72"/>
      <c r="AL25" s="72"/>
      <c r="AM25" s="72"/>
      <c r="AN25" s="58">
        <v>38.70804214477539</v>
      </c>
      <c r="AO25" s="59">
        <v>50</v>
      </c>
      <c r="AP25" s="60">
        <v>24.35980987548828</v>
      </c>
      <c r="AQ25" s="61">
        <v>39.74609375</v>
      </c>
      <c r="AR25" s="62">
        <v>0.0868072509765625</v>
      </c>
    </row>
    <row r="26" spans="2:44" ht="13.5" customHeight="1" x14ac:dyDescent="0.25">
      <c r="B26" s="14">
        <v>0.5</v>
      </c>
      <c r="C26" s="54">
        <v>-81.24276733398438</v>
      </c>
      <c r="D26" s="54">
        <v>-81.24276733398438</v>
      </c>
      <c r="E26" s="54">
        <v>103.13223266601562</v>
      </c>
      <c r="F26" s="54">
        <v>0.07515914738178253</v>
      </c>
      <c r="G26" s="54">
        <v>7.947158883325756E-05</v>
      </c>
      <c r="H26" s="54"/>
      <c r="I26" s="54"/>
      <c r="J26" s="54"/>
      <c r="K26" s="54"/>
      <c r="L26" s="55"/>
      <c r="M26" s="70">
        <v>26.25868034362793</v>
      </c>
      <c r="N26" s="54">
        <v>46.9147834777832</v>
      </c>
      <c r="O26" s="54">
        <v>39.5</v>
      </c>
      <c r="P26" s="54">
        <v>22</v>
      </c>
      <c r="Q26" s="54">
        <v>3.536024332046509</v>
      </c>
      <c r="R26" s="54">
        <v>21.419269561767578</v>
      </c>
      <c r="S26" s="71">
        <v>92.12239074707031</v>
      </c>
      <c r="T26" s="71">
        <v>41.5</v>
      </c>
      <c r="U26" s="71">
        <v>80.16854858398438</v>
      </c>
      <c r="V26" s="71">
        <v>16.60698890686035</v>
      </c>
      <c r="W26" s="71">
        <v>21.11545181274414</v>
      </c>
      <c r="X26" s="71">
        <v>9.5</v>
      </c>
      <c r="Y26" s="71">
        <v>0</v>
      </c>
      <c r="Z26" s="71">
        <v>20.750144958496094</v>
      </c>
      <c r="AA26" s="71">
        <v>40.52191925048828</v>
      </c>
      <c r="AB26" s="71"/>
      <c r="AC26" s="58"/>
      <c r="AD26" s="58">
        <v>0</v>
      </c>
      <c r="AE26" s="58">
        <v>0.0009382934658788145</v>
      </c>
      <c r="AF26" s="58">
        <v>51.65653991699219</v>
      </c>
      <c r="AG26" s="58">
        <v>16.20008659362793</v>
      </c>
      <c r="AH26" s="58"/>
      <c r="AI26" s="72"/>
      <c r="AJ26" s="72"/>
      <c r="AK26" s="72"/>
      <c r="AL26" s="72"/>
      <c r="AM26" s="72"/>
      <c r="AN26" s="58">
        <v>38.071468353271484</v>
      </c>
      <c r="AO26" s="59">
        <v>50</v>
      </c>
      <c r="AP26" s="60">
        <v>24.68532943725586</v>
      </c>
      <c r="AQ26" s="61">
        <v>39.35546875</v>
      </c>
      <c r="AR26" s="62">
        <v>0.075958251953125</v>
      </c>
    </row>
    <row r="27" spans="2:44" ht="13.5" customHeight="1" x14ac:dyDescent="0.25">
      <c r="B27" s="14">
        <v>0.54166666666666596</v>
      </c>
      <c r="C27" s="54">
        <v>-81.14872741699219</v>
      </c>
      <c r="D27" s="54">
        <v>-80.98958587646484</v>
      </c>
      <c r="E27" s="54">
        <v>103.12861633300781</v>
      </c>
      <c r="F27" s="54">
        <v>0.08239293843507767</v>
      </c>
      <c r="G27" s="54">
        <v>7.969284342834726E-05</v>
      </c>
      <c r="H27" s="54"/>
      <c r="I27" s="54"/>
      <c r="J27" s="54"/>
      <c r="K27" s="54"/>
      <c r="L27" s="55"/>
      <c r="M27" s="70">
        <v>26.1429386138916</v>
      </c>
      <c r="N27" s="54">
        <v>48.9655647277832</v>
      </c>
      <c r="O27" s="54">
        <v>39.5</v>
      </c>
      <c r="P27" s="54">
        <v>22</v>
      </c>
      <c r="Q27" s="54">
        <v>3.421441078186035</v>
      </c>
      <c r="R27" s="54">
        <v>21.708621978759766</v>
      </c>
      <c r="S27" s="71">
        <v>92.83492279052734</v>
      </c>
      <c r="T27" s="71">
        <v>41.5</v>
      </c>
      <c r="U27" s="71">
        <v>79.76490020751953</v>
      </c>
      <c r="V27" s="71">
        <v>16.883682250976562</v>
      </c>
      <c r="W27" s="71">
        <v>21.375869750976562</v>
      </c>
      <c r="X27" s="71">
        <v>9.5</v>
      </c>
      <c r="Y27" s="71">
        <v>0</v>
      </c>
      <c r="Z27" s="71">
        <v>21.58203125</v>
      </c>
      <c r="AA27" s="71">
        <v>40.06076431274414</v>
      </c>
      <c r="AB27" s="71"/>
      <c r="AC27" s="58"/>
      <c r="AD27" s="58">
        <v>0</v>
      </c>
      <c r="AE27" s="58">
        <v>0.0012105407658964396</v>
      </c>
      <c r="AF27" s="58">
        <v>50.940391540527344</v>
      </c>
      <c r="AG27" s="58">
        <v>42.173030853271484</v>
      </c>
      <c r="AH27" s="58"/>
      <c r="AI27" s="72">
        <v>7.03000020980835</v>
      </c>
      <c r="AJ27" s="72"/>
      <c r="AK27" s="72"/>
      <c r="AL27" s="72"/>
      <c r="AM27" s="72"/>
      <c r="AN27" s="58">
        <v>37.95573043823242</v>
      </c>
      <c r="AO27" s="59">
        <v>50</v>
      </c>
      <c r="AP27" s="60">
        <v>25.137441635131836</v>
      </c>
      <c r="AQ27" s="61">
        <v>39.60503387451172</v>
      </c>
      <c r="AR27" s="62">
        <v>0.05426025390625</v>
      </c>
    </row>
    <row r="28" spans="2:44" ht="13.5" customHeight="1" x14ac:dyDescent="0.25">
      <c r="B28" s="14">
        <v>0.58333333333333304</v>
      </c>
      <c r="C28" s="54">
        <v>-81.21382904052734</v>
      </c>
      <c r="D28" s="54">
        <v>-80.96788024902344</v>
      </c>
      <c r="E28" s="54">
        <v>103.13223266601562</v>
      </c>
      <c r="F28" s="54">
        <v>0.07429108768701553</v>
      </c>
      <c r="G28" s="54">
        <v>8.061218250077218E-05</v>
      </c>
      <c r="H28" s="54"/>
      <c r="I28" s="54"/>
      <c r="J28" s="54"/>
      <c r="K28" s="54"/>
      <c r="L28" s="55"/>
      <c r="M28" s="70">
        <v>26.450376510620117</v>
      </c>
      <c r="N28" s="54">
        <v>47.88772964477539</v>
      </c>
      <c r="O28" s="54">
        <v>39.5</v>
      </c>
      <c r="P28" s="54">
        <v>22</v>
      </c>
      <c r="Q28" s="54">
        <v>3.430555582046509</v>
      </c>
      <c r="R28" s="54">
        <v>21.88585090637207</v>
      </c>
      <c r="S28" s="71">
        <v>92.7228012084961</v>
      </c>
      <c r="T28" s="71">
        <v>41.5</v>
      </c>
      <c r="U28" s="71">
        <v>75.50419616699219</v>
      </c>
      <c r="V28" s="71">
        <v>18.766277313232422</v>
      </c>
      <c r="W28" s="71">
        <v>21.864151000976562</v>
      </c>
      <c r="X28" s="71">
        <v>20</v>
      </c>
      <c r="Y28" s="71">
        <v>0</v>
      </c>
      <c r="Z28" s="71">
        <v>10.995369911193848</v>
      </c>
      <c r="AA28" s="71">
        <v>74.51171875</v>
      </c>
      <c r="AB28" s="71"/>
      <c r="AC28" s="58"/>
      <c r="AD28" s="58">
        <v>0</v>
      </c>
      <c r="AE28" s="58">
        <v>0.0008005981217138469</v>
      </c>
      <c r="AF28" s="58">
        <v>51.11762237548828</v>
      </c>
      <c r="AG28" s="58">
        <v>18.80425262451172</v>
      </c>
      <c r="AH28" s="58"/>
      <c r="AI28" s="72"/>
      <c r="AJ28" s="72"/>
      <c r="AK28" s="72"/>
      <c r="AL28" s="72"/>
      <c r="AM28" s="72"/>
      <c r="AN28" s="58">
        <v>38.15827560424805</v>
      </c>
      <c r="AO28" s="59">
        <v>50</v>
      </c>
      <c r="AP28" s="60">
        <v>25.390625</v>
      </c>
      <c r="AQ28" s="61">
        <v>42.737266540527344</v>
      </c>
      <c r="AR28" s="62">
        <v>0.075958251953125</v>
      </c>
    </row>
    <row r="29" spans="2:44" ht="13.5" customHeight="1" x14ac:dyDescent="0.25">
      <c r="B29" s="14">
        <v>0.625</v>
      </c>
      <c r="C29" s="54">
        <v>-81.33680725097656</v>
      </c>
      <c r="D29" s="54">
        <v>-80.96064758300781</v>
      </c>
      <c r="E29" s="54">
        <v>103.13584899902344</v>
      </c>
      <c r="F29" s="54">
        <v>0.07993344962596893</v>
      </c>
      <c r="G29" s="54">
        <v>7.622528210049495E-05</v>
      </c>
      <c r="H29" s="54"/>
      <c r="I29" s="54"/>
      <c r="J29" s="54"/>
      <c r="K29" s="54"/>
      <c r="L29" s="55"/>
      <c r="M29" s="70">
        <v>26.450376510620117</v>
      </c>
      <c r="N29" s="54">
        <v>47.61284637451172</v>
      </c>
      <c r="O29" s="54">
        <v>39.5</v>
      </c>
      <c r="P29" s="54">
        <v>22</v>
      </c>
      <c r="Q29" s="54">
        <v>3.515191078186035</v>
      </c>
      <c r="R29" s="54">
        <v>21.715856552124023</v>
      </c>
      <c r="S29" s="71">
        <v>93.59085845947266</v>
      </c>
      <c r="T29" s="71">
        <v>12</v>
      </c>
      <c r="U29" s="71">
        <v>0</v>
      </c>
      <c r="V29" s="71">
        <v>16.200088500976562</v>
      </c>
      <c r="W29" s="71">
        <v>71.15885925292969</v>
      </c>
      <c r="X29" s="71">
        <v>29</v>
      </c>
      <c r="Y29" s="71">
        <v>78.54835510253906</v>
      </c>
      <c r="Z29" s="71">
        <v>16.88910484313965</v>
      </c>
      <c r="AA29" s="71">
        <v>19.99240493774414</v>
      </c>
      <c r="AB29" s="71"/>
      <c r="AC29" s="58"/>
      <c r="AD29" s="58">
        <v>1.5483940839767456</v>
      </c>
      <c r="AE29" s="58">
        <v>0.0011567992623895407</v>
      </c>
      <c r="AF29" s="58">
        <v>50.88975524902344</v>
      </c>
      <c r="AG29" s="58">
        <v>18.61979103088379</v>
      </c>
      <c r="AH29" s="58"/>
      <c r="AI29" s="72"/>
      <c r="AJ29" s="72"/>
      <c r="AK29" s="72"/>
      <c r="AL29" s="72"/>
      <c r="AM29" s="72"/>
      <c r="AN29" s="58">
        <v>42.368343353271484</v>
      </c>
      <c r="AO29" s="59">
        <v>50</v>
      </c>
      <c r="AP29" s="60">
        <v>25.725187301635742</v>
      </c>
      <c r="AQ29" s="61">
        <v>43.57638931274414</v>
      </c>
      <c r="AR29" s="62">
        <v>0.0868072509765625</v>
      </c>
    </row>
    <row r="30" spans="2:44" ht="13.5" customHeight="1" x14ac:dyDescent="0.25">
      <c r="B30" s="14">
        <v>0.66666666666666596</v>
      </c>
      <c r="C30" s="54">
        <v>-81.37297058105469</v>
      </c>
      <c r="D30" s="54">
        <v>-80.86660766601562</v>
      </c>
      <c r="E30" s="54">
        <v>103.12861633300781</v>
      </c>
      <c r="F30" s="54">
        <v>0.08080150187015533</v>
      </c>
      <c r="G30" s="54">
        <v>7.495879981433973E-05</v>
      </c>
      <c r="H30" s="54"/>
      <c r="I30" s="54"/>
      <c r="J30" s="54"/>
      <c r="K30" s="54"/>
      <c r="L30" s="55"/>
      <c r="M30" s="70">
        <v>26.305700302124023</v>
      </c>
      <c r="N30" s="54">
        <v>47.294559478759766</v>
      </c>
      <c r="O30" s="54">
        <v>39.5</v>
      </c>
      <c r="P30" s="54">
        <v>22</v>
      </c>
      <c r="Q30" s="54">
        <v>3.499131917953491</v>
      </c>
      <c r="R30" s="54">
        <v>21.24565887451172</v>
      </c>
      <c r="S30" s="71">
        <v>92.3140869140625</v>
      </c>
      <c r="T30" s="71">
        <v>12</v>
      </c>
      <c r="U30" s="71">
        <v>0</v>
      </c>
      <c r="V30" s="71">
        <v>18.36480140686035</v>
      </c>
      <c r="W30" s="71">
        <v>58.58290100097656</v>
      </c>
      <c r="X30" s="71">
        <v>28</v>
      </c>
      <c r="Y30" s="71">
        <v>75.57707977294922</v>
      </c>
      <c r="Z30" s="71">
        <v>16.451461791992188</v>
      </c>
      <c r="AA30" s="71">
        <v>19.19487953186035</v>
      </c>
      <c r="AB30" s="71"/>
      <c r="AC30" s="58"/>
      <c r="AD30" s="58">
        <v>1.5483940839767456</v>
      </c>
      <c r="AE30" s="58">
        <v>0.0012321167159825563</v>
      </c>
      <c r="AF30" s="58">
        <v>50.557003021240234</v>
      </c>
      <c r="AG30" s="58">
        <v>15.596064567565918</v>
      </c>
      <c r="AH30" s="58"/>
      <c r="AI30" s="72"/>
      <c r="AJ30" s="72"/>
      <c r="AK30" s="72"/>
      <c r="AL30" s="72"/>
      <c r="AM30" s="72"/>
      <c r="AN30" s="58">
        <v>46.2311897277832</v>
      </c>
      <c r="AO30" s="59">
        <v>50</v>
      </c>
      <c r="AP30" s="60">
        <v>26.123046875</v>
      </c>
      <c r="AQ30" s="61">
        <v>41.82942581176758</v>
      </c>
      <c r="AR30" s="62">
        <v>0.10851287841796875</v>
      </c>
    </row>
    <row r="31" spans="2:44" ht="13.5" customHeight="1" x14ac:dyDescent="0.25">
      <c r="B31" s="14">
        <v>0.70833333333333304</v>
      </c>
      <c r="C31" s="54">
        <v>-81.46701049804688</v>
      </c>
      <c r="D31" s="54">
        <v>-80.96788024902344</v>
      </c>
      <c r="E31" s="54">
        <v>103.12861633300781</v>
      </c>
      <c r="F31" s="54">
        <v>0.0514322929084301</v>
      </c>
      <c r="G31" s="54">
        <v>7.443618960678577E-05</v>
      </c>
      <c r="H31" s="54"/>
      <c r="I31" s="54"/>
      <c r="J31" s="54"/>
      <c r="K31" s="54"/>
      <c r="L31" s="55"/>
      <c r="M31" s="70">
        <v>26.099536895751953</v>
      </c>
      <c r="N31" s="54">
        <v>47.08477783203125</v>
      </c>
      <c r="O31" s="54">
        <v>39.5</v>
      </c>
      <c r="P31" s="54">
        <v>22</v>
      </c>
      <c r="Q31" s="54">
        <v>3.4752604961395264</v>
      </c>
      <c r="R31" s="54">
        <v>20.80078125</v>
      </c>
      <c r="S31" s="71">
        <v>93.69574737548828</v>
      </c>
      <c r="T31" s="71">
        <v>12</v>
      </c>
      <c r="U31" s="71">
        <v>0</v>
      </c>
      <c r="V31" s="71">
        <v>19.656034469604492</v>
      </c>
      <c r="W31" s="71">
        <v>53.938804626464844</v>
      </c>
      <c r="X31" s="71">
        <v>28</v>
      </c>
      <c r="Y31" s="71">
        <v>75.8517837524414</v>
      </c>
      <c r="Z31" s="71">
        <v>15.744357109069824</v>
      </c>
      <c r="AA31" s="71">
        <v>18.42990493774414</v>
      </c>
      <c r="AB31" s="71"/>
      <c r="AC31" s="58"/>
      <c r="AD31" s="58">
        <v>1.54833984375</v>
      </c>
      <c r="AE31" s="58">
        <v>0.0009546508663333952</v>
      </c>
      <c r="AF31" s="58">
        <v>51.08506774902344</v>
      </c>
      <c r="AG31" s="58">
        <v>20.847801208496094</v>
      </c>
      <c r="AH31" s="58"/>
      <c r="AI31" s="72"/>
      <c r="AJ31" s="72"/>
      <c r="AK31" s="72"/>
      <c r="AL31" s="72"/>
      <c r="AM31" s="72"/>
      <c r="AN31" s="58">
        <v>46.824363708496094</v>
      </c>
      <c r="AO31" s="59">
        <v>50</v>
      </c>
      <c r="AP31" s="60">
        <v>26.349102020263672</v>
      </c>
      <c r="AQ31" s="61">
        <v>42.10069274902344</v>
      </c>
      <c r="AR31" s="62">
        <v>0.0868072509765625</v>
      </c>
    </row>
    <row r="32" spans="2:44" ht="13.5" customHeight="1" x14ac:dyDescent="0.25">
      <c r="B32" s="14">
        <v>0.75</v>
      </c>
      <c r="C32" s="54">
        <v>-81.45977783203125</v>
      </c>
      <c r="D32" s="54">
        <v>-80.95341491699219</v>
      </c>
      <c r="E32" s="54">
        <v>103.13223266601562</v>
      </c>
      <c r="F32" s="54">
        <v>0.08015046268701553</v>
      </c>
      <c r="G32" s="54">
        <v>7.487487891921774E-05</v>
      </c>
      <c r="H32" s="54"/>
      <c r="I32" s="54"/>
      <c r="J32" s="54"/>
      <c r="K32" s="54"/>
      <c r="L32" s="55"/>
      <c r="M32" s="70">
        <v>26.298465728759766</v>
      </c>
      <c r="N32" s="54">
        <v>47.18967056274414</v>
      </c>
      <c r="O32" s="54">
        <v>39.5</v>
      </c>
      <c r="P32" s="54">
        <v>22</v>
      </c>
      <c r="Q32" s="54">
        <v>3.5247395038604736</v>
      </c>
      <c r="R32" s="54">
        <v>20.37760353088379</v>
      </c>
      <c r="S32" s="71">
        <v>94.8061294555664</v>
      </c>
      <c r="T32" s="71">
        <v>12</v>
      </c>
      <c r="U32" s="71">
        <v>0</v>
      </c>
      <c r="V32" s="71">
        <v>19.85677146911621</v>
      </c>
      <c r="W32" s="71">
        <v>50.835506439208984</v>
      </c>
      <c r="X32" s="71">
        <v>28</v>
      </c>
      <c r="Y32" s="71">
        <v>75.30237579345703</v>
      </c>
      <c r="Z32" s="71">
        <v>15.449580192565918</v>
      </c>
      <c r="AA32" s="71">
        <v>18.13693618774414</v>
      </c>
      <c r="AB32" s="71"/>
      <c r="AC32" s="58"/>
      <c r="AD32" s="58">
        <v>1.5484483242034912</v>
      </c>
      <c r="AE32" s="58">
        <v>0.001141845714300871</v>
      </c>
      <c r="AF32" s="58">
        <v>50.36530685424805</v>
      </c>
      <c r="AG32" s="58">
        <v>20.471643447875977</v>
      </c>
      <c r="AH32" s="58"/>
      <c r="AI32" s="72"/>
      <c r="AJ32" s="72"/>
      <c r="AK32" s="72"/>
      <c r="AL32" s="72"/>
      <c r="AM32" s="72"/>
      <c r="AN32" s="58">
        <v>46.7664909362793</v>
      </c>
      <c r="AO32" s="59">
        <v>50</v>
      </c>
      <c r="AP32" s="60">
        <v>26.457609176635742</v>
      </c>
      <c r="AQ32" s="61">
        <v>40.50202560424805</v>
      </c>
      <c r="AR32" s="62">
        <v>0.075958251953125</v>
      </c>
    </row>
    <row r="33" spans="2:44" ht="13.5" customHeight="1" x14ac:dyDescent="0.25">
      <c r="B33" s="14">
        <v>0.79166666666666696</v>
      </c>
      <c r="C33" s="54">
        <v>-81.61892700195312</v>
      </c>
      <c r="D33" s="54">
        <v>-81.11978912353516</v>
      </c>
      <c r="E33" s="54">
        <v>103.13223266601562</v>
      </c>
      <c r="F33" s="54">
        <v>0.07935474812984467</v>
      </c>
      <c r="G33" s="54">
        <v>7.35435460228473E-05</v>
      </c>
      <c r="H33" s="54"/>
      <c r="I33" s="54"/>
      <c r="J33" s="54"/>
      <c r="K33" s="54"/>
      <c r="L33" s="55"/>
      <c r="M33" s="70">
        <v>26.19357681274414</v>
      </c>
      <c r="N33" s="54">
        <v>47.79007339477539</v>
      </c>
      <c r="O33" s="54">
        <v>39.5</v>
      </c>
      <c r="P33" s="54">
        <v>22</v>
      </c>
      <c r="Q33" s="54">
        <v>3.40234375</v>
      </c>
      <c r="R33" s="54">
        <v>20.005064010620117</v>
      </c>
      <c r="S33" s="71">
        <v>93.1423568725586</v>
      </c>
      <c r="T33" s="71">
        <v>12</v>
      </c>
      <c r="U33" s="71">
        <v>0</v>
      </c>
      <c r="V33" s="71">
        <v>19.56380271911621</v>
      </c>
      <c r="W33" s="71">
        <v>48.540584564208984</v>
      </c>
      <c r="X33" s="71">
        <v>28</v>
      </c>
      <c r="Y33" s="71">
        <v>75.53783416748047</v>
      </c>
      <c r="Z33" s="71">
        <v>15.24522590637207</v>
      </c>
      <c r="AA33" s="71">
        <v>18.01215362548828</v>
      </c>
      <c r="AB33" s="71"/>
      <c r="AC33" s="58"/>
      <c r="AD33" s="58">
        <v>0</v>
      </c>
      <c r="AE33" s="58">
        <v>0.0012226562248542905</v>
      </c>
      <c r="AF33" s="58">
        <v>50.60402297973633</v>
      </c>
      <c r="AG33" s="58">
        <v>20.373987197875977</v>
      </c>
      <c r="AH33" s="58"/>
      <c r="AI33" s="72"/>
      <c r="AJ33" s="72"/>
      <c r="AK33" s="72"/>
      <c r="AL33" s="72"/>
      <c r="AM33" s="72"/>
      <c r="AN33" s="58">
        <v>46.41926956176758</v>
      </c>
      <c r="AO33" s="59">
        <v>50</v>
      </c>
      <c r="AP33" s="60">
        <v>26.629411697387695</v>
      </c>
      <c r="AQ33" s="61">
        <v>40.263309478759766</v>
      </c>
      <c r="AR33" s="62">
        <v>0.075958251953125</v>
      </c>
    </row>
    <row r="34" spans="2:44" ht="13.5" customHeight="1" x14ac:dyDescent="0.25">
      <c r="B34" s="15">
        <v>0.83333333333333304</v>
      </c>
      <c r="C34" s="63">
        <v>-81.45254516601562</v>
      </c>
      <c r="D34" s="63">
        <v>-81.0546875</v>
      </c>
      <c r="E34" s="63">
        <v>103.13223266601562</v>
      </c>
      <c r="F34" s="63">
        <v>0.08022280037403107</v>
      </c>
      <c r="G34" s="63">
        <v>7.454681326635182E-05</v>
      </c>
      <c r="H34" s="63"/>
      <c r="I34" s="63"/>
      <c r="J34" s="63"/>
      <c r="K34" s="63"/>
      <c r="L34" s="64"/>
      <c r="M34" s="73">
        <v>26.468460083007812</v>
      </c>
      <c r="N34" s="63">
        <v>48.12282943725586</v>
      </c>
      <c r="O34" s="63">
        <v>39.5</v>
      </c>
      <c r="P34" s="63">
        <v>22</v>
      </c>
      <c r="Q34" s="63">
        <v>3.491753578186035</v>
      </c>
      <c r="R34" s="63">
        <v>19.741029739379883</v>
      </c>
      <c r="S34" s="74">
        <v>93.78254699707031</v>
      </c>
      <c r="T34" s="74">
        <v>12</v>
      </c>
      <c r="U34" s="74">
        <v>0</v>
      </c>
      <c r="V34" s="74">
        <v>19.27083396911621</v>
      </c>
      <c r="W34" s="74">
        <v>46.636287689208984</v>
      </c>
      <c r="X34" s="74">
        <v>28</v>
      </c>
      <c r="Y34" s="74">
        <v>75.24070739746094</v>
      </c>
      <c r="Z34" s="74">
        <v>15.064380645751953</v>
      </c>
      <c r="AA34" s="74">
        <v>17.789714813232422</v>
      </c>
      <c r="AB34" s="74"/>
      <c r="AC34" s="67"/>
      <c r="AD34" s="67">
        <v>0</v>
      </c>
      <c r="AE34" s="67">
        <v>0.0007930297870188951</v>
      </c>
      <c r="AF34" s="67">
        <v>50.23147964477539</v>
      </c>
      <c r="AG34" s="67">
        <v>19.71571159362793</v>
      </c>
      <c r="AH34" s="67"/>
      <c r="AI34" s="75"/>
      <c r="AJ34" s="75"/>
      <c r="AK34" s="75"/>
      <c r="AL34" s="75"/>
      <c r="AM34" s="75"/>
      <c r="AN34" s="67">
        <v>46.0358772277832</v>
      </c>
      <c r="AO34" s="68">
        <v>50</v>
      </c>
      <c r="AP34" s="76">
        <v>26.69270896911621</v>
      </c>
      <c r="AQ34" s="77">
        <v>39.905235290527344</v>
      </c>
      <c r="AR34" s="78">
        <v>0.075958251953125</v>
      </c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54">
        <v>0</v>
      </c>
      <c r="D39" s="54"/>
      <c r="E39" s="54">
        <v>33.969905853271484</v>
      </c>
      <c r="F39" s="54"/>
      <c r="G39" s="54"/>
      <c r="H39" s="54">
        <v>0</v>
      </c>
      <c r="I39" s="54"/>
      <c r="J39" s="54">
        <v>24.504484176635742</v>
      </c>
      <c r="K39" s="54">
        <v>40</v>
      </c>
      <c r="L39" s="54">
        <v>49.50629425048828</v>
      </c>
      <c r="M39" s="54">
        <v>0</v>
      </c>
      <c r="N39" s="54"/>
      <c r="O39" s="54">
        <v>26.385271072387695</v>
      </c>
      <c r="P39" s="54">
        <v>0.05000000074505806</v>
      </c>
      <c r="Q39" s="54">
        <v>0.191189244389534</v>
      </c>
      <c r="R39" s="54"/>
      <c r="S39" s="54">
        <v>0</v>
      </c>
      <c r="T39" s="54"/>
      <c r="U39" s="71">
        <v>0</v>
      </c>
      <c r="V39" s="79"/>
      <c r="W39" s="80">
        <v>93.18576049804688</v>
      </c>
      <c r="X39" s="71">
        <v>18.833189010620117</v>
      </c>
      <c r="Y39" s="71">
        <v>50</v>
      </c>
      <c r="Z39" s="71">
        <v>123.87153625488281</v>
      </c>
      <c r="AA39" s="71">
        <v>23.133682250976562</v>
      </c>
      <c r="AB39" s="71">
        <v>96.90213012695312</v>
      </c>
      <c r="AC39" s="71">
        <v>50</v>
      </c>
      <c r="AD39" s="71">
        <v>115.91580200195312</v>
      </c>
      <c r="AE39" s="58">
        <v>13.666449546813965</v>
      </c>
      <c r="AF39" s="58">
        <v>19.742839813232422</v>
      </c>
      <c r="AG39" s="58"/>
      <c r="AH39" s="58">
        <v>0</v>
      </c>
      <c r="AI39" s="58">
        <v>0</v>
      </c>
      <c r="AJ39" s="58"/>
      <c r="AK39" s="58">
        <v>84.8162612915039</v>
      </c>
      <c r="AL39" s="59">
        <v>50.781253814697266</v>
      </c>
      <c r="AM39" s="81"/>
      <c r="AN39" s="72"/>
      <c r="AO39" s="58"/>
      <c r="AP39" s="58"/>
      <c r="AQ39" s="58"/>
      <c r="AR39" s="62"/>
    </row>
    <row r="40" spans="2:44" ht="13.5" customHeight="1" x14ac:dyDescent="0.25">
      <c r="B40" s="14">
        <v>0.375</v>
      </c>
      <c r="C40" s="54">
        <v>0</v>
      </c>
      <c r="D40" s="54">
        <v>0</v>
      </c>
      <c r="E40" s="54">
        <v>50.4774284362793</v>
      </c>
      <c r="F40" s="54"/>
      <c r="G40" s="54"/>
      <c r="H40" s="54">
        <v>0</v>
      </c>
      <c r="I40" s="54">
        <v>0</v>
      </c>
      <c r="J40" s="54">
        <v>24.504484176635742</v>
      </c>
      <c r="K40" s="54">
        <v>40</v>
      </c>
      <c r="L40" s="54">
        <v>49.23502731323242</v>
      </c>
      <c r="M40" s="54">
        <v>0</v>
      </c>
      <c r="N40" s="54">
        <v>0</v>
      </c>
      <c r="O40" s="54">
        <v>26.611328125</v>
      </c>
      <c r="P40" s="54">
        <v>0.05000000074505806</v>
      </c>
      <c r="Q40" s="54">
        <v>0.1987847238779068</v>
      </c>
      <c r="R40" s="54">
        <v>0.00019805144984275103</v>
      </c>
      <c r="S40" s="54">
        <v>0</v>
      </c>
      <c r="T40" s="54">
        <v>0</v>
      </c>
      <c r="U40" s="71">
        <v>0</v>
      </c>
      <c r="V40" s="79">
        <v>0</v>
      </c>
      <c r="W40" s="80">
        <v>54.3366584777832</v>
      </c>
      <c r="X40" s="71">
        <v>19.686777114868164</v>
      </c>
      <c r="Y40" s="71">
        <v>50</v>
      </c>
      <c r="Z40" s="71">
        <v>0</v>
      </c>
      <c r="AA40" s="71">
        <v>17.22005271911621</v>
      </c>
      <c r="AB40" s="71">
        <v>20.58919334411621</v>
      </c>
      <c r="AC40" s="71">
        <v>50</v>
      </c>
      <c r="AD40" s="71">
        <v>0</v>
      </c>
      <c r="AE40" s="58">
        <v>15.044487953186035</v>
      </c>
      <c r="AF40" s="58">
        <v>39.7081184387207</v>
      </c>
      <c r="AG40" s="58"/>
      <c r="AH40" s="58">
        <v>0</v>
      </c>
      <c r="AI40" s="58">
        <v>0</v>
      </c>
      <c r="AJ40" s="58">
        <v>0.00020187973859719932</v>
      </c>
      <c r="AK40" s="58">
        <v>84.82349395751953</v>
      </c>
      <c r="AL40" s="59">
        <v>50.90567398071289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14">
        <v>0.41666666666666702</v>
      </c>
      <c r="C41" s="54">
        <v>0</v>
      </c>
      <c r="D41" s="54">
        <v>2.0463467080844566E-06</v>
      </c>
      <c r="E41" s="54">
        <v>45.07378387451172</v>
      </c>
      <c r="F41" s="54"/>
      <c r="G41" s="54"/>
      <c r="H41" s="54">
        <v>0</v>
      </c>
      <c r="I41" s="54">
        <v>0</v>
      </c>
      <c r="J41" s="54">
        <v>24.504484176635742</v>
      </c>
      <c r="K41" s="54">
        <v>40</v>
      </c>
      <c r="L41" s="54">
        <v>48.39409637451172</v>
      </c>
      <c r="M41" s="54">
        <v>0</v>
      </c>
      <c r="N41" s="54">
        <v>0</v>
      </c>
      <c r="O41" s="54">
        <v>26.900680541992188</v>
      </c>
      <c r="P41" s="54">
        <v>0.05000000074505806</v>
      </c>
      <c r="Q41" s="54">
        <v>0.20934607088565826</v>
      </c>
      <c r="R41" s="54">
        <v>0.0002009887684835121</v>
      </c>
      <c r="S41" s="54">
        <v>0</v>
      </c>
      <c r="T41" s="54">
        <v>0</v>
      </c>
      <c r="U41" s="71">
        <v>0</v>
      </c>
      <c r="V41" s="79">
        <v>0</v>
      </c>
      <c r="W41" s="80">
        <v>91.49667358398438</v>
      </c>
      <c r="X41" s="71">
        <v>35.01880645751953</v>
      </c>
      <c r="Y41" s="71">
        <v>50</v>
      </c>
      <c r="Z41" s="71">
        <v>123.87153625488281</v>
      </c>
      <c r="AA41" s="71">
        <v>16.531034469604492</v>
      </c>
      <c r="AB41" s="71">
        <v>20.448135375976562</v>
      </c>
      <c r="AC41" s="71">
        <v>50</v>
      </c>
      <c r="AD41" s="71">
        <v>123.78907012939453</v>
      </c>
      <c r="AE41" s="58">
        <v>17.73003387451172</v>
      </c>
      <c r="AF41" s="58">
        <v>43.343101501464844</v>
      </c>
      <c r="AG41" s="58"/>
      <c r="AH41" s="58">
        <v>0</v>
      </c>
      <c r="AI41" s="58">
        <v>0</v>
      </c>
      <c r="AJ41" s="58">
        <v>5.864143531653099E-06</v>
      </c>
      <c r="AK41" s="58">
        <v>84.83434295654297</v>
      </c>
      <c r="AL41" s="59">
        <v>50.891204833984375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0.45833333333333298</v>
      </c>
      <c r="C42" s="54">
        <v>0</v>
      </c>
      <c r="D42" s="54">
        <v>1.5020370724982968E-08</v>
      </c>
      <c r="E42" s="54">
        <v>43.27256774902344</v>
      </c>
      <c r="F42" s="54"/>
      <c r="G42" s="54"/>
      <c r="H42" s="54">
        <v>0</v>
      </c>
      <c r="I42" s="54">
        <v>0</v>
      </c>
      <c r="J42" s="54">
        <v>24.68532943725586</v>
      </c>
      <c r="K42" s="54">
        <v>40</v>
      </c>
      <c r="L42" s="54">
        <v>47.670719146728516</v>
      </c>
      <c r="M42" s="54">
        <v>0</v>
      </c>
      <c r="N42" s="54">
        <v>0</v>
      </c>
      <c r="O42" s="54">
        <v>27.45225715637207</v>
      </c>
      <c r="P42" s="54">
        <v>0.05000000074505806</v>
      </c>
      <c r="Q42" s="54">
        <v>0.218532994389534</v>
      </c>
      <c r="R42" s="54">
        <v>0.00019514464656822383</v>
      </c>
      <c r="S42" s="54">
        <v>0</v>
      </c>
      <c r="T42" s="54">
        <v>0</v>
      </c>
      <c r="U42" s="71">
        <v>0</v>
      </c>
      <c r="V42" s="79">
        <v>0</v>
      </c>
      <c r="W42" s="80">
        <v>89.63758850097656</v>
      </c>
      <c r="X42" s="71">
        <v>21.84244728088379</v>
      </c>
      <c r="Y42" s="71">
        <v>50</v>
      </c>
      <c r="Z42" s="71">
        <v>94.4748306274414</v>
      </c>
      <c r="AA42" s="71">
        <v>16.60698890686035</v>
      </c>
      <c r="AB42" s="71">
        <v>20.670574188232422</v>
      </c>
      <c r="AC42" s="71">
        <v>50</v>
      </c>
      <c r="AD42" s="71">
        <v>88.5763931274414</v>
      </c>
      <c r="AE42" s="58">
        <v>19.62347984313965</v>
      </c>
      <c r="AF42" s="58">
        <v>41.40082550048828</v>
      </c>
      <c r="AG42" s="58"/>
      <c r="AH42" s="58">
        <v>0</v>
      </c>
      <c r="AI42" s="58">
        <v>0</v>
      </c>
      <c r="AJ42" s="58">
        <v>0</v>
      </c>
      <c r="AK42" s="58">
        <v>84.85604858398438</v>
      </c>
      <c r="AL42" s="59">
        <v>50.500579833984375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14">
        <v>0.5</v>
      </c>
      <c r="C43" s="54">
        <v>0</v>
      </c>
      <c r="D43" s="54">
        <v>1.456737521721152E-07</v>
      </c>
      <c r="E43" s="54">
        <v>47.410301208496094</v>
      </c>
      <c r="F43" s="54"/>
      <c r="G43" s="54"/>
      <c r="H43" s="54">
        <v>0</v>
      </c>
      <c r="I43" s="54">
        <v>0</v>
      </c>
      <c r="J43" s="54">
        <v>24.90234375</v>
      </c>
      <c r="K43" s="54">
        <v>40</v>
      </c>
      <c r="L43" s="54">
        <v>47.09201431274414</v>
      </c>
      <c r="M43" s="54">
        <v>0</v>
      </c>
      <c r="N43" s="54">
        <v>0</v>
      </c>
      <c r="O43" s="54">
        <v>28.003833770751953</v>
      </c>
      <c r="P43" s="54">
        <v>0.05000000074505806</v>
      </c>
      <c r="Q43" s="54">
        <v>0.20543982088565826</v>
      </c>
      <c r="R43" s="54">
        <v>0.00020843505626544356</v>
      </c>
      <c r="S43" s="54">
        <v>0</v>
      </c>
      <c r="T43" s="54">
        <v>0</v>
      </c>
      <c r="U43" s="71">
        <v>0</v>
      </c>
      <c r="V43" s="79">
        <v>0</v>
      </c>
      <c r="W43" s="80">
        <v>90.20905303955078</v>
      </c>
      <c r="X43" s="71">
        <v>19.082754135131836</v>
      </c>
      <c r="Y43" s="71">
        <v>50</v>
      </c>
      <c r="Z43" s="71">
        <v>123.8758773803711</v>
      </c>
      <c r="AA43" s="71">
        <v>16.60698890686035</v>
      </c>
      <c r="AB43" s="71">
        <v>21.11545181274414</v>
      </c>
      <c r="AC43" s="71">
        <v>50</v>
      </c>
      <c r="AD43" s="71">
        <v>123.78907012939453</v>
      </c>
      <c r="AE43" s="58">
        <v>20.750144958496094</v>
      </c>
      <c r="AF43" s="58">
        <v>40.52191925048828</v>
      </c>
      <c r="AG43" s="58"/>
      <c r="AH43" s="58">
        <v>0</v>
      </c>
      <c r="AI43" s="58">
        <v>0</v>
      </c>
      <c r="AJ43" s="58">
        <v>0</v>
      </c>
      <c r="AK43" s="58">
        <v>84.87413024902344</v>
      </c>
      <c r="AL43" s="59">
        <v>49.75115966796875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0.54166666666666596</v>
      </c>
      <c r="C44" s="54">
        <v>0</v>
      </c>
      <c r="D44" s="54">
        <v>0</v>
      </c>
      <c r="E44" s="54">
        <v>35.64814758300781</v>
      </c>
      <c r="F44" s="54"/>
      <c r="G44" s="54"/>
      <c r="H44" s="54">
        <v>0</v>
      </c>
      <c r="I44" s="54">
        <v>0</v>
      </c>
      <c r="J44" s="54">
        <v>25.191696166992188</v>
      </c>
      <c r="K44" s="54">
        <v>40</v>
      </c>
      <c r="L44" s="54">
        <v>47.263816833496094</v>
      </c>
      <c r="M44" s="54">
        <v>0</v>
      </c>
      <c r="N44" s="54">
        <v>0</v>
      </c>
      <c r="O44" s="54">
        <v>28.51019859313965</v>
      </c>
      <c r="P44" s="54">
        <v>0.05000000074505806</v>
      </c>
      <c r="Q44" s="54">
        <v>0.2061631977558136</v>
      </c>
      <c r="R44" s="54">
        <v>0.0002095642121275887</v>
      </c>
      <c r="S44" s="54">
        <v>0</v>
      </c>
      <c r="T44" s="54">
        <v>0</v>
      </c>
      <c r="U44" s="71">
        <v>0</v>
      </c>
      <c r="V44" s="79">
        <v>0</v>
      </c>
      <c r="W44" s="80">
        <v>92.19473266601562</v>
      </c>
      <c r="X44" s="71">
        <v>17.88194465637207</v>
      </c>
      <c r="Y44" s="71">
        <v>50</v>
      </c>
      <c r="Z44" s="71">
        <v>123.87153625488281</v>
      </c>
      <c r="AA44" s="71">
        <v>16.883682250976562</v>
      </c>
      <c r="AB44" s="71">
        <v>21.375869750976562</v>
      </c>
      <c r="AC44" s="71">
        <v>50</v>
      </c>
      <c r="AD44" s="71">
        <v>123.79341125488281</v>
      </c>
      <c r="AE44" s="58">
        <v>21.58203125</v>
      </c>
      <c r="AF44" s="58">
        <v>40.06076431274414</v>
      </c>
      <c r="AG44" s="58"/>
      <c r="AH44" s="58">
        <v>0</v>
      </c>
      <c r="AI44" s="58">
        <v>0</v>
      </c>
      <c r="AJ44" s="58">
        <v>0</v>
      </c>
      <c r="AK44" s="58">
        <v>84.89582824707031</v>
      </c>
      <c r="AL44" s="59">
        <v>49.192710876464844</v>
      </c>
      <c r="AM44" s="81"/>
      <c r="AN44" s="72">
        <v>68.0199966430664</v>
      </c>
      <c r="AO44" s="58"/>
      <c r="AP44" s="58"/>
      <c r="AQ44" s="58"/>
      <c r="AR44" s="62"/>
    </row>
    <row r="45" spans="2:44" ht="13.5" customHeight="1" x14ac:dyDescent="0.25">
      <c r="B45" s="14">
        <v>0.58333333333333304</v>
      </c>
      <c r="C45" s="54">
        <v>0</v>
      </c>
      <c r="D45" s="54">
        <v>5.044936983722437E-07</v>
      </c>
      <c r="E45" s="54">
        <v>37.2468147277832</v>
      </c>
      <c r="F45" s="54"/>
      <c r="G45" s="54"/>
      <c r="H45" s="54">
        <v>0</v>
      </c>
      <c r="I45" s="54">
        <v>0</v>
      </c>
      <c r="J45" s="54">
        <v>25.462963104248047</v>
      </c>
      <c r="K45" s="54">
        <v>40</v>
      </c>
      <c r="L45" s="54">
        <v>47.544124603271484</v>
      </c>
      <c r="M45" s="54">
        <v>0</v>
      </c>
      <c r="N45" s="54">
        <v>0</v>
      </c>
      <c r="O45" s="54">
        <v>29.02560806274414</v>
      </c>
      <c r="P45" s="54">
        <v>0.05000000074505806</v>
      </c>
      <c r="Q45" s="54">
        <v>0.23423032462596893</v>
      </c>
      <c r="R45" s="54">
        <v>0.00021343994012568146</v>
      </c>
      <c r="S45" s="54">
        <v>0</v>
      </c>
      <c r="T45" s="54">
        <v>0</v>
      </c>
      <c r="U45" s="71">
        <v>0</v>
      </c>
      <c r="V45" s="79">
        <v>0</v>
      </c>
      <c r="W45" s="80">
        <v>91.53645324707031</v>
      </c>
      <c r="X45" s="71">
        <v>17.53472137451172</v>
      </c>
      <c r="Y45" s="71">
        <v>50</v>
      </c>
      <c r="Z45" s="71">
        <v>123.87153625488281</v>
      </c>
      <c r="AA45" s="71">
        <v>18.766277313232422</v>
      </c>
      <c r="AB45" s="71">
        <v>21.864151000976562</v>
      </c>
      <c r="AC45" s="71">
        <v>50</v>
      </c>
      <c r="AD45" s="71">
        <v>123.79341125488281</v>
      </c>
      <c r="AE45" s="58">
        <v>10.995369911193848</v>
      </c>
      <c r="AF45" s="58">
        <v>74.51171875</v>
      </c>
      <c r="AG45" s="58"/>
      <c r="AH45" s="58">
        <v>0</v>
      </c>
      <c r="AI45" s="58">
        <v>0</v>
      </c>
      <c r="AJ45" s="58">
        <v>0</v>
      </c>
      <c r="AK45" s="58">
        <v>84.92115020751953</v>
      </c>
      <c r="AL45" s="59">
        <v>48.50115966796875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0.625</v>
      </c>
      <c r="C46" s="54">
        <v>0</v>
      </c>
      <c r="D46" s="54">
        <v>1.7499924354069663E-07</v>
      </c>
      <c r="E46" s="54">
        <v>40.74797439575195</v>
      </c>
      <c r="F46" s="54"/>
      <c r="G46" s="54"/>
      <c r="H46" s="54">
        <v>0</v>
      </c>
      <c r="I46" s="54">
        <v>0</v>
      </c>
      <c r="J46" s="54">
        <v>25.79752540588379</v>
      </c>
      <c r="K46" s="54">
        <v>40</v>
      </c>
      <c r="L46" s="54">
        <v>47.77018356323242</v>
      </c>
      <c r="M46" s="54">
        <v>0</v>
      </c>
      <c r="N46" s="54">
        <v>0</v>
      </c>
      <c r="O46" s="54">
        <v>29.477720260620117</v>
      </c>
      <c r="P46" s="54">
        <v>0.05000000074505806</v>
      </c>
      <c r="Q46" s="54">
        <v>0.21296297013759613</v>
      </c>
      <c r="R46" s="54">
        <v>0.00021476745314430445</v>
      </c>
      <c r="S46" s="54">
        <v>0</v>
      </c>
      <c r="T46" s="54">
        <v>0</v>
      </c>
      <c r="U46" s="71">
        <v>0</v>
      </c>
      <c r="V46" s="79">
        <v>0</v>
      </c>
      <c r="W46" s="80">
        <v>91.08795928955078</v>
      </c>
      <c r="X46" s="71">
        <v>17.147714614868164</v>
      </c>
      <c r="Y46" s="71">
        <v>50</v>
      </c>
      <c r="Z46" s="71">
        <v>123.87153625488281</v>
      </c>
      <c r="AA46" s="71">
        <v>16.200088500976562</v>
      </c>
      <c r="AB46" s="71">
        <v>71.15885925292969</v>
      </c>
      <c r="AC46" s="71">
        <v>50</v>
      </c>
      <c r="AD46" s="71">
        <v>123.79341125488281</v>
      </c>
      <c r="AE46" s="58">
        <v>16.88910484313965</v>
      </c>
      <c r="AF46" s="58">
        <v>19.99240493774414</v>
      </c>
      <c r="AG46" s="58"/>
      <c r="AH46" s="58">
        <v>0</v>
      </c>
      <c r="AI46" s="58">
        <v>0</v>
      </c>
      <c r="AJ46" s="58">
        <v>0</v>
      </c>
      <c r="AK46" s="58">
        <v>84.92838287353516</v>
      </c>
      <c r="AL46" s="59">
        <v>47.942710876464844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0.66666666666666596</v>
      </c>
      <c r="C47" s="54">
        <v>0</v>
      </c>
      <c r="D47" s="54">
        <v>0</v>
      </c>
      <c r="E47" s="54">
        <v>36.97193145751953</v>
      </c>
      <c r="F47" s="54"/>
      <c r="G47" s="54"/>
      <c r="H47" s="54">
        <v>0</v>
      </c>
      <c r="I47" s="54">
        <v>0</v>
      </c>
      <c r="J47" s="54">
        <v>26.141130447387695</v>
      </c>
      <c r="K47" s="54">
        <v>40</v>
      </c>
      <c r="L47" s="54">
        <v>47.941986083984375</v>
      </c>
      <c r="M47" s="54">
        <v>0</v>
      </c>
      <c r="N47" s="54">
        <v>0</v>
      </c>
      <c r="O47" s="54">
        <v>29.857494354248047</v>
      </c>
      <c r="P47" s="54">
        <v>0.05000000074505806</v>
      </c>
      <c r="Q47" s="54">
        <v>0.2213541716337204</v>
      </c>
      <c r="R47" s="54">
        <v>0.000218765257159248</v>
      </c>
      <c r="S47" s="54">
        <v>0</v>
      </c>
      <c r="T47" s="54">
        <v>0</v>
      </c>
      <c r="U47" s="71">
        <v>0</v>
      </c>
      <c r="V47" s="79">
        <v>0</v>
      </c>
      <c r="W47" s="80">
        <v>91.1892318725586</v>
      </c>
      <c r="X47" s="71">
        <v>18.004919052124023</v>
      </c>
      <c r="Y47" s="71">
        <v>50</v>
      </c>
      <c r="Z47" s="71">
        <v>123.8758773803711</v>
      </c>
      <c r="AA47" s="71">
        <v>18.36480140686035</v>
      </c>
      <c r="AB47" s="71">
        <v>58.58290100097656</v>
      </c>
      <c r="AC47" s="71">
        <v>50</v>
      </c>
      <c r="AD47" s="71">
        <v>123.79341125488281</v>
      </c>
      <c r="AE47" s="58">
        <v>16.451461791992188</v>
      </c>
      <c r="AF47" s="58">
        <v>19.19487953186035</v>
      </c>
      <c r="AG47" s="58"/>
      <c r="AH47" s="58">
        <v>0</v>
      </c>
      <c r="AI47" s="58">
        <v>0</v>
      </c>
      <c r="AJ47" s="58">
        <v>0</v>
      </c>
      <c r="AK47" s="58">
        <v>84.95732116699219</v>
      </c>
      <c r="AL47" s="59">
        <v>47.55497741699219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0.70833333333333304</v>
      </c>
      <c r="C48" s="54">
        <v>0</v>
      </c>
      <c r="D48" s="54">
        <v>5.528211659111548E-06</v>
      </c>
      <c r="E48" s="54">
        <v>50.77401351928711</v>
      </c>
      <c r="F48" s="54"/>
      <c r="G48" s="54"/>
      <c r="H48" s="54">
        <v>0</v>
      </c>
      <c r="I48" s="54">
        <v>0</v>
      </c>
      <c r="J48" s="54">
        <v>26.47569465637207</v>
      </c>
      <c r="K48" s="54">
        <v>40</v>
      </c>
      <c r="L48" s="54">
        <v>48.44834899902344</v>
      </c>
      <c r="M48" s="54">
        <v>0</v>
      </c>
      <c r="N48" s="54">
        <v>0</v>
      </c>
      <c r="O48" s="54">
        <v>30.029296875</v>
      </c>
      <c r="P48" s="54">
        <v>0.05000000074505806</v>
      </c>
      <c r="Q48" s="54">
        <v>0.22207754850387573</v>
      </c>
      <c r="R48" s="54">
        <v>0.00021964263578411192</v>
      </c>
      <c r="S48" s="54">
        <v>0</v>
      </c>
      <c r="T48" s="54">
        <v>0</v>
      </c>
      <c r="U48" s="71">
        <v>0</v>
      </c>
      <c r="V48" s="79">
        <v>0</v>
      </c>
      <c r="W48" s="80">
        <v>92.29600524902344</v>
      </c>
      <c r="X48" s="71">
        <v>18.323205947875977</v>
      </c>
      <c r="Y48" s="71">
        <v>50</v>
      </c>
      <c r="Z48" s="71">
        <v>123.87153625488281</v>
      </c>
      <c r="AA48" s="71">
        <v>19.656034469604492</v>
      </c>
      <c r="AB48" s="71">
        <v>53.938804626464844</v>
      </c>
      <c r="AC48" s="71">
        <v>50</v>
      </c>
      <c r="AD48" s="71">
        <v>123.79341125488281</v>
      </c>
      <c r="AE48" s="58">
        <v>15.744357109069824</v>
      </c>
      <c r="AF48" s="58">
        <v>18.42990493774414</v>
      </c>
      <c r="AG48" s="58"/>
      <c r="AH48" s="58">
        <v>0</v>
      </c>
      <c r="AI48" s="58">
        <v>0</v>
      </c>
      <c r="AJ48" s="58">
        <v>0</v>
      </c>
      <c r="AK48" s="58">
        <v>84.95370483398438</v>
      </c>
      <c r="AL48" s="59">
        <v>47.02546691894531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0.75</v>
      </c>
      <c r="C49" s="54">
        <v>0</v>
      </c>
      <c r="D49" s="54">
        <v>0</v>
      </c>
      <c r="E49" s="54">
        <v>40.89988327026367</v>
      </c>
      <c r="F49" s="54"/>
      <c r="G49" s="54"/>
      <c r="H49" s="54">
        <v>0</v>
      </c>
      <c r="I49" s="54">
        <v>0</v>
      </c>
      <c r="J49" s="54">
        <v>26.701749801635742</v>
      </c>
      <c r="K49" s="54">
        <v>40</v>
      </c>
      <c r="L49" s="54">
        <v>48.737701416015625</v>
      </c>
      <c r="M49" s="54">
        <v>0</v>
      </c>
      <c r="N49" s="54">
        <v>0</v>
      </c>
      <c r="O49" s="54">
        <v>30.146846771240234</v>
      </c>
      <c r="P49" s="54">
        <v>0.05000000074505806</v>
      </c>
      <c r="Q49" s="54">
        <v>0.22359664738178253</v>
      </c>
      <c r="R49" s="54">
        <v>0.00022035979782231152</v>
      </c>
      <c r="S49" s="54">
        <v>0</v>
      </c>
      <c r="T49" s="54">
        <v>0</v>
      </c>
      <c r="U49" s="71">
        <v>0</v>
      </c>
      <c r="V49" s="79">
        <v>0</v>
      </c>
      <c r="W49" s="80">
        <v>92.64322662353516</v>
      </c>
      <c r="X49" s="71">
        <v>18.247251510620117</v>
      </c>
      <c r="Y49" s="71">
        <v>18</v>
      </c>
      <c r="Z49" s="71">
        <v>46.3975715637207</v>
      </c>
      <c r="AA49" s="71">
        <v>19.85677146911621</v>
      </c>
      <c r="AB49" s="71">
        <v>50.835506439208984</v>
      </c>
      <c r="AC49" s="71">
        <v>18</v>
      </c>
      <c r="AD49" s="71">
        <v>47.929691314697266</v>
      </c>
      <c r="AE49" s="58">
        <v>15.449580192565918</v>
      </c>
      <c r="AF49" s="58">
        <v>18.13693618774414</v>
      </c>
      <c r="AG49" s="58"/>
      <c r="AH49" s="58">
        <v>0</v>
      </c>
      <c r="AI49" s="58">
        <v>0</v>
      </c>
      <c r="AJ49" s="58">
        <v>0</v>
      </c>
      <c r="AK49" s="58">
        <v>84.95008850097656</v>
      </c>
      <c r="AL49" s="59">
        <v>46.640628814697266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0.79166666666666696</v>
      </c>
      <c r="C50" s="54">
        <v>0</v>
      </c>
      <c r="D50" s="54">
        <v>3.302097297819273E-07</v>
      </c>
      <c r="E50" s="54">
        <v>36.92852783203125</v>
      </c>
      <c r="F50" s="54"/>
      <c r="G50" s="54"/>
      <c r="H50" s="54">
        <v>0</v>
      </c>
      <c r="I50" s="54">
        <v>0</v>
      </c>
      <c r="J50" s="54">
        <v>26.927806854248047</v>
      </c>
      <c r="K50" s="54">
        <v>40</v>
      </c>
      <c r="L50" s="54">
        <v>49.11747741699219</v>
      </c>
      <c r="M50" s="54">
        <v>0</v>
      </c>
      <c r="N50" s="54">
        <v>0</v>
      </c>
      <c r="O50" s="54">
        <v>30.08354949951172</v>
      </c>
      <c r="P50" s="54">
        <v>0.05000000074505806</v>
      </c>
      <c r="Q50" s="54">
        <v>0.15436922013759613</v>
      </c>
      <c r="R50" s="54">
        <v>0.00017483520787209272</v>
      </c>
      <c r="S50" s="54">
        <v>0</v>
      </c>
      <c r="T50" s="54">
        <v>0</v>
      </c>
      <c r="U50" s="71">
        <v>0</v>
      </c>
      <c r="V50" s="79">
        <v>0</v>
      </c>
      <c r="W50" s="80">
        <v>92.90726470947266</v>
      </c>
      <c r="X50" s="71">
        <v>17.03558921813965</v>
      </c>
      <c r="Y50" s="71">
        <v>30</v>
      </c>
      <c r="Z50" s="71">
        <v>78.79774475097656</v>
      </c>
      <c r="AA50" s="71">
        <v>19.56380271911621</v>
      </c>
      <c r="AB50" s="71">
        <v>48.540584564208984</v>
      </c>
      <c r="AC50" s="71">
        <v>30</v>
      </c>
      <c r="AD50" s="71">
        <v>80.53385925292969</v>
      </c>
      <c r="AE50" s="58">
        <v>15.24522590637207</v>
      </c>
      <c r="AF50" s="58">
        <v>18.01215362548828</v>
      </c>
      <c r="AG50" s="58"/>
      <c r="AH50" s="58">
        <v>0</v>
      </c>
      <c r="AI50" s="58">
        <v>0</v>
      </c>
      <c r="AJ50" s="58">
        <v>0</v>
      </c>
      <c r="AK50" s="58">
        <v>84.9428482055664</v>
      </c>
      <c r="AL50" s="59">
        <v>46.223960876464844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14">
        <v>0.83333333333333304</v>
      </c>
      <c r="C51" s="63">
        <v>0</v>
      </c>
      <c r="D51" s="63">
        <v>1.9090175555902533E-06</v>
      </c>
      <c r="E51" s="63">
        <v>36.0749397277832</v>
      </c>
      <c r="F51" s="63"/>
      <c r="G51" s="63"/>
      <c r="H51" s="63">
        <v>0</v>
      </c>
      <c r="I51" s="63">
        <v>0</v>
      </c>
      <c r="J51" s="63">
        <v>27.027271270751953</v>
      </c>
      <c r="K51" s="63">
        <v>40</v>
      </c>
      <c r="L51" s="63">
        <v>49.06322479248047</v>
      </c>
      <c r="M51" s="63">
        <v>0</v>
      </c>
      <c r="N51" s="63">
        <v>0</v>
      </c>
      <c r="O51" s="63">
        <v>29.857494354248047</v>
      </c>
      <c r="P51" s="63">
        <v>0.05000000074505806</v>
      </c>
      <c r="Q51" s="63">
        <v>0.20760995149612427</v>
      </c>
      <c r="R51" s="63">
        <v>0.0001590270985616371</v>
      </c>
      <c r="S51" s="63">
        <v>0</v>
      </c>
      <c r="T51" s="63">
        <v>0</v>
      </c>
      <c r="U51" s="74">
        <v>0</v>
      </c>
      <c r="V51" s="82">
        <v>0</v>
      </c>
      <c r="W51" s="83">
        <v>98.20963287353516</v>
      </c>
      <c r="X51" s="74">
        <v>16.431568145751953</v>
      </c>
      <c r="Y51" s="74">
        <v>30</v>
      </c>
      <c r="Z51" s="74">
        <v>78.4592056274414</v>
      </c>
      <c r="AA51" s="74">
        <v>19.27083396911621</v>
      </c>
      <c r="AB51" s="74">
        <v>46.636287689208984</v>
      </c>
      <c r="AC51" s="74">
        <v>30</v>
      </c>
      <c r="AD51" s="74">
        <v>80.24305725097656</v>
      </c>
      <c r="AE51" s="67">
        <v>15.064380645751953</v>
      </c>
      <c r="AF51" s="67">
        <v>17.789714813232422</v>
      </c>
      <c r="AG51" s="67"/>
      <c r="AH51" s="67">
        <v>0</v>
      </c>
      <c r="AI51" s="67">
        <v>0</v>
      </c>
      <c r="AJ51" s="67">
        <v>0</v>
      </c>
      <c r="AK51" s="67">
        <v>84.92838287353516</v>
      </c>
      <c r="AL51" s="68">
        <v>45.833335876464844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19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19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226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32" t="s">
        <v>227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</row>
    <row r="3" spans="2:47" ht="20.15" customHeight="1" x14ac:dyDescent="0.25">
      <c r="B3" s="136" t="s">
        <v>181</v>
      </c>
      <c r="C3" s="134" t="s">
        <v>163</v>
      </c>
      <c r="D3" s="146"/>
      <c r="E3" s="146"/>
      <c r="F3" s="146"/>
      <c r="G3" s="146"/>
      <c r="H3" s="147"/>
      <c r="I3" s="150" t="s">
        <v>8</v>
      </c>
      <c r="J3" s="146"/>
      <c r="K3" s="146"/>
      <c r="L3" s="146"/>
      <c r="M3" s="146"/>
      <c r="N3" s="146"/>
      <c r="O3" s="146"/>
      <c r="P3" s="151"/>
      <c r="Q3" s="134" t="s">
        <v>77</v>
      </c>
      <c r="R3" s="146"/>
      <c r="S3" s="151"/>
      <c r="T3" s="134" t="s">
        <v>10</v>
      </c>
      <c r="U3" s="146"/>
      <c r="V3" s="146"/>
      <c r="W3" s="151"/>
      <c r="X3" s="134" t="s">
        <v>80</v>
      </c>
      <c r="Y3" s="135"/>
      <c r="Z3" s="134" t="s">
        <v>11</v>
      </c>
      <c r="AA3" s="135"/>
      <c r="AB3" s="13" t="s">
        <v>13</v>
      </c>
      <c r="AC3" s="134" t="s">
        <v>14</v>
      </c>
      <c r="AD3" s="135"/>
      <c r="AE3" s="175" t="s">
        <v>88</v>
      </c>
      <c r="AF3" s="176"/>
      <c r="AG3" s="176"/>
      <c r="AH3" s="176"/>
      <c r="AI3" s="176"/>
      <c r="AJ3" s="176"/>
      <c r="AK3" s="177"/>
      <c r="AL3" s="134" t="s">
        <v>18</v>
      </c>
      <c r="AM3" s="142"/>
      <c r="AN3" s="143"/>
      <c r="AO3" s="142" t="s">
        <v>16</v>
      </c>
      <c r="AP3" s="142"/>
      <c r="AQ3" s="142"/>
      <c r="AR3" s="145"/>
    </row>
    <row r="4" spans="2:47" ht="30" customHeight="1" x14ac:dyDescent="0.25">
      <c r="B4" s="137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48" t="s">
        <v>62</v>
      </c>
      <c r="J4" s="149"/>
      <c r="K4" s="3" t="s">
        <v>6</v>
      </c>
      <c r="L4" s="3" t="s">
        <v>66</v>
      </c>
      <c r="M4" s="3" t="s">
        <v>164</v>
      </c>
      <c r="N4" s="3" t="s">
        <v>165</v>
      </c>
      <c r="O4" s="122" t="s">
        <v>7</v>
      </c>
      <c r="P4" s="126"/>
      <c r="Q4" s="139" t="s">
        <v>71</v>
      </c>
      <c r="R4" s="126"/>
      <c r="S4" s="3" t="s">
        <v>51</v>
      </c>
      <c r="T4" s="3" t="s">
        <v>75</v>
      </c>
      <c r="U4" s="139" t="s">
        <v>78</v>
      </c>
      <c r="V4" s="12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0" t="s">
        <v>89</v>
      </c>
      <c r="AF4" s="141"/>
      <c r="AG4" s="140" t="s">
        <v>92</v>
      </c>
      <c r="AH4" s="141"/>
      <c r="AI4" s="10" t="s">
        <v>166</v>
      </c>
      <c r="AJ4" s="10" t="s">
        <v>167</v>
      </c>
      <c r="AK4" s="11" t="s">
        <v>115</v>
      </c>
      <c r="AL4" s="139" t="s">
        <v>110</v>
      </c>
      <c r="AM4" s="126"/>
      <c r="AN4" s="29" t="s">
        <v>111</v>
      </c>
      <c r="AO4" s="26" t="s">
        <v>12</v>
      </c>
      <c r="AP4" s="3" t="s">
        <v>1</v>
      </c>
      <c r="AQ4" s="124" t="s">
        <v>161</v>
      </c>
      <c r="AR4" s="144"/>
      <c r="AU4" s="20"/>
    </row>
    <row r="5" spans="2:47" ht="20.15" customHeight="1" x14ac:dyDescent="0.25">
      <c r="B5" s="138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289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54">
        <v>7.700376033782959</v>
      </c>
      <c r="D6" s="54">
        <v>19.91645050048828</v>
      </c>
      <c r="E6" s="54">
        <v>420.9178161621094</v>
      </c>
      <c r="F6" s="54"/>
      <c r="G6" s="54"/>
      <c r="H6" s="55">
        <v>414.0601501464844</v>
      </c>
      <c r="I6" s="56">
        <v>25.394241333007812</v>
      </c>
      <c r="J6" s="54"/>
      <c r="K6" s="54">
        <v>45.54397964477539</v>
      </c>
      <c r="L6" s="54">
        <v>1.4155635833740234</v>
      </c>
      <c r="M6" s="54">
        <v>113.1564712524414</v>
      </c>
      <c r="N6" s="54">
        <v>113.09317016601562</v>
      </c>
      <c r="O6" s="54">
        <v>20.368335723876953</v>
      </c>
      <c r="P6" s="54"/>
      <c r="Q6" s="54"/>
      <c r="R6" s="54"/>
      <c r="S6" s="54">
        <v>139.706298828125</v>
      </c>
      <c r="T6" s="54">
        <v>1.6100000143051147</v>
      </c>
      <c r="U6" s="54">
        <v>0.2995612919330597</v>
      </c>
      <c r="V6" s="54"/>
      <c r="W6" s="54">
        <v>90.41522216796875</v>
      </c>
      <c r="X6" s="54">
        <v>0.5293356776237488</v>
      </c>
      <c r="Y6" s="54" t="s">
        <v>4</v>
      </c>
      <c r="Z6" s="54">
        <v>0.731134295463562</v>
      </c>
      <c r="AA6" s="54">
        <v>149.9059600830078</v>
      </c>
      <c r="AB6" s="54">
        <v>163.20167541503906</v>
      </c>
      <c r="AC6" s="54">
        <v>0.4860025942325592</v>
      </c>
      <c r="AD6" s="54">
        <v>155.6351318359375</v>
      </c>
      <c r="AE6" s="57">
        <v>33.84000015258789</v>
      </c>
      <c r="AF6" s="57"/>
      <c r="AG6" s="57"/>
      <c r="AH6" s="57">
        <v>12.800000190734863</v>
      </c>
      <c r="AI6" s="57"/>
      <c r="AJ6" s="57"/>
      <c r="AK6" s="57">
        <v>7.099999904632568</v>
      </c>
      <c r="AL6" s="54">
        <v>67.03197479248047</v>
      </c>
      <c r="AM6" s="58"/>
      <c r="AN6" s="59">
        <v>58.937355041503906</v>
      </c>
      <c r="AO6" s="60"/>
      <c r="AP6" s="61">
        <v>-81.45254516601562</v>
      </c>
      <c r="AQ6" s="61">
        <v>0.3064959645271301</v>
      </c>
      <c r="AR6" s="62"/>
    </row>
    <row r="7" spans="2:47" ht="13.5" customHeight="1" x14ac:dyDescent="0.25">
      <c r="B7" s="14">
        <v>0.875</v>
      </c>
      <c r="C7" s="54">
        <v>6.637008190155029</v>
      </c>
      <c r="D7" s="54">
        <v>20.27452278137207</v>
      </c>
      <c r="E7" s="54">
        <v>414.93743896484375</v>
      </c>
      <c r="F7" s="54">
        <v>0.2652656137943268</v>
      </c>
      <c r="G7" s="54">
        <v>0</v>
      </c>
      <c r="H7" s="55">
        <v>414.3814697265625</v>
      </c>
      <c r="I7" s="56">
        <v>29.166667938232422</v>
      </c>
      <c r="J7" s="54">
        <v>0.019618164747953415</v>
      </c>
      <c r="K7" s="54">
        <v>42.55642318725586</v>
      </c>
      <c r="L7" s="54">
        <v>1.3161892890930176</v>
      </c>
      <c r="M7" s="54">
        <v>108.06207275390625</v>
      </c>
      <c r="N7" s="54">
        <v>110.22858428955078</v>
      </c>
      <c r="O7" s="54">
        <v>20.294469833374023</v>
      </c>
      <c r="P7" s="54">
        <v>20.2744140625</v>
      </c>
      <c r="Q7" s="54"/>
      <c r="R7" s="54">
        <v>2.519287109375</v>
      </c>
      <c r="S7" s="54">
        <v>139.44589233398438</v>
      </c>
      <c r="T7" s="54">
        <v>1.6100000143051147</v>
      </c>
      <c r="U7" s="54">
        <v>0.30045318603515625</v>
      </c>
      <c r="V7" s="54">
        <v>0.3001640737056732</v>
      </c>
      <c r="W7" s="54">
        <v>90.4079818725586</v>
      </c>
      <c r="X7" s="54">
        <v>0.5276128649711609</v>
      </c>
      <c r="Y7" s="54" t="s">
        <v>82</v>
      </c>
      <c r="Z7" s="54">
        <v>0.7289931178092957</v>
      </c>
      <c r="AA7" s="54">
        <v>148.6328125</v>
      </c>
      <c r="AB7" s="54">
        <v>162.74594116210938</v>
      </c>
      <c r="AC7" s="54">
        <v>0.43406394124031067</v>
      </c>
      <c r="AD7" s="54">
        <v>155.21556091308594</v>
      </c>
      <c r="AE7" s="57"/>
      <c r="AF7" s="57"/>
      <c r="AG7" s="57"/>
      <c r="AH7" s="57"/>
      <c r="AI7" s="57"/>
      <c r="AJ7" s="57"/>
      <c r="AK7" s="57"/>
      <c r="AL7" s="54">
        <v>8.955439567565918</v>
      </c>
      <c r="AM7" s="58">
        <v>0.00783984363079071</v>
      </c>
      <c r="AN7" s="59">
        <v>56.93359375</v>
      </c>
      <c r="AO7" s="60"/>
      <c r="AP7" s="61">
        <v>-81.40914154052734</v>
      </c>
      <c r="AQ7" s="61">
        <v>0.27184605598449707</v>
      </c>
      <c r="AR7" s="62">
        <v>0.00029214477399364114</v>
      </c>
    </row>
    <row r="8" spans="2:47" ht="13.5" customHeight="1" x14ac:dyDescent="0.25">
      <c r="B8" s="41" t="s">
        <v>271</v>
      </c>
      <c r="C8" s="54">
        <v>7.4688944816589355</v>
      </c>
      <c r="D8" s="54">
        <v>20.046659469604492</v>
      </c>
      <c r="E8" s="54">
        <v>415.4233093261719</v>
      </c>
      <c r="F8" s="54">
        <v>0.33687499165534973</v>
      </c>
      <c r="G8" s="54">
        <v>0</v>
      </c>
      <c r="H8" s="55">
        <v>414.2621765136719</v>
      </c>
      <c r="I8" s="56">
        <v>25.90060806274414</v>
      </c>
      <c r="J8" s="54">
        <v>0.019763672724366188</v>
      </c>
      <c r="K8" s="54">
        <v>43.800636291503906</v>
      </c>
      <c r="L8" s="54">
        <v>1.3882559537887573</v>
      </c>
      <c r="M8" s="54">
        <v>109.3478775024414</v>
      </c>
      <c r="N8" s="54">
        <v>111.89958953857422</v>
      </c>
      <c r="O8" s="54">
        <v>20.042455673217773</v>
      </c>
      <c r="P8" s="54">
        <v>20.296875</v>
      </c>
      <c r="Q8" s="54"/>
      <c r="R8" s="54">
        <v>2.541015625</v>
      </c>
      <c r="S8" s="54">
        <v>139.67013549804688</v>
      </c>
      <c r="T8" s="54">
        <v>1.6100000143051147</v>
      </c>
      <c r="U8" s="54">
        <v>0.29569247364997864</v>
      </c>
      <c r="V8" s="54">
        <v>0.3003828227519989</v>
      </c>
      <c r="W8" s="54">
        <v>90.37181854248047</v>
      </c>
      <c r="X8" s="54">
        <v>0.5319185853004456</v>
      </c>
      <c r="Y8" s="54" t="s">
        <v>82</v>
      </c>
      <c r="Z8" s="54">
        <v>0.7426505088806152</v>
      </c>
      <c r="AA8" s="54">
        <v>149.78298950195312</v>
      </c>
      <c r="AB8" s="54">
        <v>162.753173828125</v>
      </c>
      <c r="AC8" s="54">
        <v>0.49377894401550293</v>
      </c>
      <c r="AD8" s="54">
        <v>155.16493225097656</v>
      </c>
      <c r="AE8" s="57"/>
      <c r="AF8" s="57"/>
      <c r="AG8" s="57"/>
      <c r="AH8" s="57"/>
      <c r="AI8" s="57"/>
      <c r="AJ8" s="57"/>
      <c r="AK8" s="57"/>
      <c r="AL8" s="54">
        <v>2.9803240299224854</v>
      </c>
      <c r="AM8" s="58">
        <v>0.005572753958404064</v>
      </c>
      <c r="AN8" s="59">
        <v>54.79600524902344</v>
      </c>
      <c r="AO8" s="60"/>
      <c r="AP8" s="61">
        <v>-79.78877258300781</v>
      </c>
      <c r="AQ8" s="61">
        <v>0.2977430522441864</v>
      </c>
      <c r="AR8" s="62">
        <v>0.0002924652071669698</v>
      </c>
    </row>
    <row r="9" spans="2:47" ht="13.5" customHeight="1" x14ac:dyDescent="0.25">
      <c r="B9" s="14">
        <v>0.95833333333333337</v>
      </c>
      <c r="C9" s="54">
        <v>6.304253578186035</v>
      </c>
      <c r="D9" s="54">
        <v>19.73198890686035</v>
      </c>
      <c r="E9" s="54">
        <v>415.2489318847656</v>
      </c>
      <c r="F9" s="54">
        <v>0.2652968764305115</v>
      </c>
      <c r="G9" s="54">
        <v>0</v>
      </c>
      <c r="H9" s="55">
        <v>414.36236572265625</v>
      </c>
      <c r="I9" s="56">
        <v>24.128328323364258</v>
      </c>
      <c r="J9" s="54">
        <v>0.01997949182987213</v>
      </c>
      <c r="K9" s="54">
        <v>41.24710464477539</v>
      </c>
      <c r="L9" s="54">
        <v>1.294035792350769</v>
      </c>
      <c r="M9" s="54">
        <v>108.94640350341797</v>
      </c>
      <c r="N9" s="54">
        <v>113.25231170654297</v>
      </c>
      <c r="O9" s="54">
        <v>20.23738670349121</v>
      </c>
      <c r="P9" s="54">
        <v>20.236328125</v>
      </c>
      <c r="Q9" s="54"/>
      <c r="R9" s="54">
        <v>2.51171875</v>
      </c>
      <c r="S9" s="54">
        <v>139.68460083007812</v>
      </c>
      <c r="T9" s="54">
        <v>1.6100000143051147</v>
      </c>
      <c r="U9" s="54">
        <v>0.301100492477417</v>
      </c>
      <c r="V9" s="54">
        <v>0.29960936307907104</v>
      </c>
      <c r="W9" s="54">
        <v>90.47309112548828</v>
      </c>
      <c r="X9" s="54">
        <v>0.5291373133659363</v>
      </c>
      <c r="Y9" s="54" t="s">
        <v>82</v>
      </c>
      <c r="Z9" s="54">
        <v>0.7257523536682129</v>
      </c>
      <c r="AA9" s="54">
        <v>148.81365966796875</v>
      </c>
      <c r="AB9" s="54">
        <v>162.7965850830078</v>
      </c>
      <c r="AC9" s="54">
        <v>0.45428240299224854</v>
      </c>
      <c r="AD9" s="54">
        <v>155.18663024902344</v>
      </c>
      <c r="AE9" s="57"/>
      <c r="AF9" s="57"/>
      <c r="AG9" s="57"/>
      <c r="AH9" s="57"/>
      <c r="AI9" s="57"/>
      <c r="AJ9" s="57"/>
      <c r="AK9" s="57"/>
      <c r="AL9" s="54">
        <v>3.653067111968994</v>
      </c>
      <c r="AM9" s="58">
        <v>0.007607910316437483</v>
      </c>
      <c r="AN9" s="59">
        <v>52.85011672973633</v>
      </c>
      <c r="AO9" s="60"/>
      <c r="AP9" s="61">
        <v>-80.82320404052734</v>
      </c>
      <c r="AQ9" s="61">
        <v>0.2934027910232544</v>
      </c>
      <c r="AR9" s="62">
        <v>0.0002911682240664959</v>
      </c>
    </row>
    <row r="10" spans="2:47" ht="13.5" customHeight="1" x14ac:dyDescent="0.25">
      <c r="B10" s="41" t="s">
        <v>272</v>
      </c>
      <c r="C10" s="54">
        <v>7.255497455596924</v>
      </c>
      <c r="D10" s="54">
        <v>19.39561653137207</v>
      </c>
      <c r="E10" s="54">
        <v>415.4781799316406</v>
      </c>
      <c r="F10" s="54">
        <v>0.3366093635559082</v>
      </c>
      <c r="G10" s="54">
        <v>0</v>
      </c>
      <c r="H10" s="55">
        <v>414.59075927734375</v>
      </c>
      <c r="I10" s="56">
        <v>23.216869354248047</v>
      </c>
      <c r="J10" s="54">
        <v>0.019997069612145424</v>
      </c>
      <c r="K10" s="54">
        <v>43.192996978759766</v>
      </c>
      <c r="L10" s="54">
        <v>1.4104094505310059</v>
      </c>
      <c r="M10" s="54">
        <v>107.6388931274414</v>
      </c>
      <c r="N10" s="54">
        <v>111.97916412353516</v>
      </c>
      <c r="O10" s="54">
        <v>20.313060760498047</v>
      </c>
      <c r="P10" s="54">
        <v>20.27734375</v>
      </c>
      <c r="Q10" s="54"/>
      <c r="R10" s="54">
        <v>2.5233154296875</v>
      </c>
      <c r="S10" s="54">
        <v>139.29397583007812</v>
      </c>
      <c r="T10" s="54">
        <v>1.6100000143051147</v>
      </c>
      <c r="U10" s="54">
        <v>0.3018086850643158</v>
      </c>
      <c r="V10" s="54">
        <v>0.30006250739097595</v>
      </c>
      <c r="W10" s="54">
        <v>90.54542541503906</v>
      </c>
      <c r="X10" s="54">
        <v>0.5301050543785095</v>
      </c>
      <c r="Y10" s="54" t="s">
        <v>82</v>
      </c>
      <c r="Z10" s="54">
        <v>0.7319445013999939</v>
      </c>
      <c r="AA10" s="54">
        <v>148.44473266601562</v>
      </c>
      <c r="AB10" s="54">
        <v>162.6012725830078</v>
      </c>
      <c r="AC10" s="54">
        <v>0.4525824785232544</v>
      </c>
      <c r="AD10" s="54">
        <v>154.8177032470703</v>
      </c>
      <c r="AE10" s="57"/>
      <c r="AF10" s="57"/>
      <c r="AG10" s="57"/>
      <c r="AH10" s="57"/>
      <c r="AI10" s="57"/>
      <c r="AJ10" s="57"/>
      <c r="AK10" s="57"/>
      <c r="AL10" s="54">
        <v>7.110821723937988</v>
      </c>
      <c r="AM10" s="58">
        <v>0.005541503895074129</v>
      </c>
      <c r="AN10" s="59">
        <v>50.85358810424805</v>
      </c>
      <c r="AO10" s="60"/>
      <c r="AP10" s="61">
        <v>-81.22830200195312</v>
      </c>
      <c r="AQ10" s="61">
        <v>0.28204572200775146</v>
      </c>
      <c r="AR10" s="62">
        <v>0.00029188537155278027</v>
      </c>
    </row>
    <row r="11" spans="2:47" ht="13.5" customHeight="1" x14ac:dyDescent="0.25">
      <c r="B11" s="14">
        <v>4.1666666666666664E-2</v>
      </c>
      <c r="C11" s="54">
        <v>6.322337627410889</v>
      </c>
      <c r="D11" s="54">
        <v>19.23828125</v>
      </c>
      <c r="E11" s="54">
        <v>415.2349548339844</v>
      </c>
      <c r="F11" s="54">
        <v>0.2670312523841858</v>
      </c>
      <c r="G11" s="54">
        <v>0</v>
      </c>
      <c r="H11" s="55">
        <v>414.57550048828125</v>
      </c>
      <c r="I11" s="56">
        <v>1.291232705116272</v>
      </c>
      <c r="J11" s="54">
        <v>0.01973535120487213</v>
      </c>
      <c r="K11" s="54">
        <v>45.732059478759766</v>
      </c>
      <c r="L11" s="54">
        <v>1.4416956901550293</v>
      </c>
      <c r="M11" s="54">
        <v>105.84852600097656</v>
      </c>
      <c r="N11" s="54">
        <v>108.21759033203125</v>
      </c>
      <c r="O11" s="54">
        <v>20.219236373901367</v>
      </c>
      <c r="P11" s="54">
        <v>20.2548828125</v>
      </c>
      <c r="Q11" s="54"/>
      <c r="R11" s="54">
        <v>2.58349609375</v>
      </c>
      <c r="S11" s="54">
        <v>139.36631774902344</v>
      </c>
      <c r="T11" s="54">
        <v>1.6100000143051147</v>
      </c>
      <c r="U11" s="54">
        <v>0.30138322710990906</v>
      </c>
      <c r="V11" s="54">
        <v>0.29978126287460327</v>
      </c>
      <c r="W11" s="54">
        <v>90.19820404052734</v>
      </c>
      <c r="X11" s="54">
        <v>0.5306862592697144</v>
      </c>
      <c r="Y11" s="54" t="s">
        <v>82</v>
      </c>
      <c r="Z11" s="54">
        <v>0.7339120507240295</v>
      </c>
      <c r="AA11" s="54">
        <v>148.0758056640625</v>
      </c>
      <c r="AB11" s="54">
        <v>162.49276733398438</v>
      </c>
      <c r="AC11" s="54">
        <v>0.38396990299224854</v>
      </c>
      <c r="AD11" s="54">
        <v>154.89727783203125</v>
      </c>
      <c r="AE11" s="57"/>
      <c r="AF11" s="57"/>
      <c r="AG11" s="57"/>
      <c r="AH11" s="57"/>
      <c r="AI11" s="57"/>
      <c r="AJ11" s="57"/>
      <c r="AK11" s="57"/>
      <c r="AL11" s="54">
        <v>3.6494500637054443</v>
      </c>
      <c r="AM11" s="58">
        <v>0.0036904297303408384</v>
      </c>
      <c r="AN11" s="59">
        <v>48.77387237548828</v>
      </c>
      <c r="AO11" s="60"/>
      <c r="AP11" s="61">
        <v>-81.29340362548828</v>
      </c>
      <c r="AQ11" s="61">
        <v>0.2936197817325592</v>
      </c>
      <c r="AR11" s="62">
        <v>0.0002933196956291795</v>
      </c>
    </row>
    <row r="12" spans="2:47" ht="13.5" customHeight="1" x14ac:dyDescent="0.25">
      <c r="B12" s="41" t="s">
        <v>273</v>
      </c>
      <c r="C12" s="54">
        <v>7.306134223937988</v>
      </c>
      <c r="D12" s="54">
        <v>19.11349868774414</v>
      </c>
      <c r="E12" s="54">
        <v>415.6434326171875</v>
      </c>
      <c r="F12" s="54">
        <v>0.3365468680858612</v>
      </c>
      <c r="G12" s="54">
        <v>0</v>
      </c>
      <c r="H12" s="55">
        <v>414.5766906738281</v>
      </c>
      <c r="I12" s="56">
        <v>21.875</v>
      </c>
      <c r="J12" s="54">
        <v>0.020308593288064003</v>
      </c>
      <c r="K12" s="54">
        <v>46.17332077026367</v>
      </c>
      <c r="L12" s="54">
        <v>1.4756040573120117</v>
      </c>
      <c r="M12" s="54">
        <v>107.53038787841797</v>
      </c>
      <c r="N12" s="54">
        <v>108.15972137451172</v>
      </c>
      <c r="O12" s="54">
        <v>20.326719284057617</v>
      </c>
      <c r="P12" s="54">
        <v>20.2626953125</v>
      </c>
      <c r="Q12" s="54"/>
      <c r="R12" s="54">
        <v>2.6317138671875</v>
      </c>
      <c r="S12" s="54">
        <v>139.5543975830078</v>
      </c>
      <c r="T12" s="54">
        <v>1.6100000143051147</v>
      </c>
      <c r="U12" s="54">
        <v>0.298974871635437</v>
      </c>
      <c r="V12" s="54">
        <v>0.29990625381469727</v>
      </c>
      <c r="W12" s="54">
        <v>90.53819274902344</v>
      </c>
      <c r="X12" s="54">
        <v>0.5300840735435486</v>
      </c>
      <c r="Y12" s="54" t="s">
        <v>82</v>
      </c>
      <c r="Z12" s="54">
        <v>0.7280092835426331</v>
      </c>
      <c r="AA12" s="54">
        <v>148.7919464111328</v>
      </c>
      <c r="AB12" s="54">
        <v>162.5</v>
      </c>
      <c r="AC12" s="54">
        <v>0.43373844027519226</v>
      </c>
      <c r="AD12" s="54">
        <v>154.80323791503906</v>
      </c>
      <c r="AE12" s="57"/>
      <c r="AF12" s="57"/>
      <c r="AG12" s="57"/>
      <c r="AH12" s="57"/>
      <c r="AI12" s="57"/>
      <c r="AJ12" s="57"/>
      <c r="AK12" s="57"/>
      <c r="AL12" s="54">
        <v>2.188223361968994</v>
      </c>
      <c r="AM12" s="58">
        <v>0.0033115234691649675</v>
      </c>
      <c r="AN12" s="59">
        <v>48.68706512451172</v>
      </c>
      <c r="AO12" s="60"/>
      <c r="AP12" s="61">
        <v>-79.76707458496094</v>
      </c>
      <c r="AQ12" s="61">
        <v>0.28161168098449707</v>
      </c>
      <c r="AR12" s="62">
        <v>0.0002950286725535989</v>
      </c>
    </row>
    <row r="13" spans="2:47" ht="13.5" customHeight="1" x14ac:dyDescent="0.25">
      <c r="B13" s="14">
        <v>0.125</v>
      </c>
      <c r="C13" s="54">
        <v>6.33680534362793</v>
      </c>
      <c r="D13" s="54">
        <v>18.91818618774414</v>
      </c>
      <c r="E13" s="54">
        <v>416.92291259765625</v>
      </c>
      <c r="F13" s="54">
        <v>0.26298436522483826</v>
      </c>
      <c r="G13" s="54">
        <v>0</v>
      </c>
      <c r="H13" s="55">
        <v>415.0487976074219</v>
      </c>
      <c r="I13" s="56">
        <v>20.178674697875977</v>
      </c>
      <c r="J13" s="54">
        <v>0.020781250670552254</v>
      </c>
      <c r="K13" s="54">
        <v>46.260128021240234</v>
      </c>
      <c r="L13" s="54">
        <v>1.4986618757247925</v>
      </c>
      <c r="M13" s="54">
        <v>109.37500762939453</v>
      </c>
      <c r="N13" s="54">
        <v>112.05150604248047</v>
      </c>
      <c r="O13" s="54">
        <v>20.298828125</v>
      </c>
      <c r="P13" s="54">
        <v>20.265625</v>
      </c>
      <c r="Q13" s="54"/>
      <c r="R13" s="54">
        <v>2.546875</v>
      </c>
      <c r="S13" s="54">
        <v>139.6773681640625</v>
      </c>
      <c r="T13" s="54">
        <v>1.6100000143051147</v>
      </c>
      <c r="U13" s="54">
        <v>0.2982701361179352</v>
      </c>
      <c r="V13" s="54">
        <v>0.30000001192092896</v>
      </c>
      <c r="W13" s="54">
        <v>90.85648345947266</v>
      </c>
      <c r="X13" s="54">
        <v>0.5294309258460999</v>
      </c>
      <c r="Y13" s="54" t="s">
        <v>82</v>
      </c>
      <c r="Z13" s="54">
        <v>0.7567129731178284</v>
      </c>
      <c r="AA13" s="54">
        <v>150.49913024902344</v>
      </c>
      <c r="AB13" s="54">
        <v>162.93402099609375</v>
      </c>
      <c r="AC13" s="54">
        <v>0.56640625</v>
      </c>
      <c r="AD13" s="54">
        <v>155.48321533203125</v>
      </c>
      <c r="AE13" s="57"/>
      <c r="AF13" s="57"/>
      <c r="AG13" s="57"/>
      <c r="AH13" s="57"/>
      <c r="AI13" s="57"/>
      <c r="AJ13" s="57"/>
      <c r="AK13" s="57"/>
      <c r="AL13" s="54">
        <v>0</v>
      </c>
      <c r="AM13" s="58">
        <v>0.005730957258492708</v>
      </c>
      <c r="AN13" s="59">
        <v>61.72236633300781</v>
      </c>
      <c r="AO13" s="60"/>
      <c r="AP13" s="61">
        <v>-80.25897216796875</v>
      </c>
      <c r="AQ13" s="61">
        <v>0.3142361044883728</v>
      </c>
      <c r="AR13" s="62">
        <v>0.0002926788292825222</v>
      </c>
    </row>
    <row r="14" spans="2:47" ht="13.5" customHeight="1" x14ac:dyDescent="0.25">
      <c r="B14" s="14">
        <v>0.16666666666666666</v>
      </c>
      <c r="C14" s="54">
        <v>7.186776638031006</v>
      </c>
      <c r="D14" s="54">
        <v>18.82052993774414</v>
      </c>
      <c r="E14" s="54">
        <v>417.478271484375</v>
      </c>
      <c r="F14" s="54">
        <v>0.33614063262939453</v>
      </c>
      <c r="G14" s="54">
        <v>0</v>
      </c>
      <c r="H14" s="55">
        <v>415.5874938964844</v>
      </c>
      <c r="I14" s="56">
        <v>20.35590362548828</v>
      </c>
      <c r="J14" s="54">
        <v>0.019991211593151093</v>
      </c>
      <c r="K14" s="54">
        <v>46.469905853271484</v>
      </c>
      <c r="L14" s="54">
        <v>1.481300711631775</v>
      </c>
      <c r="M14" s="54">
        <v>110.2756118774414</v>
      </c>
      <c r="N14" s="54">
        <v>112.90509033203125</v>
      </c>
      <c r="O14" s="54">
        <v>20.667102813720703</v>
      </c>
      <c r="P14" s="54">
        <v>20.28125</v>
      </c>
      <c r="Q14" s="54"/>
      <c r="R14" s="54">
        <v>2.5333251953125</v>
      </c>
      <c r="S14" s="54">
        <v>139.2216339111328</v>
      </c>
      <c r="T14" s="54">
        <v>1.6100000143051147</v>
      </c>
      <c r="U14" s="54">
        <v>0.3047833740711212</v>
      </c>
      <c r="V14" s="54">
        <v>0.30021876096725464</v>
      </c>
      <c r="W14" s="54">
        <v>90.6032943725586</v>
      </c>
      <c r="X14" s="54">
        <v>0.5276797413825989</v>
      </c>
      <c r="Y14" s="54" t="s">
        <v>82</v>
      </c>
      <c r="Z14" s="54">
        <v>0.7446759343147278</v>
      </c>
      <c r="AA14" s="54">
        <v>149.45745849609375</v>
      </c>
      <c r="AB14" s="54">
        <v>162.67361450195312</v>
      </c>
      <c r="AC14" s="54">
        <v>0.5222077369689941</v>
      </c>
      <c r="AD14" s="54">
        <v>154.6585693359375</v>
      </c>
      <c r="AE14" s="57"/>
      <c r="AF14" s="57"/>
      <c r="AG14" s="57"/>
      <c r="AH14" s="57"/>
      <c r="AI14" s="57"/>
      <c r="AJ14" s="57"/>
      <c r="AK14" s="57"/>
      <c r="AL14" s="54">
        <v>5.121527671813965</v>
      </c>
      <c r="AM14" s="58">
        <v>0.007661132607609034</v>
      </c>
      <c r="AN14" s="59">
        <v>59.58477783203125</v>
      </c>
      <c r="AO14" s="60"/>
      <c r="AP14" s="61">
        <v>-79.95515441894531</v>
      </c>
      <c r="AQ14" s="61">
        <v>0.2877604067325592</v>
      </c>
      <c r="AR14" s="62">
        <v>0.0002923126157838851</v>
      </c>
    </row>
    <row r="15" spans="2:47" ht="13.5" customHeight="1" x14ac:dyDescent="0.25">
      <c r="B15" s="14">
        <v>0.20833333333333334</v>
      </c>
      <c r="C15" s="54">
        <v>6.108941078186035</v>
      </c>
      <c r="D15" s="54">
        <v>18.592666625976562</v>
      </c>
      <c r="E15" s="54">
        <v>417.2449645996094</v>
      </c>
      <c r="F15" s="54">
        <v>0.26417186856269836</v>
      </c>
      <c r="G15" s="54">
        <v>0</v>
      </c>
      <c r="H15" s="55">
        <v>415.94561767578125</v>
      </c>
      <c r="I15" s="56">
        <v>23.419416427612305</v>
      </c>
      <c r="J15" s="54">
        <v>0.020162109285593033</v>
      </c>
      <c r="K15" s="54">
        <v>44.78443145751953</v>
      </c>
      <c r="L15" s="54">
        <v>1.4213505983352661</v>
      </c>
      <c r="M15" s="54">
        <v>109.76563262939453</v>
      </c>
      <c r="N15" s="54">
        <v>111.98639678955078</v>
      </c>
      <c r="O15" s="54">
        <v>20.393909454345703</v>
      </c>
      <c r="P15" s="54">
        <v>20.28125</v>
      </c>
      <c r="Q15" s="54"/>
      <c r="R15" s="54">
        <v>2.4698486328125</v>
      </c>
      <c r="S15" s="54">
        <v>139.48928833007812</v>
      </c>
      <c r="T15" s="54">
        <v>1.6100000143051147</v>
      </c>
      <c r="U15" s="54">
        <v>0.3007402718067169</v>
      </c>
      <c r="V15" s="54">
        <v>0.3002343773841858</v>
      </c>
      <c r="W15" s="54">
        <v>90.38628387451172</v>
      </c>
      <c r="X15" s="54">
        <v>0.5295190811157227</v>
      </c>
      <c r="Y15" s="54" t="s">
        <v>82</v>
      </c>
      <c r="Z15" s="54">
        <v>0.7267361283302307</v>
      </c>
      <c r="AA15" s="54">
        <v>149.49363708496094</v>
      </c>
      <c r="AB15" s="54">
        <v>162.5</v>
      </c>
      <c r="AC15" s="54">
        <v>0.46661603450775146</v>
      </c>
      <c r="AD15" s="54">
        <v>154.50665283203125</v>
      </c>
      <c r="AE15" s="57"/>
      <c r="AF15" s="57"/>
      <c r="AG15" s="57"/>
      <c r="AH15" s="57"/>
      <c r="AI15" s="57"/>
      <c r="AJ15" s="57"/>
      <c r="AK15" s="57"/>
      <c r="AL15" s="54">
        <v>0</v>
      </c>
      <c r="AM15" s="58">
        <v>0.007518554572016001</v>
      </c>
      <c r="AN15" s="59">
        <v>58.96267318725586</v>
      </c>
      <c r="AO15" s="60"/>
      <c r="AP15" s="61">
        <v>-79.61515808105469</v>
      </c>
      <c r="AQ15" s="61">
        <v>0.3020833432674408</v>
      </c>
      <c r="AR15" s="62">
        <v>0.00029283142066560686</v>
      </c>
    </row>
    <row r="16" spans="2:47" ht="13.5" customHeight="1" x14ac:dyDescent="0.25">
      <c r="B16" s="14">
        <v>0.25</v>
      </c>
      <c r="C16" s="54">
        <v>7.103587627410889</v>
      </c>
      <c r="D16" s="54">
        <v>18.5546875</v>
      </c>
      <c r="E16" s="54">
        <v>417.36309814453125</v>
      </c>
      <c r="F16" s="54">
        <v>0.33592188358306885</v>
      </c>
      <c r="G16" s="54">
        <v>0</v>
      </c>
      <c r="H16" s="55">
        <v>416.43853759765625</v>
      </c>
      <c r="I16" s="56">
        <v>21.140769958496094</v>
      </c>
      <c r="J16" s="54">
        <v>0.02033984288573265</v>
      </c>
      <c r="K16" s="54">
        <v>45.6452522277832</v>
      </c>
      <c r="L16" s="54">
        <v>1.4563441276550293</v>
      </c>
      <c r="M16" s="54">
        <v>110.76931762695312</v>
      </c>
      <c r="N16" s="54">
        <v>112.9412612915039</v>
      </c>
      <c r="O16" s="54">
        <v>20.182010650634766</v>
      </c>
      <c r="P16" s="54">
        <v>20.265625</v>
      </c>
      <c r="Q16" s="54"/>
      <c r="R16" s="54">
        <v>2.5604248046875</v>
      </c>
      <c r="S16" s="54">
        <v>139.3229217529297</v>
      </c>
      <c r="T16" s="54">
        <v>1.6100000143051147</v>
      </c>
      <c r="U16" s="54">
        <v>0.30106842517852783</v>
      </c>
      <c r="V16" s="54">
        <v>0.2999218702316284</v>
      </c>
      <c r="W16" s="54">
        <v>90.61053466796875</v>
      </c>
      <c r="X16" s="54">
        <v>0.5298922061920166</v>
      </c>
      <c r="Y16" s="54" t="s">
        <v>82</v>
      </c>
      <c r="Z16" s="54">
        <v>0.7289931178092957</v>
      </c>
      <c r="AA16" s="54">
        <v>149.9710693359375</v>
      </c>
      <c r="AB16" s="54">
        <v>162.7965850830078</v>
      </c>
      <c r="AC16" s="54">
        <v>0.5122974514961243</v>
      </c>
      <c r="AD16" s="54">
        <v>154.73089599609375</v>
      </c>
      <c r="AE16" s="57"/>
      <c r="AF16" s="57"/>
      <c r="AG16" s="57"/>
      <c r="AH16" s="57"/>
      <c r="AI16" s="57"/>
      <c r="AJ16" s="57"/>
      <c r="AK16" s="57"/>
      <c r="AL16" s="54">
        <v>0</v>
      </c>
      <c r="AM16" s="58">
        <v>0.005482910200953484</v>
      </c>
      <c r="AN16" s="59">
        <v>57.04571533203125</v>
      </c>
      <c r="AO16" s="60"/>
      <c r="AP16" s="61">
        <v>-79.6875</v>
      </c>
      <c r="AQ16" s="61">
        <v>0.291015625</v>
      </c>
      <c r="AR16" s="62">
        <v>0.000292572018224746</v>
      </c>
    </row>
    <row r="17" spans="2:44" ht="13.5" customHeight="1" x14ac:dyDescent="0.25">
      <c r="B17" s="14">
        <v>0.29166666666666669</v>
      </c>
      <c r="C17" s="54">
        <v>6.998697757720947</v>
      </c>
      <c r="D17" s="54">
        <v>18.37022590637207</v>
      </c>
      <c r="E17" s="54">
        <v>416.9501953125</v>
      </c>
      <c r="F17" s="54">
        <v>0.3000781238079071</v>
      </c>
      <c r="G17" s="54">
        <v>0</v>
      </c>
      <c r="H17" s="55">
        <v>416.9217529296875</v>
      </c>
      <c r="I17" s="56">
        <v>25.774017333984375</v>
      </c>
      <c r="J17" s="54">
        <v>0.020021485164761543</v>
      </c>
      <c r="K17" s="54">
        <v>42.1875</v>
      </c>
      <c r="L17" s="54">
        <v>1.316098928451538</v>
      </c>
      <c r="M17" s="54">
        <v>108.52322387695312</v>
      </c>
      <c r="N17" s="54">
        <v>112.04426574707031</v>
      </c>
      <c r="O17" s="54">
        <v>20.413148880004883</v>
      </c>
      <c r="P17" s="54">
        <v>20.2578125</v>
      </c>
      <c r="Q17" s="54"/>
      <c r="R17" s="54">
        <v>2.5106201171875</v>
      </c>
      <c r="S17" s="54">
        <v>139.50375366210938</v>
      </c>
      <c r="T17" s="54">
        <v>1.6100000143051147</v>
      </c>
      <c r="U17" s="54">
        <v>0.30237334966659546</v>
      </c>
      <c r="V17" s="54">
        <v>0.2999531328678131</v>
      </c>
      <c r="W17" s="54">
        <v>90.6032943725586</v>
      </c>
      <c r="X17" s="54">
        <v>0.5289514660835266</v>
      </c>
      <c r="Y17" s="54" t="s">
        <v>82</v>
      </c>
      <c r="Z17" s="54">
        <v>0.726446807384491</v>
      </c>
      <c r="AA17" s="54">
        <v>149.4429931640625</v>
      </c>
      <c r="AB17" s="54">
        <v>162.6591339111328</v>
      </c>
      <c r="AC17" s="54">
        <v>0.5153717994689941</v>
      </c>
      <c r="AD17" s="54">
        <v>154.60792541503906</v>
      </c>
      <c r="AE17" s="57"/>
      <c r="AF17" s="57"/>
      <c r="AG17" s="57"/>
      <c r="AH17" s="57"/>
      <c r="AI17" s="57"/>
      <c r="AJ17" s="57"/>
      <c r="AK17" s="57"/>
      <c r="AL17" s="54">
        <v>0</v>
      </c>
      <c r="AM17" s="58">
        <v>0.006479003932327032</v>
      </c>
      <c r="AN17" s="59">
        <v>53.80135726928711</v>
      </c>
      <c r="AO17" s="60"/>
      <c r="AP17" s="61">
        <v>-79.55005645751953</v>
      </c>
      <c r="AQ17" s="61">
        <v>0.2957899272441864</v>
      </c>
      <c r="AR17" s="62">
        <v>0.00029310607351362705</v>
      </c>
    </row>
    <row r="18" spans="2:44" ht="13.5" customHeight="1" x14ac:dyDescent="0.25">
      <c r="B18" s="42">
        <v>0.33333333333333331</v>
      </c>
      <c r="C18" s="63">
        <v>6.846787929534912</v>
      </c>
      <c r="D18" s="63">
        <v>18.64691925048828</v>
      </c>
      <c r="E18" s="63">
        <v>415.8802185058594</v>
      </c>
      <c r="F18" s="63">
        <v>0.2955937385559082</v>
      </c>
      <c r="G18" s="63">
        <v>0</v>
      </c>
      <c r="H18" s="64">
        <v>417.267333984375</v>
      </c>
      <c r="I18" s="65">
        <v>0</v>
      </c>
      <c r="J18" s="63">
        <v>0.019752928987145424</v>
      </c>
      <c r="K18" s="63">
        <v>43.09895706176758</v>
      </c>
      <c r="L18" s="63">
        <v>1.356788992881775</v>
      </c>
      <c r="M18" s="63">
        <v>108.58833312988281</v>
      </c>
      <c r="N18" s="63">
        <v>112.05150604248047</v>
      </c>
      <c r="O18" s="63">
        <v>20.61465835571289</v>
      </c>
      <c r="P18" s="63">
        <v>20.2685546875</v>
      </c>
      <c r="Q18" s="63"/>
      <c r="R18" s="63">
        <v>2.5953369140625</v>
      </c>
      <c r="S18" s="63">
        <v>139.17100524902344</v>
      </c>
      <c r="T18" s="63">
        <v>1.6100000143051147</v>
      </c>
      <c r="U18" s="63">
        <v>0.30354827642440796</v>
      </c>
      <c r="V18" s="63">
        <v>0.30000001192092896</v>
      </c>
      <c r="W18" s="63">
        <v>90.6756362915039</v>
      </c>
      <c r="X18" s="63">
        <v>0.5276343822479248</v>
      </c>
      <c r="Y18" s="63">
        <v>0.527836799621582</v>
      </c>
      <c r="Z18" s="63">
        <v>0.7285879850387573</v>
      </c>
      <c r="AA18" s="63">
        <v>148.8932342529297</v>
      </c>
      <c r="AB18" s="63">
        <v>162.83998107910156</v>
      </c>
      <c r="AC18" s="63">
        <v>0.4549334645271301</v>
      </c>
      <c r="AD18" s="63">
        <v>154.33303833007812</v>
      </c>
      <c r="AE18" s="66">
        <v>34.40999984741211</v>
      </c>
      <c r="AF18" s="66"/>
      <c r="AG18" s="66"/>
      <c r="AH18" s="66">
        <v>8.6899995803833</v>
      </c>
      <c r="AI18" s="66">
        <v>16.56999969482422</v>
      </c>
      <c r="AJ18" s="66">
        <v>11.289999961853027</v>
      </c>
      <c r="AK18" s="66">
        <v>6.960000038146973</v>
      </c>
      <c r="AL18" s="63">
        <v>7.881220817565918</v>
      </c>
      <c r="AM18" s="67">
        <v>0.004384765401482582</v>
      </c>
      <c r="AN18" s="68">
        <v>52.607784271240234</v>
      </c>
      <c r="AO18" s="60"/>
      <c r="AP18" s="61">
        <v>-79.36921691894531</v>
      </c>
      <c r="AQ18" s="61">
        <v>0.29181134700775146</v>
      </c>
      <c r="AR18" s="69">
        <v>0.0002928924513980746</v>
      </c>
    </row>
    <row r="19" spans="2:44" ht="18" customHeight="1" x14ac:dyDescent="0.25">
      <c r="B19" s="152" t="s">
        <v>181</v>
      </c>
      <c r="C19" s="36" t="s">
        <v>168</v>
      </c>
      <c r="D19" s="36" t="s">
        <v>171</v>
      </c>
      <c r="E19" s="111" t="s">
        <v>17</v>
      </c>
      <c r="F19" s="166"/>
      <c r="G19" s="167"/>
      <c r="H19" s="168" t="s">
        <v>108</v>
      </c>
      <c r="I19" s="166"/>
      <c r="J19" s="166"/>
      <c r="K19" s="166"/>
      <c r="L19" s="131"/>
      <c r="M19" s="169" t="s">
        <v>123</v>
      </c>
      <c r="N19" s="166"/>
      <c r="O19" s="166"/>
      <c r="P19" s="166"/>
      <c r="Q19" s="167"/>
      <c r="R19" s="168" t="s">
        <v>147</v>
      </c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7"/>
      <c r="AG19" s="130" t="s">
        <v>24</v>
      </c>
      <c r="AH19" s="167"/>
      <c r="AI19" s="178" t="s">
        <v>173</v>
      </c>
      <c r="AJ19" s="179"/>
      <c r="AK19" s="179"/>
      <c r="AL19" s="179"/>
      <c r="AM19" s="180"/>
      <c r="AN19" s="130" t="s">
        <v>47</v>
      </c>
      <c r="AO19" s="170"/>
      <c r="AP19" s="166" t="s">
        <v>180</v>
      </c>
      <c r="AQ19" s="171"/>
      <c r="AR19" s="172"/>
    </row>
    <row r="20" spans="2:44" ht="20.15" customHeight="1" x14ac:dyDescent="0.25">
      <c r="B20" s="153"/>
      <c r="C20" s="3" t="s">
        <v>169</v>
      </c>
      <c r="D20" s="3" t="s">
        <v>113</v>
      </c>
      <c r="E20" s="3" t="s">
        <v>15</v>
      </c>
      <c r="F20" s="122" t="s">
        <v>100</v>
      </c>
      <c r="G20" s="126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24" t="s">
        <v>148</v>
      </c>
      <c r="AE20" s="126"/>
      <c r="AF20" s="17" t="s">
        <v>151</v>
      </c>
      <c r="AG20" s="17" t="s">
        <v>153</v>
      </c>
      <c r="AH20" s="17" t="s">
        <v>155</v>
      </c>
      <c r="AI20" s="140" t="s">
        <v>89</v>
      </c>
      <c r="AJ20" s="141"/>
      <c r="AK20" s="140" t="s">
        <v>92</v>
      </c>
      <c r="AL20" s="141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53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54">
        <v>-81.45254516601562</v>
      </c>
      <c r="D22" s="54">
        <v>-81.0546875</v>
      </c>
      <c r="E22" s="54">
        <v>103.13223266601562</v>
      </c>
      <c r="F22" s="54">
        <v>0.08022280037403107</v>
      </c>
      <c r="G22" s="54"/>
      <c r="H22" s="54"/>
      <c r="I22" s="54"/>
      <c r="J22" s="54"/>
      <c r="K22" s="54"/>
      <c r="L22" s="55"/>
      <c r="M22" s="70">
        <v>26.468460083007812</v>
      </c>
      <c r="N22" s="54">
        <v>48.12282943725586</v>
      </c>
      <c r="O22" s="54">
        <v>39.5</v>
      </c>
      <c r="P22" s="54">
        <v>22</v>
      </c>
      <c r="Q22" s="54">
        <v>3.491753578186035</v>
      </c>
      <c r="R22" s="54">
        <v>19.741029739379883</v>
      </c>
      <c r="S22" s="71">
        <v>93.78254699707031</v>
      </c>
      <c r="T22" s="71">
        <v>12</v>
      </c>
      <c r="U22" s="71">
        <v>0</v>
      </c>
      <c r="V22" s="71">
        <v>19.27083396911621</v>
      </c>
      <c r="W22" s="71">
        <v>46.636287689208984</v>
      </c>
      <c r="X22" s="71">
        <v>28</v>
      </c>
      <c r="Y22" s="71">
        <v>75.24070739746094</v>
      </c>
      <c r="Z22" s="71">
        <v>15.064380645751953</v>
      </c>
      <c r="AA22" s="71">
        <v>17.789714813232422</v>
      </c>
      <c r="AB22" s="71"/>
      <c r="AC22" s="58"/>
      <c r="AD22" s="58">
        <v>0</v>
      </c>
      <c r="AE22" s="58"/>
      <c r="AF22" s="58">
        <v>50.23147964477539</v>
      </c>
      <c r="AG22" s="58">
        <v>19.71571159362793</v>
      </c>
      <c r="AH22" s="58"/>
      <c r="AI22" s="72"/>
      <c r="AJ22" s="72"/>
      <c r="AK22" s="72"/>
      <c r="AL22" s="72"/>
      <c r="AM22" s="72"/>
      <c r="AN22" s="58">
        <v>46.0358772277832</v>
      </c>
      <c r="AO22" s="59">
        <v>50</v>
      </c>
      <c r="AP22" s="60">
        <v>26.69270896911621</v>
      </c>
      <c r="AQ22" s="61">
        <v>39.905235290527344</v>
      </c>
      <c r="AR22" s="62">
        <v>0.075958251953125</v>
      </c>
    </row>
    <row r="23" spans="2:44" ht="13.5" customHeight="1" x14ac:dyDescent="0.25">
      <c r="B23" s="14">
        <v>0.875</v>
      </c>
      <c r="C23" s="54">
        <v>-81.40914154052734</v>
      </c>
      <c r="D23" s="54">
        <v>-81.1993637084961</v>
      </c>
      <c r="E23" s="54">
        <v>103.12861633300781</v>
      </c>
      <c r="F23" s="54">
        <v>0.0509982630610466</v>
      </c>
      <c r="G23" s="54">
        <v>7.678604015382007E-05</v>
      </c>
      <c r="H23" s="54"/>
      <c r="I23" s="54"/>
      <c r="J23" s="54"/>
      <c r="K23" s="54"/>
      <c r="L23" s="55"/>
      <c r="M23" s="70">
        <v>26.652921676635742</v>
      </c>
      <c r="N23" s="54">
        <v>48.3289909362793</v>
      </c>
      <c r="O23" s="54">
        <v>39.5</v>
      </c>
      <c r="P23" s="54">
        <v>22</v>
      </c>
      <c r="Q23" s="54">
        <v>3.401475667953491</v>
      </c>
      <c r="R23" s="54">
        <v>19.571035385131836</v>
      </c>
      <c r="S23" s="71">
        <v>95.5584487915039</v>
      </c>
      <c r="T23" s="71">
        <v>12</v>
      </c>
      <c r="U23" s="71">
        <v>0</v>
      </c>
      <c r="V23" s="71">
        <v>16.13498306274414</v>
      </c>
      <c r="W23" s="71">
        <v>56.759986877441406</v>
      </c>
      <c r="X23" s="71">
        <v>28</v>
      </c>
      <c r="Y23" s="71">
        <v>75.95269012451172</v>
      </c>
      <c r="Z23" s="71">
        <v>15.968605041503906</v>
      </c>
      <c r="AA23" s="71">
        <v>18.836807250976562</v>
      </c>
      <c r="AB23" s="71"/>
      <c r="AC23" s="58"/>
      <c r="AD23" s="58">
        <v>1.5483940839767456</v>
      </c>
      <c r="AE23" s="58">
        <v>0.0013370361411944032</v>
      </c>
      <c r="AF23" s="58">
        <v>50.354454040527344</v>
      </c>
      <c r="AG23" s="58">
        <v>29.15943145751953</v>
      </c>
      <c r="AH23" s="58"/>
      <c r="AI23" s="72"/>
      <c r="AJ23" s="72"/>
      <c r="AK23" s="72"/>
      <c r="AL23" s="72"/>
      <c r="AM23" s="72"/>
      <c r="AN23" s="58">
        <v>54.79600524902344</v>
      </c>
      <c r="AO23" s="59">
        <v>50</v>
      </c>
      <c r="AP23" s="60">
        <v>26.792173385620117</v>
      </c>
      <c r="AQ23" s="61">
        <v>39.90161895751953</v>
      </c>
      <c r="AR23" s="62">
        <v>0.0651092529296875</v>
      </c>
    </row>
    <row r="24" spans="2:44" ht="13.5" customHeight="1" x14ac:dyDescent="0.25">
      <c r="B24" s="41" t="s">
        <v>271</v>
      </c>
      <c r="C24" s="54">
        <v>-79.78877258300781</v>
      </c>
      <c r="D24" s="54">
        <v>-79.48495483398438</v>
      </c>
      <c r="E24" s="54">
        <v>103.125</v>
      </c>
      <c r="F24" s="54">
        <v>0.08087383955717087</v>
      </c>
      <c r="G24" s="54">
        <v>7.604217535117641E-05</v>
      </c>
      <c r="H24" s="54"/>
      <c r="I24" s="54"/>
      <c r="J24" s="54"/>
      <c r="K24" s="54"/>
      <c r="L24" s="55"/>
      <c r="M24" s="70">
        <v>26.77951431274414</v>
      </c>
      <c r="N24" s="54">
        <v>48.206016540527344</v>
      </c>
      <c r="O24" s="54">
        <v>39.5</v>
      </c>
      <c r="P24" s="54">
        <v>22</v>
      </c>
      <c r="Q24" s="54">
        <v>3.3532986640930176</v>
      </c>
      <c r="R24" s="54">
        <v>19.87847137451172</v>
      </c>
      <c r="S24" s="71">
        <v>93.98871612548828</v>
      </c>
      <c r="T24" s="71">
        <v>12</v>
      </c>
      <c r="U24" s="71">
        <v>0</v>
      </c>
      <c r="V24" s="71">
        <v>18.44075584411621</v>
      </c>
      <c r="W24" s="71">
        <v>55.63151168823242</v>
      </c>
      <c r="X24" s="71">
        <v>28</v>
      </c>
      <c r="Y24" s="71">
        <v>75.17903900146484</v>
      </c>
      <c r="Z24" s="71">
        <v>15.881799697875977</v>
      </c>
      <c r="AA24" s="71">
        <v>19.30881118774414</v>
      </c>
      <c r="AB24" s="71"/>
      <c r="AC24" s="58"/>
      <c r="AD24" s="58">
        <v>1.5483940839767456</v>
      </c>
      <c r="AE24" s="58">
        <v>0.0014653931139037013</v>
      </c>
      <c r="AF24" s="58">
        <v>50.224246978759766</v>
      </c>
      <c r="AG24" s="58">
        <v>11.747685432434082</v>
      </c>
      <c r="AH24" s="58"/>
      <c r="AI24" s="72"/>
      <c r="AJ24" s="72"/>
      <c r="AK24" s="72"/>
      <c r="AL24" s="72"/>
      <c r="AM24" s="72"/>
      <c r="AN24" s="58">
        <v>55.74363327026367</v>
      </c>
      <c r="AO24" s="59">
        <v>50</v>
      </c>
      <c r="AP24" s="60">
        <v>26.810256958007812</v>
      </c>
      <c r="AQ24" s="61">
        <v>40.27054214477539</v>
      </c>
      <c r="AR24" s="62">
        <v>0.075958251953125</v>
      </c>
    </row>
    <row r="25" spans="2:44" ht="13.5" customHeight="1" x14ac:dyDescent="0.25">
      <c r="B25" s="14">
        <v>0.95833333333333337</v>
      </c>
      <c r="C25" s="54">
        <v>-80.82320404052734</v>
      </c>
      <c r="D25" s="54">
        <v>-80.54109191894531</v>
      </c>
      <c r="E25" s="54">
        <v>103.13223266601562</v>
      </c>
      <c r="F25" s="54">
        <v>0.05345775559544563</v>
      </c>
      <c r="G25" s="54">
        <v>7.86972013884224E-05</v>
      </c>
      <c r="H25" s="54"/>
      <c r="I25" s="54"/>
      <c r="J25" s="54"/>
      <c r="K25" s="54"/>
      <c r="L25" s="55"/>
      <c r="M25" s="70">
        <v>26.783130645751953</v>
      </c>
      <c r="N25" s="54">
        <v>47.7430534362793</v>
      </c>
      <c r="O25" s="54">
        <v>39.5</v>
      </c>
      <c r="P25" s="54">
        <v>22</v>
      </c>
      <c r="Q25" s="54">
        <v>3.430555582046509</v>
      </c>
      <c r="R25" s="54">
        <v>20.06293296813965</v>
      </c>
      <c r="S25" s="71">
        <v>95.25101470947266</v>
      </c>
      <c r="T25" s="71">
        <v>12</v>
      </c>
      <c r="U25" s="71">
        <v>0</v>
      </c>
      <c r="V25" s="71">
        <v>19.3359375</v>
      </c>
      <c r="W25" s="71">
        <v>54.48133850097656</v>
      </c>
      <c r="X25" s="71">
        <v>28</v>
      </c>
      <c r="Y25" s="71">
        <v>75.42571258544922</v>
      </c>
      <c r="Z25" s="71">
        <v>15.632233619689941</v>
      </c>
      <c r="AA25" s="71">
        <v>19.108074188232422</v>
      </c>
      <c r="AB25" s="71"/>
      <c r="AC25" s="58"/>
      <c r="AD25" s="58">
        <v>1.54833984375</v>
      </c>
      <c r="AE25" s="58">
        <v>0.0015480347210541368</v>
      </c>
      <c r="AF25" s="58">
        <v>50.31105422973633</v>
      </c>
      <c r="AG25" s="58">
        <v>17.115161895751953</v>
      </c>
      <c r="AH25" s="58"/>
      <c r="AI25" s="72"/>
      <c r="AJ25" s="72"/>
      <c r="AK25" s="72"/>
      <c r="AL25" s="72"/>
      <c r="AM25" s="72"/>
      <c r="AN25" s="58">
        <v>55.09982681274414</v>
      </c>
      <c r="AO25" s="59">
        <v>50</v>
      </c>
      <c r="AP25" s="60">
        <v>26.566116333007812</v>
      </c>
      <c r="AQ25" s="61">
        <v>40.183738708496094</v>
      </c>
      <c r="AR25" s="62">
        <v>0.075958251953125</v>
      </c>
    </row>
    <row r="26" spans="2:44" ht="13.5" customHeight="1" x14ac:dyDescent="0.25">
      <c r="B26" s="41" t="s">
        <v>272</v>
      </c>
      <c r="C26" s="54">
        <v>-81.22830200195312</v>
      </c>
      <c r="D26" s="54">
        <v>-80.98958587646484</v>
      </c>
      <c r="E26" s="54">
        <v>103.12861633300781</v>
      </c>
      <c r="F26" s="54">
        <v>0.0811631977558136</v>
      </c>
      <c r="G26" s="54">
        <v>7.981491216924042E-05</v>
      </c>
      <c r="H26" s="54"/>
      <c r="I26" s="54"/>
      <c r="J26" s="54"/>
      <c r="K26" s="54"/>
      <c r="L26" s="55"/>
      <c r="M26" s="70">
        <v>26.381654739379883</v>
      </c>
      <c r="N26" s="54">
        <v>46.62543487548828</v>
      </c>
      <c r="O26" s="54">
        <v>39.5</v>
      </c>
      <c r="P26" s="54">
        <v>22</v>
      </c>
      <c r="Q26" s="54">
        <v>3.495659828186035</v>
      </c>
      <c r="R26" s="54">
        <v>20.19314193725586</v>
      </c>
      <c r="S26" s="71">
        <v>91.54730987548828</v>
      </c>
      <c r="T26" s="71">
        <v>12</v>
      </c>
      <c r="U26" s="71">
        <v>0</v>
      </c>
      <c r="V26" s="71">
        <v>19.666885375976562</v>
      </c>
      <c r="W26" s="71">
        <v>53.347442626953125</v>
      </c>
      <c r="X26" s="71">
        <v>28</v>
      </c>
      <c r="Y26" s="71">
        <v>75.7004165649414</v>
      </c>
      <c r="Z26" s="71">
        <v>15.355541229248047</v>
      </c>
      <c r="AA26" s="71">
        <v>19.08637237548828</v>
      </c>
      <c r="AB26" s="71"/>
      <c r="AC26" s="58"/>
      <c r="AD26" s="58">
        <v>1.5483940839767456</v>
      </c>
      <c r="AE26" s="58">
        <v>0.0015486449701711535</v>
      </c>
      <c r="AF26" s="58">
        <v>50.104888916015625</v>
      </c>
      <c r="AG26" s="58">
        <v>9.58116340637207</v>
      </c>
      <c r="AH26" s="58"/>
      <c r="AI26" s="72"/>
      <c r="AJ26" s="72"/>
      <c r="AK26" s="72"/>
      <c r="AL26" s="72"/>
      <c r="AM26" s="72"/>
      <c r="AN26" s="58">
        <v>54.03645706176758</v>
      </c>
      <c r="AO26" s="59">
        <v>50</v>
      </c>
      <c r="AP26" s="60">
        <v>26.123046875</v>
      </c>
      <c r="AQ26" s="61">
        <v>40.09331512451172</v>
      </c>
      <c r="AR26" s="62">
        <v>0.0868072509765625</v>
      </c>
    </row>
    <row r="27" spans="2:44" ht="13.5" customHeight="1" x14ac:dyDescent="0.25">
      <c r="B27" s="14">
        <v>4.1666666666666664E-2</v>
      </c>
      <c r="C27" s="54">
        <v>-81.29340362548828</v>
      </c>
      <c r="D27" s="54">
        <v>-80.859375</v>
      </c>
      <c r="E27" s="54">
        <v>103.125</v>
      </c>
      <c r="F27" s="54">
        <v>0.05374710634350777</v>
      </c>
      <c r="G27" s="54">
        <v>7.551193266408518E-05</v>
      </c>
      <c r="H27" s="54"/>
      <c r="I27" s="54"/>
      <c r="J27" s="54"/>
      <c r="K27" s="54"/>
      <c r="L27" s="55"/>
      <c r="M27" s="70">
        <v>26.200809478759766</v>
      </c>
      <c r="N27" s="54">
        <v>47.6453971862793</v>
      </c>
      <c r="O27" s="54">
        <v>39.5</v>
      </c>
      <c r="P27" s="54">
        <v>22</v>
      </c>
      <c r="Q27" s="54">
        <v>3.37109375</v>
      </c>
      <c r="R27" s="54">
        <v>20.015914916992188</v>
      </c>
      <c r="S27" s="71">
        <v>92.39004516601562</v>
      </c>
      <c r="T27" s="71">
        <v>12</v>
      </c>
      <c r="U27" s="71">
        <v>0</v>
      </c>
      <c r="V27" s="71">
        <v>19.67230987548828</v>
      </c>
      <c r="W27" s="71">
        <v>52.072486877441406</v>
      </c>
      <c r="X27" s="71">
        <v>28</v>
      </c>
      <c r="Y27" s="71">
        <v>75.5322265625</v>
      </c>
      <c r="Z27" s="71">
        <v>15.2199068069458</v>
      </c>
      <c r="AA27" s="71">
        <v>18.961589813232422</v>
      </c>
      <c r="AB27" s="71"/>
      <c r="AC27" s="58"/>
      <c r="AD27" s="58">
        <v>1.5483940839767456</v>
      </c>
      <c r="AE27" s="58">
        <v>0.0014219360891729593</v>
      </c>
      <c r="AF27" s="58">
        <v>49.9891471862793</v>
      </c>
      <c r="AG27" s="58">
        <v>9.429253578186035</v>
      </c>
      <c r="AH27" s="58"/>
      <c r="AI27" s="72"/>
      <c r="AJ27" s="72"/>
      <c r="AK27" s="72"/>
      <c r="AL27" s="72"/>
      <c r="AM27" s="72"/>
      <c r="AN27" s="58">
        <v>52.69097137451172</v>
      </c>
      <c r="AO27" s="59">
        <v>50</v>
      </c>
      <c r="AP27" s="60">
        <v>25.96028709411621</v>
      </c>
      <c r="AQ27" s="61">
        <v>40.68286895751953</v>
      </c>
      <c r="AR27" s="62">
        <v>0.075958251953125</v>
      </c>
    </row>
    <row r="28" spans="2:44" ht="13.5" customHeight="1" x14ac:dyDescent="0.25">
      <c r="B28" s="41" t="s">
        <v>273</v>
      </c>
      <c r="C28" s="54">
        <v>-79.76707458496094</v>
      </c>
      <c r="D28" s="54">
        <v>-79.31134033203125</v>
      </c>
      <c r="E28" s="54">
        <v>103.125</v>
      </c>
      <c r="F28" s="54">
        <v>0.08000578731298447</v>
      </c>
      <c r="G28" s="54">
        <v>7.672882202314213E-05</v>
      </c>
      <c r="H28" s="54"/>
      <c r="I28" s="54"/>
      <c r="J28" s="54"/>
      <c r="K28" s="54"/>
      <c r="L28" s="55"/>
      <c r="M28" s="70">
        <v>25.8499698638916</v>
      </c>
      <c r="N28" s="54">
        <v>45.786312103271484</v>
      </c>
      <c r="O28" s="54">
        <v>39.5</v>
      </c>
      <c r="P28" s="54">
        <v>22</v>
      </c>
      <c r="Q28" s="54">
        <v>3.4592013359069824</v>
      </c>
      <c r="R28" s="54">
        <v>20.04123306274414</v>
      </c>
      <c r="S28" s="71">
        <v>92.61791229248047</v>
      </c>
      <c r="T28" s="71">
        <v>12</v>
      </c>
      <c r="U28" s="71">
        <v>0</v>
      </c>
      <c r="V28" s="71">
        <v>19.48784828186035</v>
      </c>
      <c r="W28" s="71">
        <v>50.878910064697266</v>
      </c>
      <c r="X28" s="71">
        <v>28.5</v>
      </c>
      <c r="Y28" s="71">
        <v>77.01786804199219</v>
      </c>
      <c r="Z28" s="71">
        <v>15.020977973937988</v>
      </c>
      <c r="AA28" s="71">
        <v>18.961589813232422</v>
      </c>
      <c r="AB28" s="71"/>
      <c r="AC28" s="58"/>
      <c r="AD28" s="58">
        <v>1.5483940839767456</v>
      </c>
      <c r="AE28" s="58">
        <v>0.001206115703098476</v>
      </c>
      <c r="AF28" s="58">
        <v>50.23147964477539</v>
      </c>
      <c r="AG28" s="58">
        <v>16.442419052124023</v>
      </c>
      <c r="AH28" s="58"/>
      <c r="AI28" s="72"/>
      <c r="AJ28" s="72"/>
      <c r="AK28" s="72"/>
      <c r="AL28" s="72"/>
      <c r="AM28" s="72"/>
      <c r="AN28" s="58">
        <v>51.47569274902344</v>
      </c>
      <c r="AO28" s="59">
        <v>50</v>
      </c>
      <c r="AP28" s="60">
        <v>26.005496978759766</v>
      </c>
      <c r="AQ28" s="61">
        <v>43.73191452026367</v>
      </c>
      <c r="AR28" s="62">
        <v>0.09766387939453125</v>
      </c>
    </row>
    <row r="29" spans="2:44" ht="13.5" customHeight="1" x14ac:dyDescent="0.25">
      <c r="B29" s="14">
        <v>0.125</v>
      </c>
      <c r="C29" s="54">
        <v>-80.25897216796875</v>
      </c>
      <c r="D29" s="54">
        <v>-79.8321762084961</v>
      </c>
      <c r="E29" s="54">
        <v>103.12861633300781</v>
      </c>
      <c r="F29" s="54">
        <v>0.0807291641831398</v>
      </c>
      <c r="G29" s="54">
        <v>7.816314609954134E-05</v>
      </c>
      <c r="H29" s="54"/>
      <c r="I29" s="54"/>
      <c r="J29" s="54"/>
      <c r="K29" s="54"/>
      <c r="L29" s="55"/>
      <c r="M29" s="70">
        <v>25.817419052124023</v>
      </c>
      <c r="N29" s="54">
        <v>47.84794616699219</v>
      </c>
      <c r="O29" s="54">
        <v>39.5</v>
      </c>
      <c r="P29" s="54">
        <v>22</v>
      </c>
      <c r="Q29" s="54">
        <v>3.487413167953491</v>
      </c>
      <c r="R29" s="54">
        <v>20.04123306274414</v>
      </c>
      <c r="S29" s="71">
        <v>93.00492095947266</v>
      </c>
      <c r="T29" s="71">
        <v>12</v>
      </c>
      <c r="U29" s="71">
        <v>0</v>
      </c>
      <c r="V29" s="71">
        <v>19.46614646911621</v>
      </c>
      <c r="W29" s="71">
        <v>49.82096481323242</v>
      </c>
      <c r="X29" s="71">
        <v>28.5</v>
      </c>
      <c r="Y29" s="71">
        <v>76.92816925048828</v>
      </c>
      <c r="Z29" s="71">
        <v>14.95225715637207</v>
      </c>
      <c r="AA29" s="71">
        <v>18.84765625</v>
      </c>
      <c r="AB29" s="71"/>
      <c r="AC29" s="58"/>
      <c r="AD29" s="58">
        <v>1.5483940839767456</v>
      </c>
      <c r="AE29" s="58">
        <v>0.0015479126013815403</v>
      </c>
      <c r="AF29" s="58">
        <v>50.29296875</v>
      </c>
      <c r="AG29" s="58">
        <v>16.051794052124023</v>
      </c>
      <c r="AH29" s="58"/>
      <c r="AI29" s="72"/>
      <c r="AJ29" s="72"/>
      <c r="AK29" s="72"/>
      <c r="AL29" s="72"/>
      <c r="AM29" s="72"/>
      <c r="AN29" s="58">
        <v>50.52083206176758</v>
      </c>
      <c r="AO29" s="59">
        <v>50</v>
      </c>
      <c r="AP29" s="60">
        <v>26.114004135131836</v>
      </c>
      <c r="AQ29" s="61">
        <v>40.263309478759766</v>
      </c>
      <c r="AR29" s="62">
        <v>0.0868072509765625</v>
      </c>
    </row>
    <row r="30" spans="2:44" ht="13.5" customHeight="1" x14ac:dyDescent="0.25">
      <c r="B30" s="14">
        <v>0.16666666666666666</v>
      </c>
      <c r="C30" s="54">
        <v>-79.95515441894531</v>
      </c>
      <c r="D30" s="54">
        <v>-79.53559112548828</v>
      </c>
      <c r="E30" s="54">
        <v>103.12861633300781</v>
      </c>
      <c r="F30" s="54">
        <v>0.08166956156492233</v>
      </c>
      <c r="G30" s="54">
        <v>7.89604164310731E-05</v>
      </c>
      <c r="H30" s="54"/>
      <c r="I30" s="54"/>
      <c r="J30" s="54"/>
      <c r="K30" s="54"/>
      <c r="L30" s="55"/>
      <c r="M30" s="70">
        <v>25.918691635131836</v>
      </c>
      <c r="N30" s="54">
        <v>46.99435806274414</v>
      </c>
      <c r="O30" s="54">
        <v>39.5</v>
      </c>
      <c r="P30" s="54">
        <v>22</v>
      </c>
      <c r="Q30" s="54">
        <v>3.4869792461395264</v>
      </c>
      <c r="R30" s="54">
        <v>20.005064010620117</v>
      </c>
      <c r="S30" s="71">
        <v>94.5782699584961</v>
      </c>
      <c r="T30" s="71">
        <v>12</v>
      </c>
      <c r="U30" s="71">
        <v>0</v>
      </c>
      <c r="V30" s="71">
        <v>19.753690719604492</v>
      </c>
      <c r="W30" s="71">
        <v>48.72504425048828</v>
      </c>
      <c r="X30" s="71">
        <v>28.5</v>
      </c>
      <c r="Y30" s="71">
        <v>76.54695129394531</v>
      </c>
      <c r="Z30" s="71">
        <v>14.959490776062012</v>
      </c>
      <c r="AA30" s="71">
        <v>18.97786521911621</v>
      </c>
      <c r="AB30" s="71"/>
      <c r="AC30" s="58"/>
      <c r="AD30" s="58">
        <v>1.5483940839767456</v>
      </c>
      <c r="AE30" s="58">
        <v>0.0015300293453037739</v>
      </c>
      <c r="AF30" s="58">
        <v>50.0397834777832</v>
      </c>
      <c r="AG30" s="58">
        <v>16.724536895751953</v>
      </c>
      <c r="AH30" s="58"/>
      <c r="AI30" s="72"/>
      <c r="AJ30" s="72"/>
      <c r="AK30" s="72"/>
      <c r="AL30" s="72"/>
      <c r="AM30" s="72"/>
      <c r="AN30" s="58">
        <v>49.377891540527344</v>
      </c>
      <c r="AO30" s="59">
        <v>50</v>
      </c>
      <c r="AP30" s="60">
        <v>26.186342239379883</v>
      </c>
      <c r="AQ30" s="61">
        <v>40.089698791503906</v>
      </c>
      <c r="AR30" s="62">
        <v>0.0651092529296875</v>
      </c>
    </row>
    <row r="31" spans="2:44" ht="13.5" customHeight="1" x14ac:dyDescent="0.25">
      <c r="B31" s="14">
        <v>0.20833333333333334</v>
      </c>
      <c r="C31" s="54">
        <v>-79.61515808105469</v>
      </c>
      <c r="D31" s="54">
        <v>-79.13050079345703</v>
      </c>
      <c r="E31" s="54">
        <v>103.13223266601562</v>
      </c>
      <c r="F31" s="54">
        <v>0.08369502425193787</v>
      </c>
      <c r="G31" s="54">
        <v>7.838821329642087E-05</v>
      </c>
      <c r="H31" s="54"/>
      <c r="I31" s="54"/>
      <c r="J31" s="54"/>
      <c r="K31" s="54"/>
      <c r="L31" s="55"/>
      <c r="M31" s="70">
        <v>26.106769561767578</v>
      </c>
      <c r="N31" s="54">
        <v>45.493343353271484</v>
      </c>
      <c r="O31" s="54">
        <v>39.5</v>
      </c>
      <c r="P31" s="54">
        <v>22</v>
      </c>
      <c r="Q31" s="54">
        <v>3.535590410232544</v>
      </c>
      <c r="R31" s="54">
        <v>19.885705947875977</v>
      </c>
      <c r="S31" s="71">
        <v>92.35025787353516</v>
      </c>
      <c r="T31" s="71">
        <v>12</v>
      </c>
      <c r="U31" s="71">
        <v>0</v>
      </c>
      <c r="V31" s="71">
        <v>20.095487594604492</v>
      </c>
      <c r="W31" s="71">
        <v>47.74305725097656</v>
      </c>
      <c r="X31" s="71">
        <v>30</v>
      </c>
      <c r="Y31" s="71">
        <v>80.95902252197266</v>
      </c>
      <c r="Z31" s="71">
        <v>14.583333015441895</v>
      </c>
      <c r="AA31" s="71">
        <v>18.690322875976562</v>
      </c>
      <c r="AB31" s="71"/>
      <c r="AC31" s="58"/>
      <c r="AD31" s="58">
        <v>1.54833984375</v>
      </c>
      <c r="AE31" s="58">
        <v>0.0013703613076359034</v>
      </c>
      <c r="AF31" s="58">
        <v>50.20977783203125</v>
      </c>
      <c r="AG31" s="58">
        <v>17.56727409362793</v>
      </c>
      <c r="AH31" s="58"/>
      <c r="AI31" s="72"/>
      <c r="AJ31" s="72"/>
      <c r="AK31" s="72"/>
      <c r="AL31" s="72"/>
      <c r="AM31" s="72"/>
      <c r="AN31" s="58">
        <v>48.23495101928711</v>
      </c>
      <c r="AO31" s="59">
        <v>50</v>
      </c>
      <c r="AP31" s="60">
        <v>25.36349868774414</v>
      </c>
      <c r="AQ31" s="61">
        <v>39.775028228759766</v>
      </c>
      <c r="AR31" s="62">
        <v>0.09766387939453125</v>
      </c>
    </row>
    <row r="32" spans="2:44" ht="13.5" customHeight="1" x14ac:dyDescent="0.25">
      <c r="B32" s="14">
        <v>0.25</v>
      </c>
      <c r="C32" s="54">
        <v>-79.6875</v>
      </c>
      <c r="D32" s="54">
        <v>-79.22453308105469</v>
      </c>
      <c r="E32" s="54">
        <v>103.125</v>
      </c>
      <c r="F32" s="54">
        <v>0.08239293843507767</v>
      </c>
      <c r="G32" s="54">
        <v>8.027267176657915E-05</v>
      </c>
      <c r="H32" s="54"/>
      <c r="I32" s="54"/>
      <c r="J32" s="54"/>
      <c r="K32" s="54"/>
      <c r="L32" s="55"/>
      <c r="M32" s="70">
        <v>26.52994728088379</v>
      </c>
      <c r="N32" s="54">
        <v>45.612701416015625</v>
      </c>
      <c r="O32" s="54">
        <v>39.5</v>
      </c>
      <c r="P32" s="54">
        <v>22</v>
      </c>
      <c r="Q32" s="54">
        <v>3.5564236640930176</v>
      </c>
      <c r="R32" s="54">
        <v>19.76996421813965</v>
      </c>
      <c r="S32" s="71">
        <v>91.46773529052734</v>
      </c>
      <c r="T32" s="71">
        <v>12</v>
      </c>
      <c r="U32" s="71">
        <v>0</v>
      </c>
      <c r="V32" s="71">
        <v>22.98177146911621</v>
      </c>
      <c r="W32" s="71">
        <v>46.630863189697266</v>
      </c>
      <c r="X32" s="71">
        <v>30</v>
      </c>
      <c r="Y32" s="71">
        <v>80.86932373046875</v>
      </c>
      <c r="Z32" s="71">
        <v>14.520037651062012</v>
      </c>
      <c r="AA32" s="71">
        <v>18.67404556274414</v>
      </c>
      <c r="AB32" s="71"/>
      <c r="AC32" s="58"/>
      <c r="AD32" s="58">
        <v>1.5483940839767456</v>
      </c>
      <c r="AE32" s="58">
        <v>0.0015479126013815403</v>
      </c>
      <c r="AF32" s="58">
        <v>50.49913024902344</v>
      </c>
      <c r="AG32" s="58">
        <v>7.986111164093018</v>
      </c>
      <c r="AH32" s="58"/>
      <c r="AI32" s="72"/>
      <c r="AJ32" s="72"/>
      <c r="AK32" s="72"/>
      <c r="AL32" s="72"/>
      <c r="AM32" s="72"/>
      <c r="AN32" s="58">
        <v>47.24392318725586</v>
      </c>
      <c r="AO32" s="59">
        <v>50</v>
      </c>
      <c r="AP32" s="60">
        <v>24.893301010131836</v>
      </c>
      <c r="AQ32" s="61">
        <v>39.93778991699219</v>
      </c>
      <c r="AR32" s="62">
        <v>0.09766387939453125</v>
      </c>
    </row>
    <row r="33" spans="2:44" ht="13.5" customHeight="1" x14ac:dyDescent="0.25">
      <c r="B33" s="14">
        <v>0.29166666666666669</v>
      </c>
      <c r="C33" s="54">
        <v>-79.55005645751953</v>
      </c>
      <c r="D33" s="54">
        <v>-79.18113708496094</v>
      </c>
      <c r="E33" s="54">
        <v>103.12861633300781</v>
      </c>
      <c r="F33" s="54">
        <v>0.08275462687015533</v>
      </c>
      <c r="G33" s="54">
        <v>7.595062197651714E-05</v>
      </c>
      <c r="H33" s="54"/>
      <c r="I33" s="54"/>
      <c r="J33" s="54"/>
      <c r="K33" s="54"/>
      <c r="L33" s="55"/>
      <c r="M33" s="70">
        <v>26.90972137451172</v>
      </c>
      <c r="N33" s="54">
        <v>46.11545181274414</v>
      </c>
      <c r="O33" s="54">
        <v>39.5</v>
      </c>
      <c r="P33" s="54">
        <v>22</v>
      </c>
      <c r="Q33" s="54">
        <v>3.532118082046509</v>
      </c>
      <c r="R33" s="54">
        <v>19.744646072387695</v>
      </c>
      <c r="S33" s="71">
        <v>92.9470443725586</v>
      </c>
      <c r="T33" s="71">
        <v>12</v>
      </c>
      <c r="U33" s="71">
        <v>0</v>
      </c>
      <c r="V33" s="71">
        <v>25.059680938720703</v>
      </c>
      <c r="W33" s="71">
        <v>53.84657287597656</v>
      </c>
      <c r="X33" s="71">
        <v>30</v>
      </c>
      <c r="Y33" s="71">
        <v>81.46357727050781</v>
      </c>
      <c r="Z33" s="71">
        <v>14.520037651062012</v>
      </c>
      <c r="AA33" s="71">
        <v>18.97786521911621</v>
      </c>
      <c r="AB33" s="71"/>
      <c r="AC33" s="58"/>
      <c r="AD33" s="58">
        <v>1.54833984375</v>
      </c>
      <c r="AE33" s="58">
        <v>0.0012872314546257257</v>
      </c>
      <c r="AF33" s="58">
        <v>50.64019012451172</v>
      </c>
      <c r="AG33" s="58">
        <v>15.773292541503906</v>
      </c>
      <c r="AH33" s="58"/>
      <c r="AI33" s="72"/>
      <c r="AJ33" s="72"/>
      <c r="AK33" s="72"/>
      <c r="AL33" s="72"/>
      <c r="AM33" s="72"/>
      <c r="AN33" s="58">
        <v>51.21527862548828</v>
      </c>
      <c r="AO33" s="59">
        <v>50</v>
      </c>
      <c r="AP33" s="60">
        <v>24.233217239379883</v>
      </c>
      <c r="AQ33" s="61">
        <v>40.436920166015625</v>
      </c>
      <c r="AR33" s="62">
        <v>0.0868072509765625</v>
      </c>
    </row>
    <row r="34" spans="2:44" ht="13.5" customHeight="1" x14ac:dyDescent="0.25">
      <c r="B34" s="42">
        <v>0.33333333333333331</v>
      </c>
      <c r="C34" s="63">
        <v>-79.36921691894531</v>
      </c>
      <c r="D34" s="63">
        <v>-79.11602783203125</v>
      </c>
      <c r="E34" s="63">
        <v>103.12861633300781</v>
      </c>
      <c r="F34" s="63">
        <v>0.08304398506879807</v>
      </c>
      <c r="G34" s="63">
        <v>8.044433343457058E-05</v>
      </c>
      <c r="H34" s="63"/>
      <c r="I34" s="63"/>
      <c r="J34" s="63"/>
      <c r="K34" s="63"/>
      <c r="L34" s="64"/>
      <c r="M34" s="73">
        <v>27.19183921813965</v>
      </c>
      <c r="N34" s="63">
        <v>46.57841491699219</v>
      </c>
      <c r="O34" s="63">
        <v>39.5</v>
      </c>
      <c r="P34" s="63">
        <v>22</v>
      </c>
      <c r="Q34" s="63">
        <v>3.4552950859069824</v>
      </c>
      <c r="R34" s="63">
        <v>19.751880645751953</v>
      </c>
      <c r="S34" s="74">
        <v>92.30323791503906</v>
      </c>
      <c r="T34" s="74">
        <v>12</v>
      </c>
      <c r="U34" s="74">
        <v>0</v>
      </c>
      <c r="V34" s="74">
        <v>43.59809112548828</v>
      </c>
      <c r="W34" s="74">
        <v>76.92057800292969</v>
      </c>
      <c r="X34" s="74">
        <v>27.5</v>
      </c>
      <c r="Y34" s="74">
        <v>74.37734985351562</v>
      </c>
      <c r="Z34" s="74">
        <v>15.140335083007812</v>
      </c>
      <c r="AA34" s="74">
        <v>18.75542640686035</v>
      </c>
      <c r="AB34" s="74"/>
      <c r="AC34" s="67"/>
      <c r="AD34" s="67">
        <v>0</v>
      </c>
      <c r="AE34" s="67">
        <v>0.0007592163165099919</v>
      </c>
      <c r="AF34" s="67">
        <v>50.376155853271484</v>
      </c>
      <c r="AG34" s="67">
        <v>18.753616333007812</v>
      </c>
      <c r="AH34" s="67"/>
      <c r="AI34" s="75"/>
      <c r="AJ34" s="75"/>
      <c r="AK34" s="75"/>
      <c r="AL34" s="75"/>
      <c r="AM34" s="75"/>
      <c r="AN34" s="67">
        <v>54.74536895751953</v>
      </c>
      <c r="AO34" s="68">
        <v>50</v>
      </c>
      <c r="AP34" s="76">
        <v>24.233217239379883</v>
      </c>
      <c r="AQ34" s="77">
        <v>42.6179084777832</v>
      </c>
      <c r="AR34" s="78">
        <v>0.09766387939453125</v>
      </c>
    </row>
    <row r="35" spans="2:44" ht="15" customHeight="1" x14ac:dyDescent="0.25">
      <c r="B35" s="165" t="s">
        <v>181</v>
      </c>
      <c r="C35" s="111" t="s">
        <v>38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 t="s">
        <v>216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5"/>
      <c r="AK35" s="130" t="s">
        <v>48</v>
      </c>
      <c r="AL35" s="131"/>
      <c r="AM35" s="116" t="s">
        <v>223</v>
      </c>
      <c r="AN35" s="117"/>
      <c r="AO35" s="43"/>
      <c r="AP35" s="43"/>
      <c r="AQ35" s="43"/>
      <c r="AR35" s="44"/>
    </row>
    <row r="36" spans="2:44" ht="20.15" customHeight="1" x14ac:dyDescent="0.25">
      <c r="B36" s="153"/>
      <c r="C36" s="122" t="s">
        <v>32</v>
      </c>
      <c r="D36" s="128"/>
      <c r="E36" s="122" t="s">
        <v>33</v>
      </c>
      <c r="F36" s="127"/>
      <c r="G36" s="128"/>
      <c r="H36" s="118" t="s">
        <v>276</v>
      </c>
      <c r="I36" s="119"/>
      <c r="J36" s="4" t="s">
        <v>27</v>
      </c>
      <c r="K36" s="4" t="s">
        <v>30</v>
      </c>
      <c r="L36" s="4" t="s">
        <v>191</v>
      </c>
      <c r="M36" s="120" t="s">
        <v>192</v>
      </c>
      <c r="N36" s="121"/>
      <c r="O36" s="4" t="s">
        <v>26</v>
      </c>
      <c r="P36" s="4" t="s">
        <v>197</v>
      </c>
      <c r="Q36" s="122" t="s">
        <v>199</v>
      </c>
      <c r="R36" s="129"/>
      <c r="S36" s="122" t="s">
        <v>202</v>
      </c>
      <c r="T36" s="129"/>
      <c r="U36" s="122" t="s">
        <v>201</v>
      </c>
      <c r="V36" s="12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24" t="s">
        <v>46</v>
      </c>
      <c r="AI36" s="125"/>
      <c r="AJ36" s="126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53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53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290</v>
      </c>
      <c r="N38" s="1" t="s">
        <v>291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50">
        <v>0</v>
      </c>
      <c r="D39" s="50"/>
      <c r="E39" s="50">
        <v>36.0749397277832</v>
      </c>
      <c r="F39" s="50"/>
      <c r="G39" s="50"/>
      <c r="H39" s="50">
        <v>0</v>
      </c>
      <c r="I39" s="50"/>
      <c r="J39" s="50">
        <v>27.027271270751953</v>
      </c>
      <c r="K39" s="50">
        <v>40</v>
      </c>
      <c r="L39" s="50">
        <v>49.06322479248047</v>
      </c>
      <c r="M39" s="50">
        <v>0</v>
      </c>
      <c r="N39" s="50"/>
      <c r="O39" s="50">
        <v>29.857494354248047</v>
      </c>
      <c r="P39" s="50">
        <v>0.05000000074505806</v>
      </c>
      <c r="Q39" s="50">
        <v>0.20760995149612427</v>
      </c>
      <c r="R39" s="50"/>
      <c r="S39" s="50">
        <v>0</v>
      </c>
      <c r="T39" s="50"/>
      <c r="U39" s="51">
        <v>0</v>
      </c>
      <c r="V39" s="52"/>
      <c r="W39" s="53">
        <v>98.20963287353516</v>
      </c>
      <c r="X39" s="51">
        <v>16.431568145751953</v>
      </c>
      <c r="Y39" s="51">
        <v>30</v>
      </c>
      <c r="Z39" s="51">
        <v>78.4592056274414</v>
      </c>
      <c r="AA39" s="51">
        <v>19.27083396911621</v>
      </c>
      <c r="AB39" s="51">
        <v>46.636287689208984</v>
      </c>
      <c r="AC39" s="51">
        <v>30</v>
      </c>
      <c r="AD39" s="51">
        <v>80.24305725097656</v>
      </c>
      <c r="AE39" s="45">
        <v>15.064380645751953</v>
      </c>
      <c r="AF39" s="45">
        <v>17.789714813232422</v>
      </c>
      <c r="AG39" s="45"/>
      <c r="AH39" s="45">
        <v>0</v>
      </c>
      <c r="AI39" s="45">
        <v>0</v>
      </c>
      <c r="AJ39" s="45"/>
      <c r="AK39" s="45">
        <v>84.92838287353516</v>
      </c>
      <c r="AL39" s="47">
        <v>45.833335876464844</v>
      </c>
      <c r="AM39" s="49"/>
      <c r="AN39" s="46"/>
      <c r="AO39" s="45"/>
      <c r="AP39" s="45"/>
      <c r="AQ39" s="45"/>
      <c r="AR39" s="48"/>
    </row>
    <row r="40" spans="2:44" ht="13.5" customHeight="1" x14ac:dyDescent="0.25">
      <c r="B40" s="14">
        <v>0.875</v>
      </c>
      <c r="C40" s="54">
        <v>0</v>
      </c>
      <c r="D40" s="54">
        <v>0</v>
      </c>
      <c r="E40" s="54">
        <v>36.42216491699219</v>
      </c>
      <c r="F40" s="54"/>
      <c r="G40" s="54"/>
      <c r="H40" s="54">
        <v>0</v>
      </c>
      <c r="I40" s="54">
        <v>0</v>
      </c>
      <c r="J40" s="54">
        <v>27.144821166992188</v>
      </c>
      <c r="K40" s="54">
        <v>40</v>
      </c>
      <c r="L40" s="54">
        <v>49.84989929199219</v>
      </c>
      <c r="M40" s="54">
        <v>0</v>
      </c>
      <c r="N40" s="54">
        <v>0</v>
      </c>
      <c r="O40" s="54">
        <v>29.739944458007812</v>
      </c>
      <c r="P40" s="54">
        <v>0.05000000074505806</v>
      </c>
      <c r="Q40" s="54">
        <v>0.20826099812984467</v>
      </c>
      <c r="R40" s="54">
        <v>0.00020796967146452516</v>
      </c>
      <c r="S40" s="54">
        <v>0</v>
      </c>
      <c r="T40" s="54">
        <v>0</v>
      </c>
      <c r="U40" s="71">
        <v>0</v>
      </c>
      <c r="V40" s="79">
        <v>0</v>
      </c>
      <c r="W40" s="80">
        <v>99.9493637084961</v>
      </c>
      <c r="X40" s="71">
        <v>17.863859176635742</v>
      </c>
      <c r="Y40" s="71">
        <v>33.5</v>
      </c>
      <c r="Z40" s="71">
        <v>88.35938262939453</v>
      </c>
      <c r="AA40" s="71">
        <v>16.13498306274414</v>
      </c>
      <c r="AB40" s="71">
        <v>56.759986877441406</v>
      </c>
      <c r="AC40" s="71">
        <v>33</v>
      </c>
      <c r="AD40" s="71">
        <v>88.8888931274414</v>
      </c>
      <c r="AE40" s="58">
        <v>15.968605041503906</v>
      </c>
      <c r="AF40" s="58">
        <v>18.836807250976562</v>
      </c>
      <c r="AG40" s="58"/>
      <c r="AH40" s="58">
        <v>0</v>
      </c>
      <c r="AI40" s="58">
        <v>0</v>
      </c>
      <c r="AJ40" s="58">
        <v>0</v>
      </c>
      <c r="AK40" s="58">
        <v>84.92476654052734</v>
      </c>
      <c r="AL40" s="59">
        <v>45.387733459472656</v>
      </c>
      <c r="AM40" s="81"/>
      <c r="AN40" s="72"/>
      <c r="AO40" s="58"/>
      <c r="AP40" s="58"/>
      <c r="AQ40" s="58"/>
      <c r="AR40" s="62"/>
    </row>
    <row r="41" spans="2:44" ht="13.5" customHeight="1" x14ac:dyDescent="0.25">
      <c r="B41" s="41" t="s">
        <v>271</v>
      </c>
      <c r="C41" s="54">
        <v>0</v>
      </c>
      <c r="D41" s="54">
        <v>1.3153553481970448E-06</v>
      </c>
      <c r="E41" s="54">
        <v>51.93142318725586</v>
      </c>
      <c r="F41" s="54"/>
      <c r="G41" s="54"/>
      <c r="H41" s="54">
        <v>0</v>
      </c>
      <c r="I41" s="54">
        <v>0</v>
      </c>
      <c r="J41" s="54">
        <v>27.18099021911621</v>
      </c>
      <c r="K41" s="54">
        <v>40</v>
      </c>
      <c r="L41" s="54">
        <v>51.477500915527344</v>
      </c>
      <c r="M41" s="54">
        <v>0</v>
      </c>
      <c r="N41" s="54">
        <v>0</v>
      </c>
      <c r="O41" s="54">
        <v>29.56814193725586</v>
      </c>
      <c r="P41" s="54">
        <v>0.05000000074505806</v>
      </c>
      <c r="Q41" s="54">
        <v>0.21129919588565826</v>
      </c>
      <c r="R41" s="54">
        <v>0.00020858002244494855</v>
      </c>
      <c r="S41" s="54">
        <v>0</v>
      </c>
      <c r="T41" s="54">
        <v>0</v>
      </c>
      <c r="U41" s="71">
        <v>0</v>
      </c>
      <c r="V41" s="79">
        <v>0</v>
      </c>
      <c r="W41" s="80">
        <v>95.03038024902344</v>
      </c>
      <c r="X41" s="71">
        <v>18.60894012451172</v>
      </c>
      <c r="Y41" s="71">
        <v>33.5</v>
      </c>
      <c r="Z41" s="71">
        <v>88.37239837646484</v>
      </c>
      <c r="AA41" s="71">
        <v>18.44075584411621</v>
      </c>
      <c r="AB41" s="71">
        <v>55.63151168823242</v>
      </c>
      <c r="AC41" s="71">
        <v>33</v>
      </c>
      <c r="AD41" s="71">
        <v>89.30555725097656</v>
      </c>
      <c r="AE41" s="58">
        <v>15.881799697875977</v>
      </c>
      <c r="AF41" s="58">
        <v>19.30881118774414</v>
      </c>
      <c r="AG41" s="58"/>
      <c r="AH41" s="58">
        <v>0</v>
      </c>
      <c r="AI41" s="58">
        <v>0</v>
      </c>
      <c r="AJ41" s="58">
        <v>0</v>
      </c>
      <c r="AK41" s="58">
        <v>84.91753387451172</v>
      </c>
      <c r="AL41" s="59">
        <v>44.997108459472656</v>
      </c>
      <c r="AM41" s="81"/>
      <c r="AN41" s="72"/>
      <c r="AO41" s="58"/>
      <c r="AP41" s="58"/>
      <c r="AQ41" s="58"/>
      <c r="AR41" s="62"/>
    </row>
    <row r="42" spans="2:44" ht="13.5" customHeight="1" x14ac:dyDescent="0.25">
      <c r="B42" s="14">
        <v>0.95833333333333337</v>
      </c>
      <c r="C42" s="54">
        <v>0</v>
      </c>
      <c r="D42" s="54">
        <v>5.221366805585603E-08</v>
      </c>
      <c r="E42" s="54">
        <v>48.582176208496094</v>
      </c>
      <c r="F42" s="54"/>
      <c r="G42" s="54"/>
      <c r="H42" s="54">
        <v>0</v>
      </c>
      <c r="I42" s="54">
        <v>0</v>
      </c>
      <c r="J42" s="54">
        <v>27.253328323364258</v>
      </c>
      <c r="K42" s="54">
        <v>40</v>
      </c>
      <c r="L42" s="54">
        <v>52.553531646728516</v>
      </c>
      <c r="M42" s="54">
        <v>0</v>
      </c>
      <c r="N42" s="54">
        <v>0</v>
      </c>
      <c r="O42" s="54">
        <v>29.45963478088379</v>
      </c>
      <c r="P42" s="54">
        <v>0.05000000074505806</v>
      </c>
      <c r="Q42" s="54">
        <v>0.2113715261220932</v>
      </c>
      <c r="R42" s="54">
        <v>0.0002089538611471653</v>
      </c>
      <c r="S42" s="54">
        <v>0</v>
      </c>
      <c r="T42" s="54">
        <v>0</v>
      </c>
      <c r="U42" s="71">
        <v>0</v>
      </c>
      <c r="V42" s="79">
        <v>0</v>
      </c>
      <c r="W42" s="80">
        <v>93.05917358398438</v>
      </c>
      <c r="X42" s="71">
        <v>17.918113708496094</v>
      </c>
      <c r="Y42" s="71">
        <v>36</v>
      </c>
      <c r="Z42" s="71">
        <v>95.06945037841797</v>
      </c>
      <c r="AA42" s="71">
        <v>19.3359375</v>
      </c>
      <c r="AB42" s="71">
        <v>54.48133850097656</v>
      </c>
      <c r="AC42" s="71">
        <v>36</v>
      </c>
      <c r="AD42" s="71">
        <v>97.4045181274414</v>
      </c>
      <c r="AE42" s="58">
        <v>15.632233619689941</v>
      </c>
      <c r="AF42" s="58">
        <v>19.108074188232422</v>
      </c>
      <c r="AG42" s="58"/>
      <c r="AH42" s="58">
        <v>0</v>
      </c>
      <c r="AI42" s="58">
        <v>0</v>
      </c>
      <c r="AJ42" s="58">
        <v>8.033847552724183E-05</v>
      </c>
      <c r="AK42" s="58">
        <v>84.8922119140625</v>
      </c>
      <c r="AL42" s="59">
        <v>44.63831329345703</v>
      </c>
      <c r="AM42" s="81"/>
      <c r="AN42" s="72"/>
      <c r="AO42" s="58"/>
      <c r="AP42" s="58"/>
      <c r="AQ42" s="58"/>
      <c r="AR42" s="62"/>
    </row>
    <row r="43" spans="2:44" ht="13.5" customHeight="1" x14ac:dyDescent="0.25">
      <c r="B43" s="41" t="s">
        <v>272</v>
      </c>
      <c r="C43" s="54">
        <v>0</v>
      </c>
      <c r="D43" s="54">
        <v>3.9076806501725514E-07</v>
      </c>
      <c r="E43" s="54">
        <v>44.74102783203125</v>
      </c>
      <c r="F43" s="54"/>
      <c r="G43" s="54"/>
      <c r="H43" s="54">
        <v>0</v>
      </c>
      <c r="I43" s="54">
        <v>0</v>
      </c>
      <c r="J43" s="54">
        <v>27.20811653137207</v>
      </c>
      <c r="K43" s="54">
        <v>40</v>
      </c>
      <c r="L43" s="54">
        <v>50.98017883300781</v>
      </c>
      <c r="M43" s="54">
        <v>0</v>
      </c>
      <c r="N43" s="54">
        <v>0</v>
      </c>
      <c r="O43" s="54">
        <v>29.360170364379883</v>
      </c>
      <c r="P43" s="54">
        <v>0.05000000074505806</v>
      </c>
      <c r="Q43" s="54">
        <v>0.2152777761220932</v>
      </c>
      <c r="R43" s="54">
        <v>0.00020841216610278934</v>
      </c>
      <c r="S43" s="54">
        <v>0</v>
      </c>
      <c r="T43" s="54">
        <v>0</v>
      </c>
      <c r="U43" s="71">
        <v>0</v>
      </c>
      <c r="V43" s="79">
        <v>0</v>
      </c>
      <c r="W43" s="80">
        <v>99.9782943725586</v>
      </c>
      <c r="X43" s="71">
        <v>17.563657760620117</v>
      </c>
      <c r="Y43" s="71">
        <v>33</v>
      </c>
      <c r="Z43" s="71">
        <v>86.02864837646484</v>
      </c>
      <c r="AA43" s="71">
        <v>19.666885375976562</v>
      </c>
      <c r="AB43" s="71">
        <v>53.347442626953125</v>
      </c>
      <c r="AC43" s="71">
        <v>33</v>
      </c>
      <c r="AD43" s="71">
        <v>88.74132537841797</v>
      </c>
      <c r="AE43" s="58">
        <v>15.355541229248047</v>
      </c>
      <c r="AF43" s="58">
        <v>19.08637237548828</v>
      </c>
      <c r="AG43" s="58"/>
      <c r="AH43" s="58">
        <v>0</v>
      </c>
      <c r="AI43" s="58">
        <v>0</v>
      </c>
      <c r="AJ43" s="58">
        <v>0</v>
      </c>
      <c r="AK43" s="58">
        <v>84.88859558105469</v>
      </c>
      <c r="AL43" s="59">
        <v>44.250579833984375</v>
      </c>
      <c r="AM43" s="81"/>
      <c r="AN43" s="72"/>
      <c r="AO43" s="58"/>
      <c r="AP43" s="58"/>
      <c r="AQ43" s="58"/>
      <c r="AR43" s="62"/>
    </row>
    <row r="44" spans="2:44" ht="13.5" customHeight="1" x14ac:dyDescent="0.25">
      <c r="B44" s="14">
        <v>4.1666666666666664E-2</v>
      </c>
      <c r="C44" s="54">
        <v>0</v>
      </c>
      <c r="D44" s="54">
        <v>8.268356168628088E-07</v>
      </c>
      <c r="E44" s="54">
        <v>46.469905853271484</v>
      </c>
      <c r="F44" s="54"/>
      <c r="G44" s="54"/>
      <c r="H44" s="54">
        <v>0</v>
      </c>
      <c r="I44" s="54">
        <v>0</v>
      </c>
      <c r="J44" s="54">
        <v>27.090566635131836</v>
      </c>
      <c r="K44" s="54">
        <v>40</v>
      </c>
      <c r="L44" s="54">
        <v>49.97649002075195</v>
      </c>
      <c r="M44" s="54">
        <v>0</v>
      </c>
      <c r="N44" s="54">
        <v>0</v>
      </c>
      <c r="O44" s="54">
        <v>29.125072479248047</v>
      </c>
      <c r="P44" s="54">
        <v>0.05000000074505806</v>
      </c>
      <c r="Q44" s="54">
        <v>0.2098524272441864</v>
      </c>
      <c r="R44" s="54">
        <v>0.00020921326358802617</v>
      </c>
      <c r="S44" s="54">
        <v>0</v>
      </c>
      <c r="T44" s="54">
        <v>0</v>
      </c>
      <c r="U44" s="71">
        <v>0</v>
      </c>
      <c r="V44" s="79">
        <v>0</v>
      </c>
      <c r="W44" s="80">
        <v>99.9782943725586</v>
      </c>
      <c r="X44" s="71">
        <v>18.192996978759766</v>
      </c>
      <c r="Y44" s="71">
        <v>33</v>
      </c>
      <c r="Z44" s="71">
        <v>86.4279556274414</v>
      </c>
      <c r="AA44" s="71">
        <v>19.67230987548828</v>
      </c>
      <c r="AB44" s="71">
        <v>52.072486877441406</v>
      </c>
      <c r="AC44" s="71">
        <v>33</v>
      </c>
      <c r="AD44" s="71">
        <v>89.23177337646484</v>
      </c>
      <c r="AE44" s="58">
        <v>15.2199068069458</v>
      </c>
      <c r="AF44" s="58">
        <v>18.961589813232422</v>
      </c>
      <c r="AG44" s="58"/>
      <c r="AH44" s="58">
        <v>0</v>
      </c>
      <c r="AI44" s="58">
        <v>0</v>
      </c>
      <c r="AJ44" s="58">
        <v>0</v>
      </c>
      <c r="AK44" s="58">
        <v>84.86689758300781</v>
      </c>
      <c r="AL44" s="59">
        <v>43.923614501953125</v>
      </c>
      <c r="AM44" s="81"/>
      <c r="AN44" s="72"/>
      <c r="AO44" s="58"/>
      <c r="AP44" s="58"/>
      <c r="AQ44" s="58"/>
      <c r="AR44" s="62"/>
    </row>
    <row r="45" spans="2:44" ht="13.5" customHeight="1" x14ac:dyDescent="0.25">
      <c r="B45" s="41" t="s">
        <v>273</v>
      </c>
      <c r="C45" s="54">
        <v>0</v>
      </c>
      <c r="D45" s="54">
        <v>2.670526555448305E-06</v>
      </c>
      <c r="E45" s="54">
        <v>38.59230422973633</v>
      </c>
      <c r="F45" s="54"/>
      <c r="G45" s="54"/>
      <c r="H45" s="54">
        <v>0</v>
      </c>
      <c r="I45" s="54">
        <v>0</v>
      </c>
      <c r="J45" s="54">
        <v>27.01822853088379</v>
      </c>
      <c r="K45" s="54">
        <v>40</v>
      </c>
      <c r="L45" s="54">
        <v>48.78291320800781</v>
      </c>
      <c r="M45" s="54">
        <v>0</v>
      </c>
      <c r="N45" s="54">
        <v>0</v>
      </c>
      <c r="O45" s="54">
        <v>28.844762802124023</v>
      </c>
      <c r="P45" s="54">
        <v>0.05000000074505806</v>
      </c>
      <c r="Q45" s="54">
        <v>0.20081019401550293</v>
      </c>
      <c r="R45" s="54">
        <v>0.00020913696789648384</v>
      </c>
      <c r="S45" s="54">
        <v>0</v>
      </c>
      <c r="T45" s="54">
        <v>0</v>
      </c>
      <c r="U45" s="71">
        <v>0</v>
      </c>
      <c r="V45" s="79">
        <v>0</v>
      </c>
      <c r="W45" s="80">
        <v>93.38107299804688</v>
      </c>
      <c r="X45" s="71">
        <v>18.56553840637207</v>
      </c>
      <c r="Y45" s="71">
        <v>33</v>
      </c>
      <c r="Z45" s="71">
        <v>86.7795181274414</v>
      </c>
      <c r="AA45" s="71">
        <v>19.48784828186035</v>
      </c>
      <c r="AB45" s="71">
        <v>50.878910064697266</v>
      </c>
      <c r="AC45" s="71">
        <v>33</v>
      </c>
      <c r="AD45" s="71">
        <v>89.16667175292969</v>
      </c>
      <c r="AE45" s="58">
        <v>15.020977973937988</v>
      </c>
      <c r="AF45" s="58">
        <v>18.961589813232422</v>
      </c>
      <c r="AG45" s="58"/>
      <c r="AH45" s="58">
        <v>0</v>
      </c>
      <c r="AI45" s="58">
        <v>0</v>
      </c>
      <c r="AJ45" s="58">
        <v>0</v>
      </c>
      <c r="AK45" s="58">
        <v>84.8415756225586</v>
      </c>
      <c r="AL45" s="59">
        <v>43.593753814697266</v>
      </c>
      <c r="AM45" s="81"/>
      <c r="AN45" s="72"/>
      <c r="AO45" s="58"/>
      <c r="AP45" s="58"/>
      <c r="AQ45" s="58"/>
      <c r="AR45" s="62"/>
    </row>
    <row r="46" spans="2:44" ht="13.5" customHeight="1" x14ac:dyDescent="0.25">
      <c r="B46" s="14">
        <v>0.125</v>
      </c>
      <c r="C46" s="54">
        <v>0</v>
      </c>
      <c r="D46" s="54">
        <v>1.1324882365215672E-07</v>
      </c>
      <c r="E46" s="54">
        <v>46.057579040527344</v>
      </c>
      <c r="F46" s="54"/>
      <c r="G46" s="54"/>
      <c r="H46" s="54">
        <v>0</v>
      </c>
      <c r="I46" s="54">
        <v>0</v>
      </c>
      <c r="J46" s="54">
        <v>26.819299697875977</v>
      </c>
      <c r="K46" s="54">
        <v>40</v>
      </c>
      <c r="L46" s="54">
        <v>48.66536331176758</v>
      </c>
      <c r="M46" s="54">
        <v>0</v>
      </c>
      <c r="N46" s="54">
        <v>0</v>
      </c>
      <c r="O46" s="54">
        <v>28.356481552124023</v>
      </c>
      <c r="P46" s="54">
        <v>0.05000000074505806</v>
      </c>
      <c r="Q46" s="54">
        <v>0.20493344962596893</v>
      </c>
      <c r="R46" s="54">
        <v>0.00020890808082185686</v>
      </c>
      <c r="S46" s="54">
        <v>0</v>
      </c>
      <c r="T46" s="54">
        <v>0</v>
      </c>
      <c r="U46" s="71">
        <v>0</v>
      </c>
      <c r="V46" s="79">
        <v>0</v>
      </c>
      <c r="W46" s="80">
        <v>93.65596008300781</v>
      </c>
      <c r="X46" s="71">
        <v>18.764467239379883</v>
      </c>
      <c r="Y46" s="71">
        <v>45</v>
      </c>
      <c r="Z46" s="71">
        <v>118.86719512939453</v>
      </c>
      <c r="AA46" s="71">
        <v>19.46614646911621</v>
      </c>
      <c r="AB46" s="71">
        <v>49.82096481323242</v>
      </c>
      <c r="AC46" s="71">
        <v>45</v>
      </c>
      <c r="AD46" s="71">
        <v>123.20313262939453</v>
      </c>
      <c r="AE46" s="58">
        <v>14.95225715637207</v>
      </c>
      <c r="AF46" s="58">
        <v>18.84765625</v>
      </c>
      <c r="AG46" s="58"/>
      <c r="AH46" s="58">
        <v>0</v>
      </c>
      <c r="AI46" s="58">
        <v>0</v>
      </c>
      <c r="AJ46" s="58">
        <v>0</v>
      </c>
      <c r="AK46" s="58">
        <v>84.82349395751953</v>
      </c>
      <c r="AL46" s="59">
        <v>43.22916793823242</v>
      </c>
      <c r="AM46" s="81"/>
      <c r="AN46" s="72"/>
      <c r="AO46" s="58"/>
      <c r="AP46" s="58"/>
      <c r="AQ46" s="58"/>
      <c r="AR46" s="62"/>
    </row>
    <row r="47" spans="2:44" ht="13.5" customHeight="1" x14ac:dyDescent="0.25">
      <c r="B47" s="14">
        <v>0.16666666666666666</v>
      </c>
      <c r="C47" s="54">
        <v>0</v>
      </c>
      <c r="D47" s="54">
        <v>0</v>
      </c>
      <c r="E47" s="54">
        <v>43.43894577026367</v>
      </c>
      <c r="F47" s="54"/>
      <c r="G47" s="54"/>
      <c r="H47" s="54">
        <v>0</v>
      </c>
      <c r="I47" s="54">
        <v>0</v>
      </c>
      <c r="J47" s="54">
        <v>26.52994728088379</v>
      </c>
      <c r="K47" s="54">
        <v>40</v>
      </c>
      <c r="L47" s="54">
        <v>50.69987106323242</v>
      </c>
      <c r="M47" s="54">
        <v>0</v>
      </c>
      <c r="N47" s="54">
        <v>0</v>
      </c>
      <c r="O47" s="54">
        <v>27.99479103088379</v>
      </c>
      <c r="P47" s="54">
        <v>0.05000000074505806</v>
      </c>
      <c r="Q47" s="54">
        <v>0.20623552799224854</v>
      </c>
      <c r="R47" s="54">
        <v>0.00020810699788853526</v>
      </c>
      <c r="S47" s="54">
        <v>0</v>
      </c>
      <c r="T47" s="54">
        <v>0</v>
      </c>
      <c r="U47" s="71">
        <v>0</v>
      </c>
      <c r="V47" s="79">
        <v>0</v>
      </c>
      <c r="W47" s="80">
        <v>99.9819107055664</v>
      </c>
      <c r="X47" s="71">
        <v>17.118778228759766</v>
      </c>
      <c r="Y47" s="71">
        <v>45</v>
      </c>
      <c r="Z47" s="71">
        <v>119.17535400390625</v>
      </c>
      <c r="AA47" s="71">
        <v>19.753690719604492</v>
      </c>
      <c r="AB47" s="71">
        <v>48.72504425048828</v>
      </c>
      <c r="AC47" s="71">
        <v>45</v>
      </c>
      <c r="AD47" s="71">
        <v>122.9123306274414</v>
      </c>
      <c r="AE47" s="58">
        <v>14.959490776062012</v>
      </c>
      <c r="AF47" s="58">
        <v>18.97786521911621</v>
      </c>
      <c r="AG47" s="58"/>
      <c r="AH47" s="58">
        <v>0</v>
      </c>
      <c r="AI47" s="58">
        <v>0</v>
      </c>
      <c r="AJ47" s="58">
        <v>0</v>
      </c>
      <c r="AK47" s="58">
        <v>84.77285766601562</v>
      </c>
      <c r="AL47" s="59">
        <v>42.861690521240234</v>
      </c>
      <c r="AM47" s="81"/>
      <c r="AN47" s="72"/>
      <c r="AO47" s="58"/>
      <c r="AP47" s="58"/>
      <c r="AQ47" s="58"/>
      <c r="AR47" s="62"/>
    </row>
    <row r="48" spans="2:44" ht="13.5" customHeight="1" x14ac:dyDescent="0.25">
      <c r="B48" s="14">
        <v>0.20833333333333334</v>
      </c>
      <c r="C48" s="54">
        <v>0</v>
      </c>
      <c r="D48" s="54">
        <v>1.8436908248986583E-06</v>
      </c>
      <c r="E48" s="54">
        <v>45.58738327026367</v>
      </c>
      <c r="F48" s="54"/>
      <c r="G48" s="54"/>
      <c r="H48" s="54">
        <v>0</v>
      </c>
      <c r="I48" s="54">
        <v>0</v>
      </c>
      <c r="J48" s="54">
        <v>26.132089614868164</v>
      </c>
      <c r="K48" s="54">
        <v>40</v>
      </c>
      <c r="L48" s="54">
        <v>50.54615020751953</v>
      </c>
      <c r="M48" s="54">
        <v>0</v>
      </c>
      <c r="N48" s="54">
        <v>0</v>
      </c>
      <c r="O48" s="54">
        <v>27.61501693725586</v>
      </c>
      <c r="P48" s="54">
        <v>0.05000000074505806</v>
      </c>
      <c r="Q48" s="54">
        <v>0.19871237874031067</v>
      </c>
      <c r="R48" s="54">
        <v>0.00020969391334801912</v>
      </c>
      <c r="S48" s="54">
        <v>0</v>
      </c>
      <c r="T48" s="54">
        <v>0</v>
      </c>
      <c r="U48" s="71">
        <v>0</v>
      </c>
      <c r="V48" s="79">
        <v>0</v>
      </c>
      <c r="W48" s="80">
        <v>95.83332824707031</v>
      </c>
      <c r="X48" s="71">
        <v>17.94704818725586</v>
      </c>
      <c r="Y48" s="71">
        <v>35</v>
      </c>
      <c r="Z48" s="71">
        <v>92.63021087646484</v>
      </c>
      <c r="AA48" s="71">
        <v>20.095487594604492</v>
      </c>
      <c r="AB48" s="71">
        <v>47.74305725097656</v>
      </c>
      <c r="AC48" s="71">
        <v>35</v>
      </c>
      <c r="AD48" s="71">
        <v>95.75955200195312</v>
      </c>
      <c r="AE48" s="58">
        <v>14.583333015441895</v>
      </c>
      <c r="AF48" s="58">
        <v>18.690322875976562</v>
      </c>
      <c r="AG48" s="58"/>
      <c r="AH48" s="58">
        <v>0</v>
      </c>
      <c r="AI48" s="58">
        <v>0</v>
      </c>
      <c r="AJ48" s="58">
        <v>0</v>
      </c>
      <c r="AK48" s="58">
        <v>84.71137237548828</v>
      </c>
      <c r="AL48" s="59">
        <v>42.534725189208984</v>
      </c>
      <c r="AM48" s="81"/>
      <c r="AN48" s="72"/>
      <c r="AO48" s="58"/>
      <c r="AP48" s="58"/>
      <c r="AQ48" s="58"/>
      <c r="AR48" s="62"/>
    </row>
    <row r="49" spans="2:44" ht="13.5" customHeight="1" x14ac:dyDescent="0.25">
      <c r="B49" s="14">
        <v>0.25</v>
      </c>
      <c r="C49" s="54">
        <v>0</v>
      </c>
      <c r="D49" s="54">
        <v>1.8692016112709098E-07</v>
      </c>
      <c r="E49" s="54">
        <v>55.454280853271484</v>
      </c>
      <c r="F49" s="54"/>
      <c r="G49" s="54"/>
      <c r="H49" s="54">
        <v>0</v>
      </c>
      <c r="I49" s="54">
        <v>0</v>
      </c>
      <c r="J49" s="54">
        <v>25.679977416992188</v>
      </c>
      <c r="K49" s="54">
        <v>40</v>
      </c>
      <c r="L49" s="54">
        <v>50.48285675048828</v>
      </c>
      <c r="M49" s="54">
        <v>0</v>
      </c>
      <c r="N49" s="54">
        <v>0</v>
      </c>
      <c r="O49" s="54">
        <v>26.891637802124023</v>
      </c>
      <c r="P49" s="54">
        <v>0.05000000074505806</v>
      </c>
      <c r="Q49" s="54">
        <v>0.20862269401550293</v>
      </c>
      <c r="R49" s="54">
        <v>0.0002072906499961391</v>
      </c>
      <c r="S49" s="54">
        <v>0</v>
      </c>
      <c r="T49" s="54">
        <v>0</v>
      </c>
      <c r="U49" s="71">
        <v>0</v>
      </c>
      <c r="V49" s="79">
        <v>0</v>
      </c>
      <c r="W49" s="80">
        <v>99.9819107055664</v>
      </c>
      <c r="X49" s="71">
        <v>17.33940887451172</v>
      </c>
      <c r="Y49" s="71">
        <v>35</v>
      </c>
      <c r="Z49" s="71">
        <v>91.75347900390625</v>
      </c>
      <c r="AA49" s="71">
        <v>22.98177146911621</v>
      </c>
      <c r="AB49" s="71">
        <v>46.630863189697266</v>
      </c>
      <c r="AC49" s="71">
        <v>35</v>
      </c>
      <c r="AD49" s="71">
        <v>95.2170181274414</v>
      </c>
      <c r="AE49" s="58">
        <v>14.520037651062012</v>
      </c>
      <c r="AF49" s="58">
        <v>18.67404556274414</v>
      </c>
      <c r="AG49" s="58"/>
      <c r="AH49" s="58">
        <v>0</v>
      </c>
      <c r="AI49" s="58">
        <v>0</v>
      </c>
      <c r="AJ49" s="58">
        <v>0</v>
      </c>
      <c r="AK49" s="58">
        <v>84.64264678955078</v>
      </c>
      <c r="AL49" s="59">
        <v>42.17303466796875</v>
      </c>
      <c r="AM49" s="81"/>
      <c r="AN49" s="72"/>
      <c r="AO49" s="58"/>
      <c r="AP49" s="58"/>
      <c r="AQ49" s="58"/>
      <c r="AR49" s="62"/>
    </row>
    <row r="50" spans="2:44" ht="13.5" customHeight="1" x14ac:dyDescent="0.25">
      <c r="B50" s="14">
        <v>0.29166666666666669</v>
      </c>
      <c r="C50" s="54">
        <v>0</v>
      </c>
      <c r="D50" s="54">
        <v>1.1315345318507752E-06</v>
      </c>
      <c r="E50" s="54">
        <v>63.715274810791016</v>
      </c>
      <c r="F50" s="54"/>
      <c r="G50" s="54"/>
      <c r="H50" s="54">
        <v>0</v>
      </c>
      <c r="I50" s="54">
        <v>0</v>
      </c>
      <c r="J50" s="54">
        <v>25.236906051635742</v>
      </c>
      <c r="K50" s="54">
        <v>40</v>
      </c>
      <c r="L50" s="54">
        <v>50.202545166015625</v>
      </c>
      <c r="M50" s="54">
        <v>0</v>
      </c>
      <c r="N50" s="54">
        <v>0</v>
      </c>
      <c r="O50" s="54">
        <v>26.55707550048828</v>
      </c>
      <c r="P50" s="54">
        <v>0.05000000074505806</v>
      </c>
      <c r="Q50" s="54">
        <v>0.12355323880910873</v>
      </c>
      <c r="R50" s="54">
        <v>0.00015110778622329235</v>
      </c>
      <c r="S50" s="54">
        <v>0</v>
      </c>
      <c r="T50" s="54">
        <v>0</v>
      </c>
      <c r="U50" s="71">
        <v>0</v>
      </c>
      <c r="V50" s="79">
        <v>0</v>
      </c>
      <c r="W50" s="80">
        <v>93.5836181640625</v>
      </c>
      <c r="X50" s="71">
        <v>15.41883659362793</v>
      </c>
      <c r="Y50" s="71">
        <v>30</v>
      </c>
      <c r="Z50" s="71">
        <v>77.74305725097656</v>
      </c>
      <c r="AA50" s="71">
        <v>25.059680938720703</v>
      </c>
      <c r="AB50" s="71">
        <v>53.84657287597656</v>
      </c>
      <c r="AC50" s="71">
        <v>30</v>
      </c>
      <c r="AD50" s="71">
        <v>80.99392700195312</v>
      </c>
      <c r="AE50" s="58">
        <v>14.520037651062012</v>
      </c>
      <c r="AF50" s="58">
        <v>18.97786521911621</v>
      </c>
      <c r="AG50" s="58"/>
      <c r="AH50" s="58">
        <v>0</v>
      </c>
      <c r="AI50" s="58">
        <v>0</v>
      </c>
      <c r="AJ50" s="58">
        <v>0</v>
      </c>
      <c r="AK50" s="58">
        <v>84.61371612548828</v>
      </c>
      <c r="AL50" s="59">
        <v>41.84027862548828</v>
      </c>
      <c r="AM50" s="81"/>
      <c r="AN50" s="72"/>
      <c r="AO50" s="58"/>
      <c r="AP50" s="58"/>
      <c r="AQ50" s="58"/>
      <c r="AR50" s="62"/>
    </row>
    <row r="51" spans="2:44" ht="13.5" customHeight="1" x14ac:dyDescent="0.25">
      <c r="B51" s="42">
        <v>0.33333333333333331</v>
      </c>
      <c r="C51" s="63">
        <v>0</v>
      </c>
      <c r="D51" s="63">
        <v>8.050679753068835E-06</v>
      </c>
      <c r="E51" s="63">
        <v>41.71006774902344</v>
      </c>
      <c r="F51" s="63"/>
      <c r="G51" s="63"/>
      <c r="H51" s="63">
        <v>0</v>
      </c>
      <c r="I51" s="63">
        <v>0</v>
      </c>
      <c r="J51" s="63">
        <v>24.90234375</v>
      </c>
      <c r="K51" s="63">
        <v>40</v>
      </c>
      <c r="L51" s="63">
        <v>49.8046875</v>
      </c>
      <c r="M51" s="63">
        <v>0</v>
      </c>
      <c r="N51" s="63">
        <v>0</v>
      </c>
      <c r="O51" s="63">
        <v>26.602285385131836</v>
      </c>
      <c r="P51" s="63">
        <v>0.05000000074505806</v>
      </c>
      <c r="Q51" s="63">
        <v>0.169921875</v>
      </c>
      <c r="R51" s="63">
        <v>0.0001319961593253538</v>
      </c>
      <c r="S51" s="63">
        <v>0</v>
      </c>
      <c r="T51" s="63">
        <v>0</v>
      </c>
      <c r="U51" s="74">
        <v>0</v>
      </c>
      <c r="V51" s="82">
        <v>0</v>
      </c>
      <c r="W51" s="83">
        <v>99.9819107055664</v>
      </c>
      <c r="X51" s="74">
        <v>16.858362197875977</v>
      </c>
      <c r="Y51" s="74">
        <v>25</v>
      </c>
      <c r="Z51" s="74">
        <v>0</v>
      </c>
      <c r="AA51" s="74">
        <v>43.59809112548828</v>
      </c>
      <c r="AB51" s="74">
        <v>76.92057800292969</v>
      </c>
      <c r="AC51" s="74">
        <v>50</v>
      </c>
      <c r="AD51" s="74">
        <v>123.79341125488281</v>
      </c>
      <c r="AE51" s="67">
        <v>15.140335083007812</v>
      </c>
      <c r="AF51" s="67">
        <v>18.75542640686035</v>
      </c>
      <c r="AG51" s="67"/>
      <c r="AH51" s="67">
        <v>0</v>
      </c>
      <c r="AI51" s="67">
        <v>0</v>
      </c>
      <c r="AJ51" s="67">
        <v>0</v>
      </c>
      <c r="AK51" s="67">
        <v>69.14785766601562</v>
      </c>
      <c r="AL51" s="68">
        <v>50.81886672973633</v>
      </c>
      <c r="AM51" s="84"/>
      <c r="AN51" s="75"/>
      <c r="AO51" s="67"/>
      <c r="AP51" s="67"/>
      <c r="AQ51" s="67"/>
      <c r="AR51" s="78"/>
    </row>
    <row r="52" spans="2:44" ht="13.5" customHeight="1" x14ac:dyDescent="0.25">
      <c r="B52" s="173" t="s">
        <v>372</v>
      </c>
      <c r="C52" s="174"/>
      <c r="D52" s="9" t="s">
        <v>274</v>
      </c>
      <c r="E52" s="154" t="s">
        <v>20</v>
      </c>
      <c r="F52" s="157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9"/>
      <c r="AP52" s="159"/>
      <c r="AQ52" s="159"/>
      <c r="AR52" s="160"/>
    </row>
    <row r="53" spans="2:44" ht="13.5" customHeight="1" x14ac:dyDescent="0.25">
      <c r="B53" s="153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24"/>
      <c r="AP53" s="124"/>
      <c r="AQ53" s="124"/>
      <c r="AR53" s="161"/>
    </row>
    <row r="54" spans="2:44" ht="13.5" customHeight="1" thickBot="1" x14ac:dyDescent="0.3">
      <c r="B54" s="164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62"/>
      <c r="AP54" s="162"/>
      <c r="AQ54" s="162"/>
      <c r="AR54" s="163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32" t="s">
        <v>230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13" customHeight="1" x14ac:dyDescent="0.25">
      <c r="B2" s="213" t="s">
        <v>232</v>
      </c>
      <c r="C2" s="146"/>
      <c r="D2" s="146"/>
      <c r="E2" s="146"/>
      <c r="F2" s="146"/>
      <c r="G2" s="146"/>
      <c r="H2" s="146"/>
      <c r="I2" s="146"/>
      <c r="J2" s="146"/>
      <c r="K2" s="146"/>
      <c r="L2" s="151"/>
      <c r="M2" s="214" t="s">
        <v>231</v>
      </c>
      <c r="N2" s="146"/>
      <c r="O2" s="146"/>
      <c r="P2" s="146"/>
      <c r="Q2" s="146"/>
      <c r="R2" s="146"/>
      <c r="S2" s="146"/>
      <c r="T2" s="146"/>
      <c r="U2" s="146"/>
      <c r="V2" s="146"/>
      <c r="W2" s="151"/>
      <c r="X2" s="134" t="s">
        <v>233</v>
      </c>
      <c r="Y2" s="146"/>
      <c r="Z2" s="146"/>
      <c r="AA2" s="146"/>
      <c r="AB2" s="146"/>
      <c r="AC2" s="146"/>
      <c r="AD2" s="146"/>
      <c r="AE2" s="146"/>
      <c r="AF2" s="146"/>
      <c r="AG2" s="146"/>
      <c r="AH2" s="151"/>
      <c r="AI2" s="214" t="s">
        <v>234</v>
      </c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51"/>
      <c r="AU2" s="134" t="s">
        <v>235</v>
      </c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215"/>
    </row>
    <row r="3" spans="2:58" ht="13" customHeight="1" x14ac:dyDescent="0.25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3"/>
      <c r="M3" s="189"/>
      <c r="N3" s="182"/>
      <c r="O3" s="182"/>
      <c r="P3" s="182"/>
      <c r="Q3" s="182"/>
      <c r="R3" s="182"/>
      <c r="S3" s="182"/>
      <c r="T3" s="182"/>
      <c r="U3" s="182"/>
      <c r="V3" s="182"/>
      <c r="W3" s="183"/>
      <c r="X3" s="193"/>
      <c r="Y3" s="182"/>
      <c r="Z3" s="182"/>
      <c r="AA3" s="182"/>
      <c r="AB3" s="182"/>
      <c r="AC3" s="182"/>
      <c r="AD3" s="182"/>
      <c r="AE3" s="182"/>
      <c r="AF3" s="182"/>
      <c r="AG3" s="182"/>
      <c r="AH3" s="183"/>
      <c r="AI3" s="194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3"/>
      <c r="AU3" s="193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95"/>
    </row>
    <row r="4" spans="2:58" ht="13" customHeight="1" x14ac:dyDescent="0.25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90"/>
      <c r="N4" s="185"/>
      <c r="O4" s="185"/>
      <c r="P4" s="185"/>
      <c r="Q4" s="185"/>
      <c r="R4" s="185"/>
      <c r="S4" s="185"/>
      <c r="T4" s="185"/>
      <c r="U4" s="185"/>
      <c r="V4" s="185"/>
      <c r="W4" s="186"/>
      <c r="X4" s="190"/>
      <c r="Y4" s="185"/>
      <c r="Z4" s="185"/>
      <c r="AA4" s="185"/>
      <c r="AB4" s="185"/>
      <c r="AC4" s="185"/>
      <c r="AD4" s="185"/>
      <c r="AE4" s="185"/>
      <c r="AF4" s="185"/>
      <c r="AG4" s="185"/>
      <c r="AH4" s="186"/>
      <c r="AI4" s="190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6"/>
      <c r="AU4" s="190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96"/>
    </row>
    <row r="5" spans="2:58" ht="13" customHeight="1" x14ac:dyDescent="0.25">
      <c r="B5" s="184"/>
      <c r="C5" s="185"/>
      <c r="D5" s="185"/>
      <c r="E5" s="185"/>
      <c r="F5" s="185"/>
      <c r="G5" s="185"/>
      <c r="H5" s="185"/>
      <c r="I5" s="185"/>
      <c r="J5" s="185"/>
      <c r="K5" s="185"/>
      <c r="L5" s="186"/>
      <c r="M5" s="190"/>
      <c r="N5" s="185"/>
      <c r="O5" s="185"/>
      <c r="P5" s="185"/>
      <c r="Q5" s="185"/>
      <c r="R5" s="185"/>
      <c r="S5" s="185"/>
      <c r="T5" s="185"/>
      <c r="U5" s="185"/>
      <c r="V5" s="185"/>
      <c r="W5" s="186"/>
      <c r="X5" s="190"/>
      <c r="Y5" s="185"/>
      <c r="Z5" s="185"/>
      <c r="AA5" s="185"/>
      <c r="AB5" s="185"/>
      <c r="AC5" s="185"/>
      <c r="AD5" s="185"/>
      <c r="AE5" s="185"/>
      <c r="AF5" s="185"/>
      <c r="AG5" s="185"/>
      <c r="AH5" s="186"/>
      <c r="AI5" s="190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6"/>
      <c r="AU5" s="190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96"/>
    </row>
    <row r="6" spans="2:58" ht="13" customHeight="1" x14ac:dyDescent="0.25"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6"/>
      <c r="M6" s="190"/>
      <c r="N6" s="185"/>
      <c r="O6" s="185"/>
      <c r="P6" s="185"/>
      <c r="Q6" s="185"/>
      <c r="R6" s="185"/>
      <c r="S6" s="185"/>
      <c r="T6" s="185"/>
      <c r="U6" s="185"/>
      <c r="V6" s="185"/>
      <c r="W6" s="186"/>
      <c r="X6" s="190"/>
      <c r="Y6" s="185"/>
      <c r="Z6" s="185"/>
      <c r="AA6" s="185"/>
      <c r="AB6" s="185"/>
      <c r="AC6" s="185"/>
      <c r="AD6" s="185"/>
      <c r="AE6" s="185"/>
      <c r="AF6" s="185"/>
      <c r="AG6" s="185"/>
      <c r="AH6" s="186"/>
      <c r="AI6" s="190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6"/>
      <c r="AU6" s="190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96"/>
    </row>
    <row r="7" spans="2:58" ht="13" customHeight="1" x14ac:dyDescent="0.25">
      <c r="B7" s="184"/>
      <c r="C7" s="185"/>
      <c r="D7" s="185"/>
      <c r="E7" s="185"/>
      <c r="F7" s="185"/>
      <c r="G7" s="185"/>
      <c r="H7" s="185"/>
      <c r="I7" s="185"/>
      <c r="J7" s="185"/>
      <c r="K7" s="185"/>
      <c r="L7" s="186"/>
      <c r="M7" s="190"/>
      <c r="N7" s="185"/>
      <c r="O7" s="185"/>
      <c r="P7" s="185"/>
      <c r="Q7" s="185"/>
      <c r="R7" s="185"/>
      <c r="S7" s="185"/>
      <c r="T7" s="185"/>
      <c r="U7" s="185"/>
      <c r="V7" s="185"/>
      <c r="W7" s="186"/>
      <c r="X7" s="190"/>
      <c r="Y7" s="185"/>
      <c r="Z7" s="185"/>
      <c r="AA7" s="185"/>
      <c r="AB7" s="185"/>
      <c r="AC7" s="185"/>
      <c r="AD7" s="185"/>
      <c r="AE7" s="185"/>
      <c r="AF7" s="185"/>
      <c r="AG7" s="185"/>
      <c r="AH7" s="186"/>
      <c r="AI7" s="190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6"/>
      <c r="AU7" s="190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96"/>
    </row>
    <row r="8" spans="2:58" ht="13" customHeight="1" x14ac:dyDescent="0.25">
      <c r="B8" s="184"/>
      <c r="C8" s="185"/>
      <c r="D8" s="185"/>
      <c r="E8" s="185"/>
      <c r="F8" s="185"/>
      <c r="G8" s="185"/>
      <c r="H8" s="185"/>
      <c r="I8" s="185"/>
      <c r="J8" s="185"/>
      <c r="K8" s="185"/>
      <c r="L8" s="186"/>
      <c r="M8" s="190"/>
      <c r="N8" s="185"/>
      <c r="O8" s="185"/>
      <c r="P8" s="185"/>
      <c r="Q8" s="185"/>
      <c r="R8" s="185"/>
      <c r="S8" s="185"/>
      <c r="T8" s="185"/>
      <c r="U8" s="185"/>
      <c r="V8" s="185"/>
      <c r="W8" s="186"/>
      <c r="X8" s="190"/>
      <c r="Y8" s="185"/>
      <c r="Z8" s="185"/>
      <c r="AA8" s="185"/>
      <c r="AB8" s="185"/>
      <c r="AC8" s="185"/>
      <c r="AD8" s="185"/>
      <c r="AE8" s="185"/>
      <c r="AF8" s="185"/>
      <c r="AG8" s="185"/>
      <c r="AH8" s="186"/>
      <c r="AI8" s="190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6"/>
      <c r="AU8" s="190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96"/>
    </row>
    <row r="9" spans="2:58" ht="13" customHeight="1" x14ac:dyDescent="0.25">
      <c r="B9" s="187"/>
      <c r="C9" s="188"/>
      <c r="D9" s="188"/>
      <c r="E9" s="188"/>
      <c r="F9" s="188"/>
      <c r="G9" s="188"/>
      <c r="H9" s="188"/>
      <c r="I9" s="188"/>
      <c r="J9" s="188"/>
      <c r="K9" s="188"/>
      <c r="L9" s="174"/>
      <c r="M9" s="191"/>
      <c r="N9" s="188"/>
      <c r="O9" s="188"/>
      <c r="P9" s="188"/>
      <c r="Q9" s="188"/>
      <c r="R9" s="188"/>
      <c r="S9" s="188"/>
      <c r="T9" s="188"/>
      <c r="U9" s="188"/>
      <c r="V9" s="188"/>
      <c r="W9" s="174"/>
      <c r="X9" s="191"/>
      <c r="Y9" s="188"/>
      <c r="Z9" s="188"/>
      <c r="AA9" s="188"/>
      <c r="AB9" s="188"/>
      <c r="AC9" s="188"/>
      <c r="AD9" s="188"/>
      <c r="AE9" s="188"/>
      <c r="AF9" s="188"/>
      <c r="AG9" s="188"/>
      <c r="AH9" s="174"/>
      <c r="AI9" s="191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74"/>
      <c r="AU9" s="191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97"/>
    </row>
    <row r="10" spans="2:58" ht="13" customHeight="1" x14ac:dyDescent="0.25">
      <c r="B10" s="201" t="s">
        <v>236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212" t="s">
        <v>237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8"/>
      <c r="X10" s="139" t="s">
        <v>238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8"/>
      <c r="AI10" s="139" t="s">
        <v>239</v>
      </c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4" t="s">
        <v>240</v>
      </c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206"/>
    </row>
    <row r="11" spans="2:58" ht="13" customHeight="1" x14ac:dyDescent="0.25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3"/>
      <c r="M11" s="189"/>
      <c r="N11" s="182"/>
      <c r="O11" s="182"/>
      <c r="P11" s="182"/>
      <c r="Q11" s="182"/>
      <c r="R11" s="182"/>
      <c r="S11" s="182"/>
      <c r="T11" s="182"/>
      <c r="U11" s="182"/>
      <c r="V11" s="182"/>
      <c r="W11" s="183"/>
      <c r="X11" s="189"/>
      <c r="Y11" s="182"/>
      <c r="Z11" s="182"/>
      <c r="AA11" s="182"/>
      <c r="AB11" s="182"/>
      <c r="AC11" s="182"/>
      <c r="AD11" s="182"/>
      <c r="AE11" s="182"/>
      <c r="AF11" s="182"/>
      <c r="AG11" s="182"/>
      <c r="AH11" s="183"/>
      <c r="AI11" s="189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3"/>
      <c r="AU11" s="198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95"/>
    </row>
    <row r="12" spans="2:58" ht="13" customHeight="1" x14ac:dyDescent="0.25">
      <c r="B12" s="184"/>
      <c r="C12" s="185"/>
      <c r="D12" s="185"/>
      <c r="E12" s="185"/>
      <c r="F12" s="185"/>
      <c r="G12" s="185"/>
      <c r="H12" s="185"/>
      <c r="I12" s="185"/>
      <c r="J12" s="185"/>
      <c r="K12" s="185"/>
      <c r="L12" s="186"/>
      <c r="M12" s="190"/>
      <c r="N12" s="185"/>
      <c r="O12" s="185"/>
      <c r="P12" s="185"/>
      <c r="Q12" s="185"/>
      <c r="R12" s="185"/>
      <c r="S12" s="185"/>
      <c r="T12" s="185"/>
      <c r="U12" s="185"/>
      <c r="V12" s="185"/>
      <c r="W12" s="186"/>
      <c r="X12" s="190"/>
      <c r="Y12" s="185"/>
      <c r="Z12" s="185"/>
      <c r="AA12" s="185"/>
      <c r="AB12" s="185"/>
      <c r="AC12" s="185"/>
      <c r="AD12" s="185"/>
      <c r="AE12" s="185"/>
      <c r="AF12" s="185"/>
      <c r="AG12" s="185"/>
      <c r="AH12" s="186"/>
      <c r="AI12" s="190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6"/>
      <c r="AU12" s="190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96"/>
    </row>
    <row r="13" spans="2:58" ht="13" customHeight="1" x14ac:dyDescent="0.25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6"/>
      <c r="M13" s="190"/>
      <c r="N13" s="185"/>
      <c r="O13" s="185"/>
      <c r="P13" s="185"/>
      <c r="Q13" s="185"/>
      <c r="R13" s="185"/>
      <c r="S13" s="185"/>
      <c r="T13" s="185"/>
      <c r="U13" s="185"/>
      <c r="V13" s="185"/>
      <c r="W13" s="186"/>
      <c r="X13" s="190"/>
      <c r="Y13" s="185"/>
      <c r="Z13" s="185"/>
      <c r="AA13" s="185"/>
      <c r="AB13" s="185"/>
      <c r="AC13" s="185"/>
      <c r="AD13" s="185"/>
      <c r="AE13" s="185"/>
      <c r="AF13" s="185"/>
      <c r="AG13" s="185"/>
      <c r="AH13" s="186"/>
      <c r="AI13" s="190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6"/>
      <c r="AU13" s="190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96"/>
    </row>
    <row r="14" spans="2:58" ht="13" customHeight="1" x14ac:dyDescent="0.25">
      <c r="B14" s="184"/>
      <c r="C14" s="185"/>
      <c r="D14" s="185"/>
      <c r="E14" s="185"/>
      <c r="F14" s="185"/>
      <c r="G14" s="185"/>
      <c r="H14" s="185"/>
      <c r="I14" s="185"/>
      <c r="J14" s="185"/>
      <c r="K14" s="185"/>
      <c r="L14" s="186"/>
      <c r="M14" s="190"/>
      <c r="N14" s="185"/>
      <c r="O14" s="185"/>
      <c r="P14" s="185"/>
      <c r="Q14" s="185"/>
      <c r="R14" s="185"/>
      <c r="S14" s="185"/>
      <c r="T14" s="185"/>
      <c r="U14" s="185"/>
      <c r="V14" s="185"/>
      <c r="W14" s="186"/>
      <c r="X14" s="190"/>
      <c r="Y14" s="185"/>
      <c r="Z14" s="185"/>
      <c r="AA14" s="185"/>
      <c r="AB14" s="185"/>
      <c r="AC14" s="185"/>
      <c r="AD14" s="185"/>
      <c r="AE14" s="185"/>
      <c r="AF14" s="185"/>
      <c r="AG14" s="185"/>
      <c r="AH14" s="186"/>
      <c r="AI14" s="190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6"/>
      <c r="AU14" s="190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96"/>
    </row>
    <row r="15" spans="2:58" ht="13" customHeight="1" x14ac:dyDescent="0.25">
      <c r="B15" s="184"/>
      <c r="C15" s="185"/>
      <c r="D15" s="185"/>
      <c r="E15" s="185"/>
      <c r="F15" s="185"/>
      <c r="G15" s="185"/>
      <c r="H15" s="185"/>
      <c r="I15" s="185"/>
      <c r="J15" s="185"/>
      <c r="K15" s="185"/>
      <c r="L15" s="186"/>
      <c r="M15" s="190"/>
      <c r="N15" s="185"/>
      <c r="O15" s="185"/>
      <c r="P15" s="185"/>
      <c r="Q15" s="185"/>
      <c r="R15" s="185"/>
      <c r="S15" s="185"/>
      <c r="T15" s="185"/>
      <c r="U15" s="185"/>
      <c r="V15" s="185"/>
      <c r="W15" s="186"/>
      <c r="X15" s="190"/>
      <c r="Y15" s="185"/>
      <c r="Z15" s="185"/>
      <c r="AA15" s="185"/>
      <c r="AB15" s="185"/>
      <c r="AC15" s="185"/>
      <c r="AD15" s="185"/>
      <c r="AE15" s="185"/>
      <c r="AF15" s="185"/>
      <c r="AG15" s="185"/>
      <c r="AH15" s="186"/>
      <c r="AI15" s="190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6"/>
      <c r="AU15" s="190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96"/>
    </row>
    <row r="16" spans="2:58" ht="13" customHeight="1" x14ac:dyDescent="0.25">
      <c r="B16" s="184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90"/>
      <c r="N16" s="185"/>
      <c r="O16" s="185"/>
      <c r="P16" s="185"/>
      <c r="Q16" s="185"/>
      <c r="R16" s="185"/>
      <c r="S16" s="185"/>
      <c r="T16" s="185"/>
      <c r="U16" s="185"/>
      <c r="V16" s="185"/>
      <c r="W16" s="186"/>
      <c r="X16" s="190"/>
      <c r="Y16" s="185"/>
      <c r="Z16" s="185"/>
      <c r="AA16" s="185"/>
      <c r="AB16" s="185"/>
      <c r="AC16" s="185"/>
      <c r="AD16" s="185"/>
      <c r="AE16" s="185"/>
      <c r="AF16" s="185"/>
      <c r="AG16" s="185"/>
      <c r="AH16" s="186"/>
      <c r="AI16" s="190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6"/>
      <c r="AU16" s="190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96"/>
    </row>
    <row r="17" spans="2:58" ht="13" customHeight="1" x14ac:dyDescent="0.25">
      <c r="B17" s="187"/>
      <c r="C17" s="188"/>
      <c r="D17" s="188"/>
      <c r="E17" s="188"/>
      <c r="F17" s="188"/>
      <c r="G17" s="188"/>
      <c r="H17" s="188"/>
      <c r="I17" s="188"/>
      <c r="J17" s="188"/>
      <c r="K17" s="188"/>
      <c r="L17" s="174"/>
      <c r="M17" s="191"/>
      <c r="N17" s="188"/>
      <c r="O17" s="188"/>
      <c r="P17" s="188"/>
      <c r="Q17" s="188"/>
      <c r="R17" s="188"/>
      <c r="S17" s="188"/>
      <c r="T17" s="188"/>
      <c r="U17" s="188"/>
      <c r="V17" s="188"/>
      <c r="W17" s="174"/>
      <c r="X17" s="191"/>
      <c r="Y17" s="188"/>
      <c r="Z17" s="188"/>
      <c r="AA17" s="188"/>
      <c r="AB17" s="188"/>
      <c r="AC17" s="188"/>
      <c r="AD17" s="188"/>
      <c r="AE17" s="188"/>
      <c r="AF17" s="188"/>
      <c r="AG17" s="188"/>
      <c r="AH17" s="174"/>
      <c r="AI17" s="191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74"/>
      <c r="AU17" s="191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97"/>
    </row>
    <row r="18" spans="2:58" ht="13" customHeight="1" x14ac:dyDescent="0.25">
      <c r="B18" s="201" t="s">
        <v>241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202" t="s">
        <v>242</v>
      </c>
      <c r="N18" s="127"/>
      <c r="O18" s="127"/>
      <c r="P18" s="127"/>
      <c r="Q18" s="127"/>
      <c r="R18" s="127"/>
      <c r="S18" s="127"/>
      <c r="T18" s="127"/>
      <c r="U18" s="127"/>
      <c r="V18" s="127"/>
      <c r="W18" s="128"/>
      <c r="X18" s="200" t="s">
        <v>243</v>
      </c>
      <c r="Y18" s="127"/>
      <c r="Z18" s="127"/>
      <c r="AA18" s="127"/>
      <c r="AB18" s="127"/>
      <c r="AC18" s="127"/>
      <c r="AD18" s="127"/>
      <c r="AE18" s="127"/>
      <c r="AF18" s="127"/>
      <c r="AG18" s="127"/>
      <c r="AH18" s="128"/>
      <c r="AI18" s="122" t="s">
        <v>244</v>
      </c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8"/>
      <c r="AU18" s="124" t="s">
        <v>245</v>
      </c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206"/>
    </row>
    <row r="19" spans="2:58" ht="13" customHeight="1" x14ac:dyDescent="0.25">
      <c r="B19" s="181"/>
      <c r="C19" s="182"/>
      <c r="D19" s="182"/>
      <c r="E19" s="182"/>
      <c r="F19" s="182"/>
      <c r="G19" s="182"/>
      <c r="H19" s="182"/>
      <c r="I19" s="182"/>
      <c r="J19" s="182"/>
      <c r="K19" s="182"/>
      <c r="L19" s="183"/>
      <c r="M19" s="199"/>
      <c r="N19" s="182"/>
      <c r="O19" s="182"/>
      <c r="P19" s="182"/>
      <c r="Q19" s="182"/>
      <c r="R19" s="182"/>
      <c r="S19" s="182"/>
      <c r="T19" s="182"/>
      <c r="U19" s="182"/>
      <c r="V19" s="182"/>
      <c r="W19" s="183"/>
      <c r="X19" s="216"/>
      <c r="Y19" s="182"/>
      <c r="Z19" s="182"/>
      <c r="AA19" s="182"/>
      <c r="AB19" s="182"/>
      <c r="AC19" s="182"/>
      <c r="AD19" s="182"/>
      <c r="AE19" s="182"/>
      <c r="AF19" s="182"/>
      <c r="AG19" s="182"/>
      <c r="AH19" s="183"/>
      <c r="AI19" s="193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3"/>
      <c r="AU19" s="198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95"/>
    </row>
    <row r="20" spans="2:58" ht="13" customHeight="1" x14ac:dyDescent="0.25"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190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90"/>
      <c r="Y20" s="185"/>
      <c r="Z20" s="185"/>
      <c r="AA20" s="185"/>
      <c r="AB20" s="185"/>
      <c r="AC20" s="185"/>
      <c r="AD20" s="185"/>
      <c r="AE20" s="185"/>
      <c r="AF20" s="185"/>
      <c r="AG20" s="185"/>
      <c r="AH20" s="186"/>
      <c r="AI20" s="190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6"/>
      <c r="AU20" s="190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96"/>
    </row>
    <row r="21" spans="2:58" ht="13" customHeight="1" x14ac:dyDescent="0.25">
      <c r="B21" s="184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190"/>
      <c r="N21" s="185"/>
      <c r="O21" s="185"/>
      <c r="P21" s="185"/>
      <c r="Q21" s="185"/>
      <c r="R21" s="185"/>
      <c r="S21" s="185"/>
      <c r="T21" s="185"/>
      <c r="U21" s="185"/>
      <c r="V21" s="185"/>
      <c r="W21" s="186"/>
      <c r="X21" s="190"/>
      <c r="Y21" s="185"/>
      <c r="Z21" s="185"/>
      <c r="AA21" s="185"/>
      <c r="AB21" s="185"/>
      <c r="AC21" s="185"/>
      <c r="AD21" s="185"/>
      <c r="AE21" s="185"/>
      <c r="AF21" s="185"/>
      <c r="AG21" s="185"/>
      <c r="AH21" s="186"/>
      <c r="AI21" s="190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6"/>
      <c r="AU21" s="190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96"/>
    </row>
    <row r="22" spans="2:58" ht="13" customHeight="1" x14ac:dyDescent="0.25"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190"/>
      <c r="N22" s="185"/>
      <c r="O22" s="185"/>
      <c r="P22" s="185"/>
      <c r="Q22" s="185"/>
      <c r="R22" s="185"/>
      <c r="S22" s="185"/>
      <c r="T22" s="185"/>
      <c r="U22" s="185"/>
      <c r="V22" s="185"/>
      <c r="W22" s="186"/>
      <c r="X22" s="190"/>
      <c r="Y22" s="185"/>
      <c r="Z22" s="185"/>
      <c r="AA22" s="185"/>
      <c r="AB22" s="185"/>
      <c r="AC22" s="185"/>
      <c r="AD22" s="185"/>
      <c r="AE22" s="185"/>
      <c r="AF22" s="185"/>
      <c r="AG22" s="185"/>
      <c r="AH22" s="186"/>
      <c r="AI22" s="190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6"/>
      <c r="AU22" s="190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96"/>
    </row>
    <row r="23" spans="2:58" ht="13" customHeight="1" x14ac:dyDescent="0.25"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190"/>
      <c r="N23" s="185"/>
      <c r="O23" s="185"/>
      <c r="P23" s="185"/>
      <c r="Q23" s="185"/>
      <c r="R23" s="185"/>
      <c r="S23" s="185"/>
      <c r="T23" s="185"/>
      <c r="U23" s="185"/>
      <c r="V23" s="185"/>
      <c r="W23" s="186"/>
      <c r="X23" s="190"/>
      <c r="Y23" s="185"/>
      <c r="Z23" s="185"/>
      <c r="AA23" s="185"/>
      <c r="AB23" s="185"/>
      <c r="AC23" s="185"/>
      <c r="AD23" s="185"/>
      <c r="AE23" s="185"/>
      <c r="AF23" s="185"/>
      <c r="AG23" s="185"/>
      <c r="AH23" s="186"/>
      <c r="AI23" s="190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6"/>
      <c r="AU23" s="190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96"/>
    </row>
    <row r="24" spans="2:58" ht="13" customHeight="1" x14ac:dyDescent="0.25">
      <c r="B24" s="187"/>
      <c r="C24" s="188"/>
      <c r="D24" s="188"/>
      <c r="E24" s="188"/>
      <c r="F24" s="188"/>
      <c r="G24" s="188"/>
      <c r="H24" s="188"/>
      <c r="I24" s="188"/>
      <c r="J24" s="188"/>
      <c r="K24" s="188"/>
      <c r="L24" s="174"/>
      <c r="M24" s="191"/>
      <c r="N24" s="188"/>
      <c r="O24" s="188"/>
      <c r="P24" s="188"/>
      <c r="Q24" s="188"/>
      <c r="R24" s="188"/>
      <c r="S24" s="188"/>
      <c r="T24" s="188"/>
      <c r="U24" s="188"/>
      <c r="V24" s="188"/>
      <c r="W24" s="174"/>
      <c r="X24" s="191"/>
      <c r="Y24" s="188"/>
      <c r="Z24" s="188"/>
      <c r="AA24" s="188"/>
      <c r="AB24" s="188"/>
      <c r="AC24" s="188"/>
      <c r="AD24" s="188"/>
      <c r="AE24" s="188"/>
      <c r="AF24" s="188"/>
      <c r="AG24" s="188"/>
      <c r="AH24" s="174"/>
      <c r="AI24" s="191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74"/>
      <c r="AU24" s="191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97"/>
    </row>
    <row r="25" spans="2:58" ht="13" customHeight="1" x14ac:dyDescent="0.25">
      <c r="B25" s="201" t="s">
        <v>246</v>
      </c>
      <c r="C25" s="127"/>
      <c r="D25" s="127"/>
      <c r="E25" s="127"/>
      <c r="F25" s="127"/>
      <c r="G25" s="127"/>
      <c r="H25" s="127"/>
      <c r="I25" s="127"/>
      <c r="J25" s="127"/>
      <c r="K25" s="127"/>
      <c r="L25" s="128"/>
      <c r="M25" s="139" t="s">
        <v>247</v>
      </c>
      <c r="N25" s="127"/>
      <c r="O25" s="127"/>
      <c r="P25" s="127"/>
      <c r="Q25" s="127"/>
      <c r="R25" s="127"/>
      <c r="S25" s="127"/>
      <c r="T25" s="127"/>
      <c r="U25" s="127"/>
      <c r="V25" s="127"/>
      <c r="W25" s="128"/>
      <c r="X25" s="205" t="s">
        <v>248</v>
      </c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4" t="s">
        <v>249</v>
      </c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8"/>
      <c r="AU25" s="124" t="s">
        <v>250</v>
      </c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206"/>
    </row>
    <row r="26" spans="2:58" ht="13" customHeight="1" x14ac:dyDescent="0.25">
      <c r="B26" s="181"/>
      <c r="C26" s="182"/>
      <c r="D26" s="182"/>
      <c r="E26" s="182"/>
      <c r="F26" s="182"/>
      <c r="G26" s="182"/>
      <c r="H26" s="182"/>
      <c r="I26" s="182"/>
      <c r="J26" s="182"/>
      <c r="K26" s="182"/>
      <c r="L26" s="183"/>
      <c r="M26" s="203"/>
      <c r="N26" s="182"/>
      <c r="O26" s="182"/>
      <c r="P26" s="182"/>
      <c r="Q26" s="182"/>
      <c r="R26" s="182"/>
      <c r="S26" s="182"/>
      <c r="T26" s="182"/>
      <c r="U26" s="182"/>
      <c r="V26" s="182"/>
      <c r="W26" s="183"/>
      <c r="X26" s="192"/>
      <c r="Y26" s="182"/>
      <c r="Z26" s="182"/>
      <c r="AA26" s="182"/>
      <c r="AB26" s="182"/>
      <c r="AC26" s="182"/>
      <c r="AD26" s="182"/>
      <c r="AE26" s="182"/>
      <c r="AF26" s="182"/>
      <c r="AG26" s="182"/>
      <c r="AH26" s="183"/>
      <c r="AI26" s="198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3"/>
      <c r="AU26" s="198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95"/>
    </row>
    <row r="27" spans="2:58" ht="13" customHeight="1" x14ac:dyDescent="0.25">
      <c r="B27" s="184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190"/>
      <c r="N27" s="185"/>
      <c r="O27" s="185"/>
      <c r="P27" s="185"/>
      <c r="Q27" s="185"/>
      <c r="R27" s="185"/>
      <c r="S27" s="185"/>
      <c r="T27" s="185"/>
      <c r="U27" s="185"/>
      <c r="V27" s="185"/>
      <c r="W27" s="186"/>
      <c r="X27" s="190"/>
      <c r="Y27" s="185"/>
      <c r="Z27" s="185"/>
      <c r="AA27" s="185"/>
      <c r="AB27" s="185"/>
      <c r="AC27" s="185"/>
      <c r="AD27" s="185"/>
      <c r="AE27" s="185"/>
      <c r="AF27" s="185"/>
      <c r="AG27" s="185"/>
      <c r="AH27" s="186"/>
      <c r="AI27" s="190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6"/>
      <c r="AU27" s="190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96"/>
    </row>
    <row r="28" spans="2:58" ht="13" customHeight="1" x14ac:dyDescent="0.25"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190"/>
      <c r="N28" s="185"/>
      <c r="O28" s="185"/>
      <c r="P28" s="185"/>
      <c r="Q28" s="185"/>
      <c r="R28" s="185"/>
      <c r="S28" s="185"/>
      <c r="T28" s="185"/>
      <c r="U28" s="185"/>
      <c r="V28" s="185"/>
      <c r="W28" s="186"/>
      <c r="X28" s="190"/>
      <c r="Y28" s="185"/>
      <c r="Z28" s="185"/>
      <c r="AA28" s="185"/>
      <c r="AB28" s="185"/>
      <c r="AC28" s="185"/>
      <c r="AD28" s="185"/>
      <c r="AE28" s="185"/>
      <c r="AF28" s="185"/>
      <c r="AG28" s="185"/>
      <c r="AH28" s="186"/>
      <c r="AI28" s="190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6"/>
      <c r="AU28" s="190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96"/>
    </row>
    <row r="29" spans="2:58" ht="13" customHeight="1" x14ac:dyDescent="0.25"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190"/>
      <c r="N29" s="185"/>
      <c r="O29" s="185"/>
      <c r="P29" s="185"/>
      <c r="Q29" s="185"/>
      <c r="R29" s="185"/>
      <c r="S29" s="185"/>
      <c r="T29" s="185"/>
      <c r="U29" s="185"/>
      <c r="V29" s="185"/>
      <c r="W29" s="186"/>
      <c r="X29" s="190"/>
      <c r="Y29" s="185"/>
      <c r="Z29" s="185"/>
      <c r="AA29" s="185"/>
      <c r="AB29" s="185"/>
      <c r="AC29" s="185"/>
      <c r="AD29" s="185"/>
      <c r="AE29" s="185"/>
      <c r="AF29" s="185"/>
      <c r="AG29" s="185"/>
      <c r="AH29" s="186"/>
      <c r="AI29" s="190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6"/>
      <c r="AU29" s="190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96"/>
    </row>
    <row r="30" spans="2:58" ht="13" customHeight="1" x14ac:dyDescent="0.25"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190"/>
      <c r="N30" s="185"/>
      <c r="O30" s="185"/>
      <c r="P30" s="185"/>
      <c r="Q30" s="185"/>
      <c r="R30" s="185"/>
      <c r="S30" s="185"/>
      <c r="T30" s="185"/>
      <c r="U30" s="185"/>
      <c r="V30" s="185"/>
      <c r="W30" s="186"/>
      <c r="X30" s="190"/>
      <c r="Y30" s="185"/>
      <c r="Z30" s="185"/>
      <c r="AA30" s="185"/>
      <c r="AB30" s="185"/>
      <c r="AC30" s="185"/>
      <c r="AD30" s="185"/>
      <c r="AE30" s="185"/>
      <c r="AF30" s="185"/>
      <c r="AG30" s="185"/>
      <c r="AH30" s="186"/>
      <c r="AI30" s="190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6"/>
      <c r="AU30" s="190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96"/>
    </row>
    <row r="31" spans="2:58" ht="13" customHeight="1" x14ac:dyDescent="0.25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74"/>
      <c r="M31" s="191"/>
      <c r="N31" s="188"/>
      <c r="O31" s="188"/>
      <c r="P31" s="188"/>
      <c r="Q31" s="188"/>
      <c r="R31" s="188"/>
      <c r="S31" s="188"/>
      <c r="T31" s="188"/>
      <c r="U31" s="188"/>
      <c r="V31" s="188"/>
      <c r="W31" s="174"/>
      <c r="X31" s="191"/>
      <c r="Y31" s="188"/>
      <c r="Z31" s="188"/>
      <c r="AA31" s="188"/>
      <c r="AB31" s="188"/>
      <c r="AC31" s="188"/>
      <c r="AD31" s="188"/>
      <c r="AE31" s="188"/>
      <c r="AF31" s="188"/>
      <c r="AG31" s="188"/>
      <c r="AH31" s="174"/>
      <c r="AI31" s="191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74"/>
      <c r="AU31" s="191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97"/>
    </row>
    <row r="32" spans="2:58" ht="13" customHeight="1" x14ac:dyDescent="0.25">
      <c r="B32" s="201" t="s">
        <v>251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8"/>
      <c r="M32" s="204" t="s">
        <v>252</v>
      </c>
      <c r="N32" s="127"/>
      <c r="O32" s="127"/>
      <c r="P32" s="127"/>
      <c r="Q32" s="127"/>
      <c r="R32" s="127"/>
      <c r="S32" s="127"/>
      <c r="T32" s="127"/>
      <c r="U32" s="127"/>
      <c r="V32" s="127"/>
      <c r="W32" s="128"/>
      <c r="X32" s="205" t="s">
        <v>253</v>
      </c>
      <c r="Y32" s="127"/>
      <c r="Z32" s="127"/>
      <c r="AA32" s="127"/>
      <c r="AB32" s="127"/>
      <c r="AC32" s="127"/>
      <c r="AD32" s="127"/>
      <c r="AE32" s="127"/>
      <c r="AF32" s="127"/>
      <c r="AG32" s="127"/>
      <c r="AH32" s="128"/>
      <c r="AI32" s="124" t="s">
        <v>254</v>
      </c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8"/>
      <c r="AU32" s="124" t="s">
        <v>255</v>
      </c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206"/>
    </row>
    <row r="33" spans="2:58" ht="13" customHeight="1" x14ac:dyDescent="0.25">
      <c r="B33" s="181"/>
      <c r="C33" s="182"/>
      <c r="D33" s="182"/>
      <c r="E33" s="182"/>
      <c r="F33" s="182"/>
      <c r="G33" s="182"/>
      <c r="H33" s="182"/>
      <c r="I33" s="182"/>
      <c r="J33" s="182"/>
      <c r="K33" s="182"/>
      <c r="L33" s="183"/>
      <c r="M33" s="189"/>
      <c r="N33" s="182"/>
      <c r="O33" s="182"/>
      <c r="P33" s="182"/>
      <c r="Q33" s="182"/>
      <c r="R33" s="182"/>
      <c r="S33" s="182"/>
      <c r="T33" s="182"/>
      <c r="U33" s="182"/>
      <c r="V33" s="182"/>
      <c r="W33" s="183"/>
      <c r="X33" s="192"/>
      <c r="Y33" s="182"/>
      <c r="Z33" s="182"/>
      <c r="AA33" s="182"/>
      <c r="AB33" s="182"/>
      <c r="AC33" s="182"/>
      <c r="AD33" s="182"/>
      <c r="AE33" s="182"/>
      <c r="AF33" s="182"/>
      <c r="AG33" s="182"/>
      <c r="AH33" s="183"/>
      <c r="AI33" s="198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3"/>
      <c r="AU33" s="198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95"/>
    </row>
    <row r="34" spans="2:58" ht="13" customHeight="1" x14ac:dyDescent="0.25"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190"/>
      <c r="N34" s="185"/>
      <c r="O34" s="185"/>
      <c r="P34" s="185"/>
      <c r="Q34" s="185"/>
      <c r="R34" s="185"/>
      <c r="S34" s="185"/>
      <c r="T34" s="185"/>
      <c r="U34" s="185"/>
      <c r="V34" s="185"/>
      <c r="W34" s="186"/>
      <c r="X34" s="190"/>
      <c r="Y34" s="185"/>
      <c r="Z34" s="185"/>
      <c r="AA34" s="185"/>
      <c r="AB34" s="185"/>
      <c r="AC34" s="185"/>
      <c r="AD34" s="185"/>
      <c r="AE34" s="185"/>
      <c r="AF34" s="185"/>
      <c r="AG34" s="185"/>
      <c r="AH34" s="186"/>
      <c r="AI34" s="190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6"/>
      <c r="AU34" s="190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96"/>
    </row>
    <row r="35" spans="2:58" ht="13" customHeight="1" x14ac:dyDescent="0.25"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190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90"/>
      <c r="Y35" s="185"/>
      <c r="Z35" s="185"/>
      <c r="AA35" s="185"/>
      <c r="AB35" s="185"/>
      <c r="AC35" s="185"/>
      <c r="AD35" s="185"/>
      <c r="AE35" s="185"/>
      <c r="AF35" s="185"/>
      <c r="AG35" s="185"/>
      <c r="AH35" s="186"/>
      <c r="AI35" s="190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6"/>
      <c r="AU35" s="190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96"/>
    </row>
    <row r="36" spans="2:58" ht="13" customHeight="1" x14ac:dyDescent="0.25"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190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90"/>
      <c r="Y36" s="185"/>
      <c r="Z36" s="185"/>
      <c r="AA36" s="185"/>
      <c r="AB36" s="185"/>
      <c r="AC36" s="185"/>
      <c r="AD36" s="185"/>
      <c r="AE36" s="185"/>
      <c r="AF36" s="185"/>
      <c r="AG36" s="185"/>
      <c r="AH36" s="186"/>
      <c r="AI36" s="190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6"/>
      <c r="AU36" s="190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96"/>
    </row>
    <row r="37" spans="2:58" ht="13" customHeight="1" x14ac:dyDescent="0.25"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190"/>
      <c r="N37" s="185"/>
      <c r="O37" s="185"/>
      <c r="P37" s="185"/>
      <c r="Q37" s="185"/>
      <c r="R37" s="185"/>
      <c r="S37" s="185"/>
      <c r="T37" s="185"/>
      <c r="U37" s="185"/>
      <c r="V37" s="185"/>
      <c r="W37" s="186"/>
      <c r="X37" s="190"/>
      <c r="Y37" s="185"/>
      <c r="Z37" s="185"/>
      <c r="AA37" s="185"/>
      <c r="AB37" s="185"/>
      <c r="AC37" s="185"/>
      <c r="AD37" s="185"/>
      <c r="AE37" s="185"/>
      <c r="AF37" s="185"/>
      <c r="AG37" s="185"/>
      <c r="AH37" s="186"/>
      <c r="AI37" s="190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6"/>
      <c r="AU37" s="190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96"/>
    </row>
    <row r="38" spans="2:58" ht="13" customHeight="1" x14ac:dyDescent="0.25">
      <c r="B38" s="187"/>
      <c r="C38" s="188"/>
      <c r="D38" s="188"/>
      <c r="E38" s="188"/>
      <c r="F38" s="188"/>
      <c r="G38" s="188"/>
      <c r="H38" s="188"/>
      <c r="I38" s="188"/>
      <c r="J38" s="188"/>
      <c r="K38" s="188"/>
      <c r="L38" s="174"/>
      <c r="M38" s="191"/>
      <c r="N38" s="188"/>
      <c r="O38" s="188"/>
      <c r="P38" s="188"/>
      <c r="Q38" s="188"/>
      <c r="R38" s="188"/>
      <c r="S38" s="188"/>
      <c r="T38" s="188"/>
      <c r="U38" s="188"/>
      <c r="V38" s="188"/>
      <c r="W38" s="174"/>
      <c r="X38" s="191"/>
      <c r="Y38" s="188"/>
      <c r="Z38" s="188"/>
      <c r="AA38" s="188"/>
      <c r="AB38" s="188"/>
      <c r="AC38" s="188"/>
      <c r="AD38" s="188"/>
      <c r="AE38" s="188"/>
      <c r="AF38" s="188"/>
      <c r="AG38" s="188"/>
      <c r="AH38" s="174"/>
      <c r="AI38" s="191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74"/>
      <c r="AU38" s="191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97"/>
    </row>
    <row r="39" spans="2:58" ht="13" customHeight="1" x14ac:dyDescent="0.25">
      <c r="B39" s="201" t="s">
        <v>256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28"/>
      <c r="M39" s="204" t="s">
        <v>257</v>
      </c>
      <c r="N39" s="127"/>
      <c r="O39" s="127"/>
      <c r="P39" s="127"/>
      <c r="Q39" s="127"/>
      <c r="R39" s="127"/>
      <c r="S39" s="127"/>
      <c r="T39" s="127"/>
      <c r="U39" s="127"/>
      <c r="V39" s="127"/>
      <c r="W39" s="128"/>
      <c r="X39" s="205" t="s">
        <v>258</v>
      </c>
      <c r="Y39" s="127"/>
      <c r="Z39" s="127"/>
      <c r="AA39" s="127"/>
      <c r="AB39" s="127"/>
      <c r="AC39" s="127"/>
      <c r="AD39" s="127"/>
      <c r="AE39" s="127"/>
      <c r="AF39" s="127"/>
      <c r="AG39" s="127"/>
      <c r="AH39" s="128"/>
      <c r="AI39" s="124" t="s">
        <v>259</v>
      </c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8"/>
      <c r="AU39" s="124" t="s">
        <v>260</v>
      </c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206"/>
    </row>
    <row r="40" spans="2:58" ht="13" customHeight="1" x14ac:dyDescent="0.25">
      <c r="B40" s="181"/>
      <c r="C40" s="182"/>
      <c r="D40" s="182"/>
      <c r="E40" s="182"/>
      <c r="F40" s="182"/>
      <c r="G40" s="182"/>
      <c r="H40" s="182"/>
      <c r="I40" s="182"/>
      <c r="J40" s="182"/>
      <c r="K40" s="182"/>
      <c r="L40" s="183"/>
      <c r="M40" s="189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192"/>
      <c r="Y40" s="182"/>
      <c r="Z40" s="182"/>
      <c r="AA40" s="182"/>
      <c r="AB40" s="182"/>
      <c r="AC40" s="182"/>
      <c r="AD40" s="182"/>
      <c r="AE40" s="182"/>
      <c r="AF40" s="182"/>
      <c r="AG40" s="182"/>
      <c r="AH40" s="183"/>
      <c r="AI40" s="198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3"/>
      <c r="AU40" s="198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95"/>
    </row>
    <row r="41" spans="2:58" ht="13" customHeight="1" x14ac:dyDescent="0.25"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190"/>
      <c r="N41" s="185"/>
      <c r="O41" s="185"/>
      <c r="P41" s="185"/>
      <c r="Q41" s="185"/>
      <c r="R41" s="185"/>
      <c r="S41" s="185"/>
      <c r="T41" s="185"/>
      <c r="U41" s="185"/>
      <c r="V41" s="185"/>
      <c r="W41" s="186"/>
      <c r="X41" s="190"/>
      <c r="Y41" s="185"/>
      <c r="Z41" s="185"/>
      <c r="AA41" s="185"/>
      <c r="AB41" s="185"/>
      <c r="AC41" s="185"/>
      <c r="AD41" s="185"/>
      <c r="AE41" s="185"/>
      <c r="AF41" s="185"/>
      <c r="AG41" s="185"/>
      <c r="AH41" s="186"/>
      <c r="AI41" s="190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6"/>
      <c r="AU41" s="190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96"/>
    </row>
    <row r="42" spans="2:58" ht="13" customHeight="1" x14ac:dyDescent="0.25"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190"/>
      <c r="N42" s="185"/>
      <c r="O42" s="185"/>
      <c r="P42" s="185"/>
      <c r="Q42" s="185"/>
      <c r="R42" s="185"/>
      <c r="S42" s="185"/>
      <c r="T42" s="185"/>
      <c r="U42" s="185"/>
      <c r="V42" s="185"/>
      <c r="W42" s="186"/>
      <c r="X42" s="190"/>
      <c r="Y42" s="185"/>
      <c r="Z42" s="185"/>
      <c r="AA42" s="185"/>
      <c r="AB42" s="185"/>
      <c r="AC42" s="185"/>
      <c r="AD42" s="185"/>
      <c r="AE42" s="185"/>
      <c r="AF42" s="185"/>
      <c r="AG42" s="185"/>
      <c r="AH42" s="186"/>
      <c r="AI42" s="190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6"/>
      <c r="AU42" s="190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96"/>
    </row>
    <row r="43" spans="2:58" ht="13" customHeight="1" x14ac:dyDescent="0.25"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190"/>
      <c r="N43" s="185"/>
      <c r="O43" s="185"/>
      <c r="P43" s="185"/>
      <c r="Q43" s="185"/>
      <c r="R43" s="185"/>
      <c r="S43" s="185"/>
      <c r="T43" s="185"/>
      <c r="U43" s="185"/>
      <c r="V43" s="185"/>
      <c r="W43" s="186"/>
      <c r="X43" s="190"/>
      <c r="Y43" s="185"/>
      <c r="Z43" s="185"/>
      <c r="AA43" s="185"/>
      <c r="AB43" s="185"/>
      <c r="AC43" s="185"/>
      <c r="AD43" s="185"/>
      <c r="AE43" s="185"/>
      <c r="AF43" s="185"/>
      <c r="AG43" s="185"/>
      <c r="AH43" s="186"/>
      <c r="AI43" s="190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6"/>
      <c r="AU43" s="190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96"/>
    </row>
    <row r="44" spans="2:58" ht="13" customHeight="1" x14ac:dyDescent="0.25"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190"/>
      <c r="N44" s="185"/>
      <c r="O44" s="185"/>
      <c r="P44" s="185"/>
      <c r="Q44" s="185"/>
      <c r="R44" s="185"/>
      <c r="S44" s="185"/>
      <c r="T44" s="185"/>
      <c r="U44" s="185"/>
      <c r="V44" s="185"/>
      <c r="W44" s="186"/>
      <c r="X44" s="190"/>
      <c r="Y44" s="185"/>
      <c r="Z44" s="185"/>
      <c r="AA44" s="185"/>
      <c r="AB44" s="185"/>
      <c r="AC44" s="185"/>
      <c r="AD44" s="185"/>
      <c r="AE44" s="185"/>
      <c r="AF44" s="185"/>
      <c r="AG44" s="185"/>
      <c r="AH44" s="186"/>
      <c r="AI44" s="190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6"/>
      <c r="AU44" s="190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96"/>
    </row>
    <row r="45" spans="2:58" ht="13" customHeight="1" x14ac:dyDescent="0.25"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74"/>
      <c r="M45" s="191"/>
      <c r="N45" s="188"/>
      <c r="O45" s="188"/>
      <c r="P45" s="188"/>
      <c r="Q45" s="188"/>
      <c r="R45" s="188"/>
      <c r="S45" s="188"/>
      <c r="T45" s="188"/>
      <c r="U45" s="188"/>
      <c r="V45" s="188"/>
      <c r="W45" s="174"/>
      <c r="X45" s="191"/>
      <c r="Y45" s="188"/>
      <c r="Z45" s="188"/>
      <c r="AA45" s="188"/>
      <c r="AB45" s="188"/>
      <c r="AC45" s="188"/>
      <c r="AD45" s="188"/>
      <c r="AE45" s="188"/>
      <c r="AF45" s="188"/>
      <c r="AG45" s="188"/>
      <c r="AH45" s="174"/>
      <c r="AI45" s="191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74"/>
      <c r="AU45" s="191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97"/>
    </row>
    <row r="46" spans="2:58" ht="13" customHeight="1" x14ac:dyDescent="0.25">
      <c r="B46" s="201" t="s">
        <v>261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8"/>
      <c r="M46" s="139" t="s">
        <v>262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8"/>
      <c r="X46" s="205" t="s">
        <v>263</v>
      </c>
      <c r="Y46" s="127"/>
      <c r="Z46" s="127"/>
      <c r="AA46" s="127"/>
      <c r="AB46" s="127"/>
      <c r="AC46" s="127"/>
      <c r="AD46" s="127"/>
      <c r="AE46" s="127"/>
      <c r="AF46" s="127"/>
      <c r="AG46" s="127"/>
      <c r="AH46" s="128"/>
      <c r="AI46" s="124" t="s">
        <v>264</v>
      </c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8"/>
      <c r="AU46" s="124" t="s">
        <v>265</v>
      </c>
      <c r="AV46" s="127"/>
      <c r="AW46" s="127"/>
      <c r="AX46" s="127"/>
      <c r="AY46" s="127"/>
      <c r="AZ46" s="127"/>
      <c r="BA46" s="127"/>
      <c r="BB46" s="127"/>
      <c r="BC46" s="127"/>
      <c r="BD46" s="127"/>
      <c r="BE46" s="127"/>
      <c r="BF46" s="206"/>
    </row>
    <row r="47" spans="2:58" ht="13" customHeight="1" x14ac:dyDescent="0.25">
      <c r="B47" s="181"/>
      <c r="C47" s="182"/>
      <c r="D47" s="182"/>
      <c r="E47" s="182"/>
      <c r="F47" s="182"/>
      <c r="G47" s="182"/>
      <c r="H47" s="182"/>
      <c r="I47" s="182"/>
      <c r="J47" s="182"/>
      <c r="K47" s="182"/>
      <c r="L47" s="183"/>
      <c r="M47" s="189"/>
      <c r="N47" s="182"/>
      <c r="O47" s="182"/>
      <c r="P47" s="182"/>
      <c r="Q47" s="182"/>
      <c r="R47" s="182"/>
      <c r="S47" s="182"/>
      <c r="T47" s="182"/>
      <c r="U47" s="182"/>
      <c r="V47" s="182"/>
      <c r="W47" s="183"/>
      <c r="X47" s="192"/>
      <c r="Y47" s="182"/>
      <c r="Z47" s="182"/>
      <c r="AA47" s="182"/>
      <c r="AB47" s="182"/>
      <c r="AC47" s="182"/>
      <c r="AD47" s="182"/>
      <c r="AE47" s="182"/>
      <c r="AF47" s="182"/>
      <c r="AG47" s="182"/>
      <c r="AH47" s="183"/>
      <c r="AI47" s="198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3"/>
      <c r="AU47" s="198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95"/>
    </row>
    <row r="48" spans="2:58" ht="13" customHeight="1" x14ac:dyDescent="0.25"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190"/>
      <c r="N48" s="185"/>
      <c r="O48" s="185"/>
      <c r="P48" s="185"/>
      <c r="Q48" s="185"/>
      <c r="R48" s="185"/>
      <c r="S48" s="185"/>
      <c r="T48" s="185"/>
      <c r="U48" s="185"/>
      <c r="V48" s="185"/>
      <c r="W48" s="186"/>
      <c r="X48" s="190"/>
      <c r="Y48" s="185"/>
      <c r="Z48" s="185"/>
      <c r="AA48" s="185"/>
      <c r="AB48" s="185"/>
      <c r="AC48" s="185"/>
      <c r="AD48" s="185"/>
      <c r="AE48" s="185"/>
      <c r="AF48" s="185"/>
      <c r="AG48" s="185"/>
      <c r="AH48" s="186"/>
      <c r="AI48" s="190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6"/>
      <c r="AU48" s="190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96"/>
    </row>
    <row r="49" spans="2:58" ht="13" customHeight="1" x14ac:dyDescent="0.25"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190"/>
      <c r="N49" s="185"/>
      <c r="O49" s="185"/>
      <c r="P49" s="185"/>
      <c r="Q49" s="185"/>
      <c r="R49" s="185"/>
      <c r="S49" s="185"/>
      <c r="T49" s="185"/>
      <c r="U49" s="185"/>
      <c r="V49" s="185"/>
      <c r="W49" s="186"/>
      <c r="X49" s="190"/>
      <c r="Y49" s="185"/>
      <c r="Z49" s="185"/>
      <c r="AA49" s="185"/>
      <c r="AB49" s="185"/>
      <c r="AC49" s="185"/>
      <c r="AD49" s="185"/>
      <c r="AE49" s="185"/>
      <c r="AF49" s="185"/>
      <c r="AG49" s="185"/>
      <c r="AH49" s="186"/>
      <c r="AI49" s="190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U49" s="190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96"/>
    </row>
    <row r="50" spans="2:58" ht="13" customHeight="1" x14ac:dyDescent="0.25"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190"/>
      <c r="N50" s="185"/>
      <c r="O50" s="185"/>
      <c r="P50" s="185"/>
      <c r="Q50" s="185"/>
      <c r="R50" s="185"/>
      <c r="S50" s="185"/>
      <c r="T50" s="185"/>
      <c r="U50" s="185"/>
      <c r="V50" s="185"/>
      <c r="W50" s="186"/>
      <c r="X50" s="190"/>
      <c r="Y50" s="185"/>
      <c r="Z50" s="185"/>
      <c r="AA50" s="185"/>
      <c r="AB50" s="185"/>
      <c r="AC50" s="185"/>
      <c r="AD50" s="185"/>
      <c r="AE50" s="185"/>
      <c r="AF50" s="185"/>
      <c r="AG50" s="185"/>
      <c r="AH50" s="186"/>
      <c r="AI50" s="190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6"/>
      <c r="AU50" s="190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96"/>
    </row>
    <row r="51" spans="2:58" ht="13" customHeight="1" x14ac:dyDescent="0.25"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190"/>
      <c r="N51" s="185"/>
      <c r="O51" s="185"/>
      <c r="P51" s="185"/>
      <c r="Q51" s="185"/>
      <c r="R51" s="185"/>
      <c r="S51" s="185"/>
      <c r="T51" s="185"/>
      <c r="U51" s="185"/>
      <c r="V51" s="185"/>
      <c r="W51" s="186"/>
      <c r="X51" s="190"/>
      <c r="Y51" s="185"/>
      <c r="Z51" s="185"/>
      <c r="AA51" s="185"/>
      <c r="AB51" s="185"/>
      <c r="AC51" s="185"/>
      <c r="AD51" s="185"/>
      <c r="AE51" s="185"/>
      <c r="AF51" s="185"/>
      <c r="AG51" s="185"/>
      <c r="AH51" s="186"/>
      <c r="AI51" s="190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6"/>
      <c r="AU51" s="190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96"/>
    </row>
    <row r="52" spans="2:58" ht="13" customHeight="1" x14ac:dyDescent="0.25">
      <c r="B52" s="187"/>
      <c r="C52" s="188"/>
      <c r="D52" s="188"/>
      <c r="E52" s="188"/>
      <c r="F52" s="188"/>
      <c r="G52" s="188"/>
      <c r="H52" s="188"/>
      <c r="I52" s="188"/>
      <c r="J52" s="188"/>
      <c r="K52" s="188"/>
      <c r="L52" s="174"/>
      <c r="M52" s="191"/>
      <c r="N52" s="188"/>
      <c r="O52" s="188"/>
      <c r="P52" s="188"/>
      <c r="Q52" s="188"/>
      <c r="R52" s="188"/>
      <c r="S52" s="188"/>
      <c r="T52" s="188"/>
      <c r="U52" s="188"/>
      <c r="V52" s="188"/>
      <c r="W52" s="174"/>
      <c r="X52" s="191"/>
      <c r="Y52" s="188"/>
      <c r="Z52" s="188"/>
      <c r="AA52" s="188"/>
      <c r="AB52" s="188"/>
      <c r="AC52" s="188"/>
      <c r="AD52" s="188"/>
      <c r="AE52" s="188"/>
      <c r="AF52" s="188"/>
      <c r="AG52" s="188"/>
      <c r="AH52" s="174"/>
      <c r="AI52" s="191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74"/>
      <c r="AU52" s="191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97"/>
    </row>
    <row r="53" spans="2:58" ht="13" customHeight="1" x14ac:dyDescent="0.25">
      <c r="B53" s="201" t="s">
        <v>266</v>
      </c>
      <c r="C53" s="127"/>
      <c r="D53" s="127"/>
      <c r="E53" s="127"/>
      <c r="F53" s="127"/>
      <c r="G53" s="127"/>
      <c r="H53" s="127"/>
      <c r="I53" s="127"/>
      <c r="J53" s="127"/>
      <c r="K53" s="127"/>
      <c r="L53" s="128"/>
      <c r="M53" s="204" t="s">
        <v>267</v>
      </c>
      <c r="N53" s="127"/>
      <c r="O53" s="127"/>
      <c r="P53" s="127"/>
      <c r="Q53" s="127"/>
      <c r="R53" s="127"/>
      <c r="S53" s="127"/>
      <c r="T53" s="127"/>
      <c r="U53" s="127"/>
      <c r="V53" s="127"/>
      <c r="W53" s="128"/>
      <c r="X53" s="205" t="s">
        <v>268</v>
      </c>
      <c r="Y53" s="127"/>
      <c r="Z53" s="127"/>
      <c r="AA53" s="127"/>
      <c r="AB53" s="127"/>
      <c r="AC53" s="127"/>
      <c r="AD53" s="127"/>
      <c r="AE53" s="127"/>
      <c r="AF53" s="127"/>
      <c r="AG53" s="127"/>
      <c r="AH53" s="128"/>
      <c r="AI53" s="124" t="s">
        <v>269</v>
      </c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8"/>
      <c r="AU53" s="124" t="s">
        <v>270</v>
      </c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206"/>
    </row>
    <row r="54" spans="2:58" ht="13" customHeight="1" x14ac:dyDescent="0.25">
      <c r="B54" s="181"/>
      <c r="C54" s="182"/>
      <c r="D54" s="182"/>
      <c r="E54" s="182"/>
      <c r="F54" s="182"/>
      <c r="G54" s="182"/>
      <c r="H54" s="182"/>
      <c r="I54" s="182"/>
      <c r="J54" s="182"/>
      <c r="K54" s="182"/>
      <c r="L54" s="183"/>
      <c r="M54" s="203"/>
      <c r="N54" s="182"/>
      <c r="O54" s="182"/>
      <c r="P54" s="182"/>
      <c r="Q54" s="182"/>
      <c r="R54" s="182"/>
      <c r="S54" s="182"/>
      <c r="T54" s="182"/>
      <c r="U54" s="182"/>
      <c r="V54" s="182"/>
      <c r="W54" s="183"/>
      <c r="X54" s="192"/>
      <c r="Y54" s="182"/>
      <c r="Z54" s="182"/>
      <c r="AA54" s="182"/>
      <c r="AB54" s="182"/>
      <c r="AC54" s="182"/>
      <c r="AD54" s="182"/>
      <c r="AE54" s="182"/>
      <c r="AF54" s="182"/>
      <c r="AG54" s="182"/>
      <c r="AH54" s="183"/>
      <c r="AI54" s="198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3"/>
      <c r="AU54" s="198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95"/>
    </row>
    <row r="55" spans="2:58" ht="13" customHeight="1" x14ac:dyDescent="0.25"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190"/>
      <c r="N55" s="185"/>
      <c r="O55" s="185"/>
      <c r="P55" s="185"/>
      <c r="Q55" s="185"/>
      <c r="R55" s="185"/>
      <c r="S55" s="185"/>
      <c r="T55" s="185"/>
      <c r="U55" s="185"/>
      <c r="V55" s="185"/>
      <c r="W55" s="186"/>
      <c r="X55" s="190"/>
      <c r="Y55" s="185"/>
      <c r="Z55" s="185"/>
      <c r="AA55" s="185"/>
      <c r="AB55" s="185"/>
      <c r="AC55" s="185"/>
      <c r="AD55" s="185"/>
      <c r="AE55" s="185"/>
      <c r="AF55" s="185"/>
      <c r="AG55" s="185"/>
      <c r="AH55" s="186"/>
      <c r="AI55" s="190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6"/>
      <c r="AU55" s="190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96"/>
    </row>
    <row r="56" spans="2:58" ht="13" customHeight="1" x14ac:dyDescent="0.25"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190"/>
      <c r="N56" s="185"/>
      <c r="O56" s="185"/>
      <c r="P56" s="185"/>
      <c r="Q56" s="185"/>
      <c r="R56" s="185"/>
      <c r="S56" s="185"/>
      <c r="T56" s="185"/>
      <c r="U56" s="185"/>
      <c r="V56" s="185"/>
      <c r="W56" s="186"/>
      <c r="X56" s="190"/>
      <c r="Y56" s="185"/>
      <c r="Z56" s="185"/>
      <c r="AA56" s="185"/>
      <c r="AB56" s="185"/>
      <c r="AC56" s="185"/>
      <c r="AD56" s="185"/>
      <c r="AE56" s="185"/>
      <c r="AF56" s="185"/>
      <c r="AG56" s="185"/>
      <c r="AH56" s="186"/>
      <c r="AI56" s="190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6"/>
      <c r="AU56" s="190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96"/>
    </row>
    <row r="57" spans="2:58" ht="13" customHeight="1" x14ac:dyDescent="0.25"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190"/>
      <c r="N57" s="185"/>
      <c r="O57" s="185"/>
      <c r="P57" s="185"/>
      <c r="Q57" s="185"/>
      <c r="R57" s="185"/>
      <c r="S57" s="185"/>
      <c r="T57" s="185"/>
      <c r="U57" s="185"/>
      <c r="V57" s="185"/>
      <c r="W57" s="186"/>
      <c r="X57" s="190"/>
      <c r="Y57" s="185"/>
      <c r="Z57" s="185"/>
      <c r="AA57" s="185"/>
      <c r="AB57" s="185"/>
      <c r="AC57" s="185"/>
      <c r="AD57" s="185"/>
      <c r="AE57" s="185"/>
      <c r="AF57" s="185"/>
      <c r="AG57" s="185"/>
      <c r="AH57" s="186"/>
      <c r="AI57" s="190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6"/>
      <c r="AU57" s="190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96"/>
    </row>
    <row r="58" spans="2:58" ht="13" customHeight="1" x14ac:dyDescent="0.25"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190"/>
      <c r="N58" s="185"/>
      <c r="O58" s="185"/>
      <c r="P58" s="185"/>
      <c r="Q58" s="185"/>
      <c r="R58" s="185"/>
      <c r="S58" s="185"/>
      <c r="T58" s="185"/>
      <c r="U58" s="185"/>
      <c r="V58" s="185"/>
      <c r="W58" s="186"/>
      <c r="X58" s="190"/>
      <c r="Y58" s="185"/>
      <c r="Z58" s="185"/>
      <c r="AA58" s="185"/>
      <c r="AB58" s="185"/>
      <c r="AC58" s="185"/>
      <c r="AD58" s="185"/>
      <c r="AE58" s="185"/>
      <c r="AF58" s="185"/>
      <c r="AG58" s="185"/>
      <c r="AH58" s="186"/>
      <c r="AI58" s="190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6"/>
      <c r="AU58" s="190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96"/>
    </row>
    <row r="59" spans="2:58" ht="13" customHeight="1" x14ac:dyDescent="0.25">
      <c r="B59" s="207"/>
      <c r="C59" s="208"/>
      <c r="D59" s="208"/>
      <c r="E59" s="208"/>
      <c r="F59" s="208"/>
      <c r="G59" s="208"/>
      <c r="H59" s="208"/>
      <c r="I59" s="208"/>
      <c r="J59" s="208"/>
      <c r="K59" s="208"/>
      <c r="L59" s="209"/>
      <c r="M59" s="210"/>
      <c r="N59" s="208"/>
      <c r="O59" s="208"/>
      <c r="P59" s="208"/>
      <c r="Q59" s="208"/>
      <c r="R59" s="208"/>
      <c r="S59" s="208"/>
      <c r="T59" s="208"/>
      <c r="U59" s="208"/>
      <c r="V59" s="208"/>
      <c r="W59" s="209"/>
      <c r="X59" s="210"/>
      <c r="Y59" s="208"/>
      <c r="Z59" s="208"/>
      <c r="AA59" s="208"/>
      <c r="AB59" s="208"/>
      <c r="AC59" s="208"/>
      <c r="AD59" s="208"/>
      <c r="AE59" s="208"/>
      <c r="AF59" s="208"/>
      <c r="AG59" s="208"/>
      <c r="AH59" s="209"/>
      <c r="AI59" s="210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9"/>
      <c r="AU59" s="210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11"/>
    </row>
    <row r="60" spans="2:58" ht="13" customHeight="1" x14ac:dyDescent="0.25">
      <c r="B60" s="173" t="s">
        <v>372</v>
      </c>
      <c r="C60" s="174"/>
      <c r="D60" s="9" t="s">
        <v>274</v>
      </c>
      <c r="E60" s="154" t="s">
        <v>20</v>
      </c>
      <c r="F60" s="157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60"/>
    </row>
    <row r="61" spans="2:58" ht="13" customHeight="1" x14ac:dyDescent="0.25">
      <c r="B61" s="153" t="s">
        <v>275</v>
      </c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61"/>
    </row>
    <row r="62" spans="2:58" ht="13" customHeight="1" thickBot="1" x14ac:dyDescent="0.3">
      <c r="B62" s="164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2:U16"/>
  <sheetViews>
    <sheetView tabSelected="1" zoomScaleNormal="100" workbookViewId="0">
      <selection activeCell="V21" sqref="V21"/>
    </sheetView>
  </sheetViews>
  <sheetFormatPr defaultColWidth="9.81640625" defaultRowHeight="13" x14ac:dyDescent="0.25"/>
  <cols>
    <col min="1" max="1" width="1.7265625" style="105" customWidth="1"/>
    <col min="2" max="7" width="13.7265625" style="105" customWidth="1"/>
    <col min="8" max="10" width="13.90625" style="105" customWidth="1"/>
    <col min="11" max="11" width="12.7265625" style="105" bestFit="1" customWidth="1"/>
    <col min="12" max="12" width="11.36328125" style="105" bestFit="1" customWidth="1"/>
    <col min="13" max="15" width="9.90625" style="105" bestFit="1" customWidth="1"/>
    <col min="16" max="16" width="12.36328125" style="105" bestFit="1" customWidth="1"/>
    <col min="17" max="17" width="9.90625" style="105" bestFit="1" customWidth="1"/>
    <col min="18" max="18" width="9.81640625" style="105"/>
  </cols>
  <sheetData>
    <row r="2" spans="2:19" x14ac:dyDescent="0.25">
      <c r="B2" s="217" t="s">
        <v>350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91"/>
      <c r="S2" s="91"/>
    </row>
    <row r="3" spans="2:19" x14ac:dyDescent="0.25">
      <c r="B3" s="218" t="s">
        <v>372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91"/>
      <c r="S3" s="91"/>
    </row>
    <row r="4" spans="2:19" x14ac:dyDescent="0.25">
      <c r="B4" s="218" t="s">
        <v>351</v>
      </c>
      <c r="C4" s="91" t="s">
        <v>292</v>
      </c>
      <c r="D4" s="106" t="s">
        <v>352</v>
      </c>
      <c r="E4" s="106" t="s">
        <v>287</v>
      </c>
      <c r="F4" s="106" t="s">
        <v>288</v>
      </c>
      <c r="G4" s="91" t="s">
        <v>353</v>
      </c>
      <c r="H4" s="91" t="s">
        <v>354</v>
      </c>
      <c r="I4" s="91" t="s">
        <v>355</v>
      </c>
      <c r="J4" s="91" t="s">
        <v>356</v>
      </c>
      <c r="K4" s="106" t="s">
        <v>357</v>
      </c>
      <c r="L4" s="106" t="s">
        <v>358</v>
      </c>
      <c r="M4" s="91" t="s">
        <v>359</v>
      </c>
      <c r="N4" s="91" t="s">
        <v>360</v>
      </c>
      <c r="O4" s="91" t="s">
        <v>361</v>
      </c>
      <c r="P4" s="91" t="s">
        <v>362</v>
      </c>
      <c r="Q4" s="91" t="s">
        <v>363</v>
      </c>
      <c r="R4" s="91" t="s">
        <v>371</v>
      </c>
      <c r="S4" s="91" t="s">
        <v>370</v>
      </c>
    </row>
    <row r="5" spans="2:19" x14ac:dyDescent="0.25">
      <c r="B5" s="218"/>
      <c r="C5" s="91" t="s">
        <v>293</v>
      </c>
      <c r="D5" s="107" t="s">
        <v>364</v>
      </c>
      <c r="E5" s="91" t="s">
        <v>365</v>
      </c>
      <c r="F5" s="91" t="s">
        <v>366</v>
      </c>
      <c r="G5" s="91" t="s">
        <v>366</v>
      </c>
      <c r="H5" s="91" t="s">
        <v>366</v>
      </c>
      <c r="I5" s="91" t="s">
        <v>366</v>
      </c>
      <c r="J5" s="91" t="s">
        <v>366</v>
      </c>
      <c r="K5" s="91" t="s">
        <v>284</v>
      </c>
      <c r="L5" s="91" t="s">
        <v>282</v>
      </c>
      <c r="M5" s="91" t="s">
        <v>283</v>
      </c>
      <c r="N5" s="91" t="s">
        <v>283</v>
      </c>
      <c r="O5" s="91" t="s">
        <v>283</v>
      </c>
      <c r="P5" s="91" t="s">
        <v>281</v>
      </c>
      <c r="Q5" s="91" t="s">
        <v>281</v>
      </c>
      <c r="R5" s="91" t="s">
        <v>281</v>
      </c>
      <c r="S5" s="91" t="s">
        <v>281</v>
      </c>
    </row>
    <row r="6" spans="2:19" x14ac:dyDescent="0.25">
      <c r="B6" s="219" t="s">
        <v>372</v>
      </c>
      <c r="C6" s="219" t="s">
        <v>367</v>
      </c>
      <c r="D6" s="108"/>
      <c r="E6" s="108"/>
      <c r="F6" s="108"/>
      <c r="G6" s="221">
        <f>F6+F7+F8</f>
        <v>0</v>
      </c>
      <c r="H6" s="109">
        <f>F6*D6/100</f>
        <v>0</v>
      </c>
      <c r="I6" s="224">
        <f>H6+H7+H8</f>
        <v>0</v>
      </c>
      <c r="J6" s="224">
        <f t="shared" ref="J6" si="0">I6</f>
        <v>0</v>
      </c>
      <c r="K6" s="224">
        <v>3.599250078201294</v>
      </c>
      <c r="L6" s="224">
        <v>414.9314270019531</v>
      </c>
      <c r="M6" s="224">
        <f>K6*L6/1000</f>
        <v>0</v>
      </c>
      <c r="N6" s="224">
        <f>M6+'[1]2025.12月 '!N190</f>
        <v>0</v>
      </c>
      <c r="O6" s="224" t="e">
        <f>I6/M6*1.2/10</f>
        <v>#DIV/0!</v>
      </c>
      <c r="P6" s="110" t="s">
        <v>368</v>
      </c>
      <c r="Q6" s="224" t="e">
        <f>(I6+I9)/(K6+K9)/L6*1.2*100</f>
        <v>#DIV/0!</v>
      </c>
      <c r="R6" s="224"/>
      <c r="S6" s="224"/>
    </row>
    <row r="7" spans="2:19" x14ac:dyDescent="0.25">
      <c r="B7" s="220"/>
      <c r="C7" s="220"/>
      <c r="D7" s="108"/>
      <c r="E7" s="108"/>
      <c r="F7" s="108"/>
      <c r="G7" s="222"/>
      <c r="H7" s="109">
        <f t="shared" ref="H7:H11" si="1">F7*D7/100</f>
        <v>0</v>
      </c>
      <c r="I7" s="225"/>
      <c r="J7" s="225"/>
      <c r="K7" s="225"/>
      <c r="L7" s="225"/>
      <c r="M7" s="225"/>
      <c r="N7" s="225"/>
      <c r="O7" s="225"/>
      <c r="P7" s="110" t="s">
        <v>368</v>
      </c>
      <c r="Q7" s="225"/>
      <c r="R7" s="225"/>
      <c r="S7" s="225"/>
    </row>
    <row r="8" spans="2:19" x14ac:dyDescent="0.25">
      <c r="B8" s="220"/>
      <c r="C8" s="220"/>
      <c r="D8" s="108"/>
      <c r="E8" s="108"/>
      <c r="F8" s="108"/>
      <c r="G8" s="223"/>
      <c r="H8" s="109">
        <f t="shared" si="1"/>
        <v>0</v>
      </c>
      <c r="I8" s="226"/>
      <c r="J8" s="226"/>
      <c r="K8" s="226"/>
      <c r="L8" s="226"/>
      <c r="M8" s="226"/>
      <c r="N8" s="226"/>
      <c r="O8" s="226"/>
      <c r="P8" s="110" t="s">
        <v>369</v>
      </c>
      <c r="Q8" s="225"/>
      <c r="R8" s="225"/>
      <c r="S8" s="225"/>
    </row>
    <row r="9" spans="2:19" x14ac:dyDescent="0.25">
      <c r="B9" s="220"/>
      <c r="C9" s="220"/>
      <c r="D9" s="108"/>
      <c r="E9" s="108"/>
      <c r="F9" s="108"/>
      <c r="G9" s="221">
        <f>F9+F10+F11</f>
        <v>0</v>
      </c>
      <c r="H9" s="109">
        <f>F9*D9/100</f>
        <v>0</v>
      </c>
      <c r="I9" s="224">
        <f>H9+H10+H11</f>
        <v>0</v>
      </c>
      <c r="J9" s="224">
        <f>J6+I9</f>
        <v>0</v>
      </c>
      <c r="K9" s="224">
        <v>3.300070285797119</v>
      </c>
      <c r="L9" s="224">
        <v>415.3299255371094</v>
      </c>
      <c r="M9" s="224">
        <f>K9*L9/1000</f>
        <v>0</v>
      </c>
      <c r="N9" s="224">
        <f>M9+N6</f>
        <v>0</v>
      </c>
      <c r="O9" s="224" t="e">
        <f>I9/M9*1.2/10</f>
        <v>#DIV/0!</v>
      </c>
      <c r="P9" s="110" t="s">
        <v>368</v>
      </c>
      <c r="Q9" s="225"/>
      <c r="R9" s="225"/>
      <c r="S9" s="225"/>
    </row>
    <row r="10" spans="2:19" x14ac:dyDescent="0.25">
      <c r="B10" s="220"/>
      <c r="C10" s="220"/>
      <c r="D10" s="108"/>
      <c r="E10" s="108"/>
      <c r="F10" s="108"/>
      <c r="G10" s="222"/>
      <c r="H10" s="109">
        <f t="shared" si="1"/>
        <v>0</v>
      </c>
      <c r="I10" s="225"/>
      <c r="J10" s="225"/>
      <c r="K10" s="225"/>
      <c r="L10" s="225"/>
      <c r="M10" s="225"/>
      <c r="N10" s="225"/>
      <c r="O10" s="225"/>
      <c r="P10" s="110" t="s">
        <v>368</v>
      </c>
      <c r="Q10" s="225"/>
      <c r="R10" s="225"/>
      <c r="S10" s="225"/>
    </row>
    <row r="11" spans="2:19" x14ac:dyDescent="0.25">
      <c r="B11" s="220"/>
      <c r="C11" s="220"/>
      <c r="D11" s="108"/>
      <c r="E11" s="108"/>
      <c r="F11" s="108"/>
      <c r="G11" s="223"/>
      <c r="H11" s="109">
        <f t="shared" si="1"/>
        <v>0</v>
      </c>
      <c r="I11" s="226"/>
      <c r="J11" s="226"/>
      <c r="K11" s="226"/>
      <c r="L11" s="226"/>
      <c r="M11" s="226"/>
      <c r="N11" s="226"/>
      <c r="O11" s="226"/>
      <c r="P11" s="110" t="s">
        <v>369</v>
      </c>
      <c r="Q11" s="226"/>
      <c r="R11" s="226"/>
      <c r="S11" s="226"/>
    </row>
    <row r="16">
      <c r="S16" s="0">
        <v>0</v>
      </c>
      <c r="T16" s="0">
        <v>0</v>
      </c>
    </row>
  </sheetData>
  <mergeCells count="24">
    <mergeCell ref="S6:S11"/>
    <mergeCell ref="R6:R11"/>
    <mergeCell ref="N9:N11"/>
    <mergeCell ref="O9:O11"/>
    <mergeCell ref="K6:K8"/>
    <mergeCell ref="L6:L8"/>
    <mergeCell ref="M6:M8"/>
    <mergeCell ref="N6:N8"/>
    <mergeCell ref="B2:Q2"/>
    <mergeCell ref="B3:Q3"/>
    <mergeCell ref="B4:B5"/>
    <mergeCell ref="B6:B11"/>
    <mergeCell ref="C6:C11"/>
    <mergeCell ref="G6:G8"/>
    <mergeCell ref="I6:I8"/>
    <mergeCell ref="J6:J8"/>
    <mergeCell ref="O6:O8"/>
    <mergeCell ref="Q6:Q11"/>
    <mergeCell ref="G9:G11"/>
    <mergeCell ref="I9:I11"/>
    <mergeCell ref="J9:J11"/>
    <mergeCell ref="K9:K11"/>
    <mergeCell ref="L9:L11"/>
    <mergeCell ref="M9:M11"/>
  </mergeCells>
  <phoneticPr fontId="1" type="noConversion"/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O16" sqref="O1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244" t="s">
        <v>349</v>
      </c>
      <c r="C2" s="245"/>
      <c r="D2" s="245"/>
      <c r="E2" s="245"/>
      <c r="F2" s="245"/>
      <c r="G2" s="245"/>
      <c r="H2" s="245"/>
      <c r="I2" s="245"/>
      <c r="J2" s="246"/>
    </row>
    <row r="3" spans="2:10" ht="20.15" customHeight="1" x14ac:dyDescent="0.25">
      <c r="B3" s="85"/>
      <c r="C3" s="86"/>
      <c r="D3" s="86"/>
      <c r="E3" s="86"/>
      <c r="F3" s="86"/>
      <c r="G3" s="87"/>
      <c r="H3" s="247"/>
      <c r="I3" s="247"/>
      <c r="J3" s="248"/>
    </row>
    <row r="4" spans="2:10" ht="21" x14ac:dyDescent="0.25">
      <c r="B4" s="249" t="s">
        <v>292</v>
      </c>
      <c r="C4" s="250"/>
      <c r="D4" s="251"/>
      <c r="E4" s="88" t="s">
        <v>293</v>
      </c>
      <c r="F4" s="88" t="s">
        <v>294</v>
      </c>
      <c r="G4" s="88" t="s">
        <v>295</v>
      </c>
      <c r="H4" s="252" t="s">
        <v>296</v>
      </c>
      <c r="I4" s="251"/>
      <c r="J4" s="89" t="s">
        <v>297</v>
      </c>
    </row>
    <row r="5" spans="2:10" x14ac:dyDescent="0.25">
      <c r="B5" s="90" t="s">
        <v>298</v>
      </c>
      <c r="C5" s="218" t="s">
        <v>299</v>
      </c>
      <c r="D5" s="218"/>
      <c r="E5" s="91" t="s">
        <v>283</v>
      </c>
      <c r="F5" s="92">
        <v>90</v>
      </c>
      <c r="G5" s="93">
        <v>0</v>
      </c>
      <c r="H5" s="94">
        <f>(G5-F5)/F5*100</f>
        <v>-100</v>
      </c>
      <c r="I5" s="95" t="s">
        <v>283</v>
      </c>
      <c r="J5" s="96"/>
    </row>
    <row r="6" spans="2:10" x14ac:dyDescent="0.25">
      <c r="B6" s="228" t="s">
        <v>300</v>
      </c>
      <c r="C6" s="218" t="s">
        <v>301</v>
      </c>
      <c r="D6" s="218"/>
      <c r="E6" s="91" t="s">
        <v>280</v>
      </c>
      <c r="F6" s="92" t="s">
        <v>302</v>
      </c>
      <c r="G6" s="93">
        <v>0</v>
      </c>
      <c r="H6" s="97" t="str">
        <f>IF($G6="","",IF(AND($G6&gt;=0,$G6&lt;=1427),"合格","不合格"))</f>
        <v/>
      </c>
      <c r="I6" s="98" t="s">
        <v>4</v>
      </c>
      <c r="J6" s="96"/>
    </row>
    <row r="7" spans="2:10" x14ac:dyDescent="0.25">
      <c r="B7" s="242"/>
      <c r="C7" s="218" t="s">
        <v>303</v>
      </c>
      <c r="D7" s="218"/>
      <c r="E7" s="91" t="s">
        <v>280</v>
      </c>
      <c r="F7" s="92" t="s">
        <v>304</v>
      </c>
      <c r="G7" s="93">
        <v>0</v>
      </c>
      <c r="H7" s="97" t="str">
        <f>IF($G7="","",IF(AND($G7&gt;=210,$G7&lt;=220),"合格","不合格"))</f>
        <v/>
      </c>
      <c r="I7" s="98" t="s">
        <v>4</v>
      </c>
      <c r="J7" s="96"/>
    </row>
    <row r="8" spans="2:10" x14ac:dyDescent="0.25">
      <c r="B8" s="243"/>
      <c r="C8" s="218" t="s">
        <v>305</v>
      </c>
      <c r="D8" s="218"/>
      <c r="E8" s="91" t="s">
        <v>280</v>
      </c>
      <c r="F8" s="92" t="s">
        <v>306</v>
      </c>
      <c r="G8" s="93">
        <v>0</v>
      </c>
      <c r="H8" s="97" t="str">
        <f>IF($G8="","",IF(AND($G8&gt;=190,$G8&lt;=210),"合格","不合格"))</f>
        <v/>
      </c>
      <c r="I8" s="98" t="s">
        <v>4</v>
      </c>
      <c r="J8" s="96"/>
    </row>
    <row r="9" spans="2:10" x14ac:dyDescent="0.25">
      <c r="B9" s="228" t="s">
        <v>307</v>
      </c>
      <c r="C9" s="91" t="s">
        <v>308</v>
      </c>
      <c r="D9" s="91" t="s">
        <v>309</v>
      </c>
      <c r="E9" s="91" t="s">
        <v>310</v>
      </c>
      <c r="F9" s="92" t="s">
        <v>311</v>
      </c>
      <c r="G9" s="93">
        <v>415.1226806640625</v>
      </c>
      <c r="H9" s="97" t="str">
        <f>IF($G9="","",IF(AND($G9&gt;=412,$G9&lt;=422),"合格","不合格"))</f>
        <v/>
      </c>
      <c r="I9" s="98" t="s">
        <v>4</v>
      </c>
      <c r="J9" s="96"/>
    </row>
    <row r="10" spans="2:10" x14ac:dyDescent="0.25">
      <c r="B10" s="242"/>
      <c r="C10" s="218" t="s">
        <v>312</v>
      </c>
      <c r="D10" s="91" t="s">
        <v>313</v>
      </c>
      <c r="E10" s="98" t="s">
        <v>4</v>
      </c>
      <c r="F10" s="92" t="s">
        <v>314</v>
      </c>
      <c r="G10" s="93">
        <v>0.5280755758285522</v>
      </c>
      <c r="H10" s="97" t="str">
        <f>IF($G10="","",IF(AND($G10&gt;=0.525,$G10&lt;=0.5357),"合格","不合格"))</f>
        <v/>
      </c>
      <c r="I10" s="98" t="s">
        <v>4</v>
      </c>
      <c r="J10" s="96"/>
    </row>
    <row r="11" spans="2:10" x14ac:dyDescent="0.25">
      <c r="B11" s="242"/>
      <c r="C11" s="218"/>
      <c r="D11" s="91" t="s">
        <v>315</v>
      </c>
      <c r="E11" s="91" t="s">
        <v>316</v>
      </c>
      <c r="F11" s="92">
        <v>46.63</v>
      </c>
      <c r="G11" s="93">
        <v>46.65299987792969</v>
      </c>
      <c r="H11" s="97" t="s">
        <v>317</v>
      </c>
      <c r="I11" s="98" t="s">
        <v>4</v>
      </c>
      <c r="J11" s="96"/>
    </row>
    <row r="12" spans="2:10" x14ac:dyDescent="0.25">
      <c r="B12" s="242"/>
      <c r="C12" s="218"/>
      <c r="D12" s="91" t="s">
        <v>318</v>
      </c>
      <c r="E12" s="91" t="s">
        <v>285</v>
      </c>
      <c r="F12" s="92" t="s">
        <v>319</v>
      </c>
      <c r="G12" s="93">
        <v>0.7342245578765869</v>
      </c>
      <c r="H12" s="97" t="str">
        <f>IF($G12="","",IF(AND($G12&gt;=0.745,$G12&lt;=0.755),"合格","不合格"))</f>
        <v/>
      </c>
      <c r="I12" s="98" t="s">
        <v>4</v>
      </c>
      <c r="J12" s="96"/>
    </row>
    <row r="13" spans="2:10" x14ac:dyDescent="0.25">
      <c r="B13" s="242"/>
      <c r="C13" s="218"/>
      <c r="D13" s="91" t="s">
        <v>320</v>
      </c>
      <c r="E13" s="91" t="s">
        <v>286</v>
      </c>
      <c r="F13" s="92" t="s">
        <v>321</v>
      </c>
      <c r="G13" s="93">
        <v>90.5564193725586</v>
      </c>
      <c r="H13" s="97" t="str">
        <f>IF($G13="","",IF(AND($G13&gt;=88,$G13&lt;=92),"合格","不合格"))</f>
        <v/>
      </c>
      <c r="I13" s="98" t="s">
        <v>4</v>
      </c>
      <c r="J13" s="96"/>
    </row>
    <row r="14" spans="2:10" x14ac:dyDescent="0.25">
      <c r="B14" s="242"/>
      <c r="C14" s="218"/>
      <c r="D14" s="91" t="s">
        <v>322</v>
      </c>
      <c r="E14" s="91" t="s">
        <v>286</v>
      </c>
      <c r="F14" s="92" t="s">
        <v>323</v>
      </c>
      <c r="G14" s="93">
        <v>139.4615020751953</v>
      </c>
      <c r="H14" s="97" t="str">
        <f>IF($G14="","",IF(AND($G14&gt;=143,$G14&lt;=147),"合格","不合格"))</f>
        <v/>
      </c>
      <c r="I14" s="98" t="s">
        <v>4</v>
      </c>
      <c r="J14" s="96"/>
    </row>
    <row r="15" spans="2:10" x14ac:dyDescent="0.25">
      <c r="B15" s="242"/>
      <c r="C15" s="218"/>
      <c r="D15" s="91" t="s">
        <v>324</v>
      </c>
      <c r="E15" s="91" t="s">
        <v>286</v>
      </c>
      <c r="F15" s="92" t="s">
        <v>325</v>
      </c>
      <c r="G15" s="93">
        <v>162.85157775878906</v>
      </c>
      <c r="H15" s="97" t="str">
        <f>IF($G15="","",IF(AND($G15&gt;=166,$G15&lt;=170),"合格","不合格"))</f>
        <v/>
      </c>
      <c r="I15" s="98" t="s">
        <v>4</v>
      </c>
      <c r="J15" s="96"/>
    </row>
    <row r="16" spans="2:10" x14ac:dyDescent="0.25">
      <c r="B16" s="242"/>
      <c r="C16" s="218" t="s">
        <v>326</v>
      </c>
      <c r="D16" s="91" t="s">
        <v>327</v>
      </c>
      <c r="E16" s="91" t="s">
        <v>286</v>
      </c>
      <c r="F16" s="92" t="s">
        <v>328</v>
      </c>
      <c r="G16" s="93">
        <v>46.688072204589844</v>
      </c>
      <c r="H16" s="97" t="str">
        <f>IF($G16="","",IF(AND($G16&gt;=0,$G16&lt;=45),"合格","不合格"))</f>
        <v/>
      </c>
      <c r="I16" s="98" t="s">
        <v>4</v>
      </c>
      <c r="J16" s="96"/>
    </row>
    <row r="17" spans="2:10" x14ac:dyDescent="0.25">
      <c r="B17" s="242"/>
      <c r="C17" s="218"/>
      <c r="D17" s="91" t="s">
        <v>329</v>
      </c>
      <c r="E17" s="91" t="s">
        <v>286</v>
      </c>
      <c r="F17" s="92" t="s">
        <v>330</v>
      </c>
      <c r="G17" s="93">
        <v>20.459056854248047</v>
      </c>
      <c r="H17" s="97" t="str">
        <f>IF($G17="","",IF(AND($G17&gt;=0,$G17&lt;=20),"合格","不合格"))</f>
        <v/>
      </c>
      <c r="I17" s="98" t="s">
        <v>4</v>
      </c>
      <c r="J17" s="96"/>
    </row>
    <row r="18" spans="2:10" x14ac:dyDescent="0.25">
      <c r="B18" s="242"/>
      <c r="C18" s="218"/>
      <c r="D18" s="91" t="s">
        <v>331</v>
      </c>
      <c r="E18" s="91" t="s">
        <v>286</v>
      </c>
      <c r="F18" s="92" t="s">
        <v>332</v>
      </c>
      <c r="G18" s="93">
        <v>0</v>
      </c>
      <c r="H18" s="97" t="str">
        <f>IF($G18="","",IF(AND($G18&gt;=46,$G18&lt;=50),"合格","不合格"))</f>
        <v/>
      </c>
      <c r="I18" s="98" t="s">
        <v>4</v>
      </c>
      <c r="J18" s="96"/>
    </row>
    <row r="19" spans="2:10" x14ac:dyDescent="0.25">
      <c r="B19" s="242"/>
      <c r="C19" s="218"/>
      <c r="D19" s="91" t="s">
        <v>333</v>
      </c>
      <c r="E19" s="91" t="s">
        <v>286</v>
      </c>
      <c r="F19" s="92" t="s">
        <v>334</v>
      </c>
      <c r="G19" s="93">
        <v>18.689237594604492</v>
      </c>
      <c r="H19" s="97" t="str">
        <f>IF($G19="","",IF(AND($G19&gt;=0,$G19&lt;=20),"合格","不合格"))</f>
        <v/>
      </c>
      <c r="I19" s="98" t="s">
        <v>4</v>
      </c>
      <c r="J19" s="96"/>
    </row>
    <row r="20" spans="2:10" x14ac:dyDescent="0.25">
      <c r="B20" s="242"/>
      <c r="C20" s="218" t="s">
        <v>335</v>
      </c>
      <c r="D20" s="91" t="s">
        <v>89</v>
      </c>
      <c r="E20" s="91" t="s">
        <v>283</v>
      </c>
      <c r="F20" s="99" t="s">
        <v>82</v>
      </c>
      <c r="G20" s="93">
        <v>34.10750198364258</v>
      </c>
      <c r="H20" s="100" t="s">
        <v>336</v>
      </c>
      <c r="I20" s="98" t="s">
        <v>4</v>
      </c>
      <c r="J20" s="96"/>
    </row>
    <row r="21" spans="2:10" x14ac:dyDescent="0.25">
      <c r="B21" s="242"/>
      <c r="C21" s="218"/>
      <c r="D21" s="91" t="s">
        <v>92</v>
      </c>
      <c r="E21" s="91" t="s">
        <v>283</v>
      </c>
      <c r="F21" s="99" t="s">
        <v>82</v>
      </c>
      <c r="G21" s="93"/>
      <c r="H21" s="100" t="s">
        <v>336</v>
      </c>
      <c r="I21" s="98" t="s">
        <v>4</v>
      </c>
      <c r="J21" s="96"/>
    </row>
    <row r="22" spans="2:10" x14ac:dyDescent="0.25">
      <c r="B22" s="242"/>
      <c r="C22" s="218"/>
      <c r="D22" s="91" t="s">
        <v>337</v>
      </c>
      <c r="E22" s="98" t="s">
        <v>4</v>
      </c>
      <c r="F22" s="99" t="s">
        <v>82</v>
      </c>
      <c r="G22" s="93">
        <v>7.012499809265137</v>
      </c>
      <c r="H22" s="100" t="s">
        <v>336</v>
      </c>
      <c r="I22" s="98" t="s">
        <v>4</v>
      </c>
      <c r="J22" s="96"/>
    </row>
    <row r="23" spans="2:10" x14ac:dyDescent="0.25">
      <c r="B23" s="242"/>
      <c r="C23" s="218"/>
      <c r="D23" s="91" t="s">
        <v>166</v>
      </c>
      <c r="E23" s="91" t="s">
        <v>310</v>
      </c>
      <c r="F23" s="99" t="s">
        <v>82</v>
      </c>
      <c r="G23" s="93">
        <v>27.43666648864746</v>
      </c>
      <c r="H23" s="100" t="s">
        <v>336</v>
      </c>
      <c r="I23" s="98" t="s">
        <v>4</v>
      </c>
      <c r="J23" s="96"/>
    </row>
    <row r="24" spans="2:10" x14ac:dyDescent="0.25">
      <c r="B24" s="243"/>
      <c r="C24" s="218"/>
      <c r="D24" s="91" t="s">
        <v>167</v>
      </c>
      <c r="E24" s="91" t="s">
        <v>310</v>
      </c>
      <c r="F24" s="99" t="s">
        <v>82</v>
      </c>
      <c r="G24" s="93">
        <v>7.97333288192749</v>
      </c>
      <c r="H24" s="100" t="s">
        <v>336</v>
      </c>
      <c r="I24" s="98" t="s">
        <v>4</v>
      </c>
      <c r="J24" s="96"/>
    </row>
    <row r="25" spans="2:10" x14ac:dyDescent="0.25">
      <c r="B25" s="227" t="s">
        <v>338</v>
      </c>
      <c r="C25" s="91" t="s">
        <v>339</v>
      </c>
      <c r="D25" s="91" t="s">
        <v>340</v>
      </c>
      <c r="E25" s="91" t="s">
        <v>341</v>
      </c>
      <c r="F25" s="92" t="s">
        <v>342</v>
      </c>
      <c r="G25" s="93">
        <v>0</v>
      </c>
      <c r="H25" s="97" t="str">
        <f>IF($G25="","",IF(AND($G25&gt;=0,$G25&lt;=0.38),"合格","不合格"))</f>
        <v/>
      </c>
      <c r="I25" s="98" t="s">
        <v>4</v>
      </c>
      <c r="J25" s="96"/>
    </row>
    <row r="26" spans="2:10" x14ac:dyDescent="0.25">
      <c r="B26" s="227"/>
      <c r="C26" s="218" t="s">
        <v>343</v>
      </c>
      <c r="D26" s="91" t="s">
        <v>10</v>
      </c>
      <c r="E26" s="91" t="s">
        <v>283</v>
      </c>
      <c r="F26" s="92">
        <v>7</v>
      </c>
      <c r="G26" s="93"/>
      <c r="H26" s="94">
        <f>(G26-F26)</f>
        <v>-7</v>
      </c>
      <c r="I26" s="98" t="s">
        <v>283</v>
      </c>
      <c r="J26" s="96"/>
    </row>
    <row r="27" spans="2:10" x14ac:dyDescent="0.25">
      <c r="B27" s="227"/>
      <c r="C27" s="218"/>
      <c r="D27" s="91" t="s">
        <v>344</v>
      </c>
      <c r="E27" s="91" t="s">
        <v>283</v>
      </c>
      <c r="F27" s="92">
        <v>15</v>
      </c>
      <c r="G27" s="93"/>
      <c r="H27" s="94">
        <f t="shared" ref="H27:H31" si="0">(G27-F27)</f>
        <v>-15</v>
      </c>
      <c r="I27" s="98" t="s">
        <v>283</v>
      </c>
      <c r="J27" s="96"/>
    </row>
    <row r="28" spans="2:10" x14ac:dyDescent="0.25">
      <c r="B28" s="227"/>
      <c r="C28" s="218"/>
      <c r="D28" s="91" t="s">
        <v>345</v>
      </c>
      <c r="E28" s="91" t="s">
        <v>283</v>
      </c>
      <c r="F28" s="92">
        <v>4</v>
      </c>
      <c r="G28" s="93"/>
      <c r="H28" s="94">
        <f t="shared" si="0"/>
        <v>-4</v>
      </c>
      <c r="I28" s="98" t="s">
        <v>283</v>
      </c>
      <c r="J28" s="96"/>
    </row>
    <row r="29" spans="2:10" x14ac:dyDescent="0.25">
      <c r="B29" s="227"/>
      <c r="C29" s="218"/>
      <c r="D29" s="91" t="s">
        <v>166</v>
      </c>
      <c r="E29" s="91" t="s">
        <v>283</v>
      </c>
      <c r="F29" s="92">
        <v>7</v>
      </c>
      <c r="G29" s="93"/>
      <c r="H29" s="94">
        <f t="shared" si="0"/>
        <v>-7</v>
      </c>
      <c r="I29" s="98" t="s">
        <v>283</v>
      </c>
      <c r="J29" s="96"/>
    </row>
    <row r="30" spans="2:10" x14ac:dyDescent="0.25">
      <c r="B30" s="227"/>
      <c r="C30" s="218"/>
      <c r="D30" s="91" t="s">
        <v>167</v>
      </c>
      <c r="E30" s="91" t="s">
        <v>283</v>
      </c>
      <c r="F30" s="92">
        <v>7</v>
      </c>
      <c r="G30" s="93"/>
      <c r="H30" s="94">
        <f t="shared" si="0"/>
        <v>-7</v>
      </c>
      <c r="I30" s="98" t="s">
        <v>283</v>
      </c>
      <c r="J30" s="96"/>
    </row>
    <row r="31" spans="2:10" x14ac:dyDescent="0.25">
      <c r="B31" s="227"/>
      <c r="C31" s="218"/>
      <c r="D31" s="91" t="s">
        <v>346</v>
      </c>
      <c r="E31" s="91" t="s">
        <v>347</v>
      </c>
      <c r="F31" s="92">
        <v>10</v>
      </c>
      <c r="G31" s="93"/>
      <c r="H31" s="94">
        <f t="shared" si="0"/>
        <v>-10</v>
      </c>
      <c r="I31" s="98" t="s">
        <v>283</v>
      </c>
      <c r="J31" s="96"/>
    </row>
    <row r="32" spans="2:10" ht="14.5" thickBot="1" x14ac:dyDescent="0.3">
      <c r="B32" s="228"/>
      <c r="C32" s="229"/>
      <c r="D32" s="101" t="s">
        <v>287</v>
      </c>
      <c r="E32" s="101" t="s">
        <v>283</v>
      </c>
      <c r="F32" s="102">
        <v>50</v>
      </c>
      <c r="G32" s="103"/>
      <c r="H32" s="94">
        <f>(G32-F32)</f>
        <v>-50</v>
      </c>
      <c r="I32" s="98" t="s">
        <v>283</v>
      </c>
      <c r="J32" s="104"/>
    </row>
    <row r="33" spans="2:10" x14ac:dyDescent="0.25">
      <c r="B33" s="230" t="s">
        <v>348</v>
      </c>
      <c r="C33" s="233"/>
      <c r="D33" s="234"/>
      <c r="E33" s="234"/>
      <c r="F33" s="234"/>
      <c r="G33" s="234"/>
      <c r="H33" s="234"/>
      <c r="I33" s="234"/>
      <c r="J33" s="235"/>
    </row>
    <row r="34" spans="2:10" x14ac:dyDescent="0.25">
      <c r="B34" s="231"/>
      <c r="C34" s="236"/>
      <c r="D34" s="237"/>
      <c r="E34" s="237"/>
      <c r="F34" s="237"/>
      <c r="G34" s="237"/>
      <c r="H34" s="237"/>
      <c r="I34" s="237"/>
      <c r="J34" s="238"/>
    </row>
    <row r="35" spans="2:10" ht="14.5" thickBot="1" x14ac:dyDescent="0.3">
      <c r="B35" s="232"/>
      <c r="C35" s="239"/>
      <c r="D35" s="240"/>
      <c r="E35" s="240"/>
      <c r="F35" s="240"/>
      <c r="G35" s="240"/>
      <c r="H35" s="240"/>
      <c r="I35" s="240"/>
      <c r="J35" s="241"/>
    </row>
  </sheetData>
  <sheetCalcPr fullCalcOnLoad="1"/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20:C24"/>
    <mergeCell ref="C16:C19"/>
    <mergeCell ref="C10:C1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台账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2026-05-28T03:01:58Z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