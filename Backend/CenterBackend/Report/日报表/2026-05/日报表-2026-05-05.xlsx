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definedNames>
    <definedName name="_xlnm.Print_Area" localSheetId="4"><![CDATA['班组＆日生产过程运行质量考评表'!$A$1:$AK$44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F33" i="11" l="1"/>
  <c r="F12" i="11"/>
  <c r="AJ38" i="11"/>
  <c r="AH17" i="11"/>
  <c r="AJ17" i="11" s="1"/>
  <c r="Y33" i="11"/>
  <c r="Z33" i="11" s="1"/>
  <c r="Y12" i="11"/>
  <c r="Z12" i="11" s="1"/>
  <c r="S12" i="11"/>
  <c r="T12" i="11" s="1"/>
  <c r="F28" i="11"/>
  <c r="F7" i="11"/>
  <c r="E7" i="11"/>
  <c r="Z7" i="11"/>
  <c r="AC12" i="11" l="1"/>
  <c r="AD12" i="11" s="1"/>
  <c r="AE17" i="11"/>
  <c r="F22" i="11"/>
  <c r="I22" i="11"/>
  <c r="L22" i="11"/>
  <c r="O22" i="11"/>
  <c r="Z28" i="11"/>
  <c r="E28" i="11"/>
  <c r="S33" i="11"/>
  <c r="T33" i="11" s="1"/>
  <c r="AC33" i="11"/>
  <c r="AD33" i="11" s="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<sst xmlns="http://schemas.openxmlformats.org/spreadsheetml/2006/main" count="1556" uniqueCount="472">
  <si>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</si>
  <si>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</si>
  <si>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</si>
  <si>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</si>
  <si>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</si>
  <si>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</si>
  <si>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</si>
  <si>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</si>
  <si>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</si>
  <si>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</si>
  <si>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</si>
  <si>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</si>
  <si>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</si>
  <si>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</si>
  <si>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</si>
  <si>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</si>
  <si>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</si>
  <si>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</si>
  <si>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</si>
  <si>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</si>
  <si>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</si>
  <si>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</si>
  <si>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</si>
  <si>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</si>
  <si>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</si>
  <si>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</si>
  <si>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</si>
  <si>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</si>
  <si>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</si>
  <si>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</si>
  <si>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</si>
  <si>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</si>
  <si>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</si>
  <si>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</si>
  <si>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</si>
  <si>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</si>
  <si>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</si>
  <si>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</si>
  <si>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</si>
  <si>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</si>
  <si>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</si>
  <si>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</si>
  <si>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</si>
  <si>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</si>
  <si>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</si>
  <si>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</si>
  <si>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</si>
  <si>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</si>
  <si>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</si>
  <si>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</si>
  <si>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</si>
  <si>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</si>
  <si>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</si>
  <si>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</si>
  <si>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</si>
  <si>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</si>
  <si>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</si>
  <si>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</si>
  <si>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</si>
  <si>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</si>
  <si>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</si>
  <si>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</si>
  <si>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</si>
  <si>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</si>
  <si>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</si>
  <si>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</si>
  <si>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</si>
  <si>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</si>
  <si>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</si>
  <si>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</si>
  <si>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</si>
  <si>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</si>
  <si>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</si>
  <si>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</si>
  <si>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</si>
  <si>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</si>
  <si>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</si>
  <si>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</si>
  <si>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</si>
  <si>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</si>
  <si>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</si>
  <si>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</si>
  <si>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</si>
  <si>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</si>
  <si>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</si>
  <si>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</si>
  <si>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</si>
  <si>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</si>
  <si>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</si>
  <si>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</si>
  <si>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</si>
  <si>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</si>
  <si>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</si>
  <si>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</si>
  <si>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</si>
  <si>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</si>
  <si>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</si>
  <si>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</si>
  <si>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</si>
  <si>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</si>
  <si>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</si>
  <si>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</si>
  <si>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</si>
  <si>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</si>
  <si>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</si>
  <si>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</si>
  <si>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</si>
  <si>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</si>
  <si>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</si>
  <si>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</si>
  <si>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</si>
  <si>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</si>
  <si>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</si>
  <si>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</si>
  <si>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</si>
  <si>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</si>
  <si>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</si>
  <si>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</si>
  <si>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</si>
  <si>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</si>
  <si>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</si>
  <si>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</si>
  <si>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</si>
  <si>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</si>
  <si>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</si>
  <si>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</si>
  <si>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</si>
  <si>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</si>
  <si>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</si>
  <si>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</si>
  <si>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</si>
  <si>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</si>
  <si>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</si>
  <si>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</si>
  <si>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</si>
  <si>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</si>
  <si>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</si>
  <si>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</si>
  <si>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</si>
  <si>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</si>
  <si>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</si>
  <si>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</si>
  <si>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</si>
  <si>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</si>
  <si>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</si>
  <si>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</si>
  <si>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</si>
  <si>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</si>
  <si>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</si>
  <si>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</si>
  <si>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</si>
  <si>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</si>
  <si>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</si>
  <si>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</si>
  <si>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</si>
  <si>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</si>
  <si>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</si>
  <si>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</si>
  <si>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</si>
  <si>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</si>
  <si>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</si>
  <si>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</si>
  <si>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</si>
  <si>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</si>
  <si>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</si>
  <si>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</si>
  <si>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</si>
  <si>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</si>
  <si>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</si>
  <si>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</si>
  <si>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</si>
  <si>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</si>
  <si>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</si>
  <si>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</si>
  <si>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</si>
  <si>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</si>
  <si>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</si>
  <si>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</si>
  <si>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</si>
  <si>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</si>
  <si>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</si>
  <si>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</si>
  <si>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</si>
  <si>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</si>
  <si>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</si>
  <si>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</si>
  <si>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</si>
  <si>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</si>
  <si>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</si>
  <si>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</si>
  <si>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</si>
  <si>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</si>
  <si>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</si>
  <si>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</si>
  <si>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</si>
  <si>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</si>
  <si>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</si>
  <si>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</si>
  <si>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</si>
  <si>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</si>
  <si>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</si>
  <si>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</si>
  <si>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</si>
  <si>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</si>
  <si>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</si>
  <si>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</si>
  <si>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</si>
  <si>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</si>
  <si>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</si>
  <si>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</si>
  <si>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</si>
  <si>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</si>
  <si>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</si>
  <si>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</si>
  <si>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</si>
  <si>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</si>
  <si>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</si>
  <si>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</si>
  <si>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</si>
  <si>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</si>
  <si>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</si>
  <si>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</si>
  <si>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</si>
  <si>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</si>
  <si>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</si>
  <si>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</si>
  <si>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</si>
  <si>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</si>
  <si>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</si>
  <si>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</si>
  <si>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</si>
  <si>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</si>
  <si>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</si>
  <si>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</si>
  <si>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</si>
  <si>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</si>
  <si>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</si>
  <si>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</si>
  <si>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</si>
  <si>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</si>
  <si>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</si>
  <si>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</si>
  <si>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</si>
  <si>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</si>
  <si>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</si>
  <si>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</si>
  <si>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</si>
  <si>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</si>
  <si>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</si>
  <si>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</si>
  <si>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</si>
  <si>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</si>
  <si>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</si>
  <si>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</si>
  <si>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</si>
  <si>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</si>
  <si>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</si>
  <si>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</si>
  <si>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</si>
  <si>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</si>
  <si>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</si>
  <si>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</si>
  <si>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</si>
  <si>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</si>
  <si>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</si>
  <si>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</si>
  <si>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</si>
  <si>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</si>
  <si>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</si>
  <si>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</si>
  <si>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</si>
  <si>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</si>
  <si>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</si>
  <si>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</si>
  <si>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</si>
  <si>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</si>
  <si>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</si>
  <si>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</si>
  <si>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</si>
  <si>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</si>
  <si>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</si>
  <si>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</si>
  <si>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</si>
  <si>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</si>
  <si>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</si>
  <si>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</si>
  <si>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</si>
  <si>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</si>
  <si>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</si>
  <si>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</si>
  <si>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</si>
  <si>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</si>
  <si>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</si>
  <si>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</si>
  <si>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</si>
  <si>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</si>
  <si>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</si>
  <si>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</si>
  <si>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</si>
  <si>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</si>
  <si>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</si>
  <si>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</si>
  <si>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</si>
  <si>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</si>
  <si>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</si>
  <si>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</si>
  <si>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</si>
  <si>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</si>
  <si>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</si>
  <si>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</si>
  <si>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</si>
  <si>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</si>
  <si>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</si>
  <si>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</si>
  <si>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</si>
  <si>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</si>
  <si>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</si>
  <si>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</si>
  <si>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</si>
  <si>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</si>
  <si>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</si>
  <si>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</si>
  <si>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</si>
  <si>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</si>
  <si>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</si>
  <si>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</si>
  <si>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</si>
  <si>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</si>
  <si>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</si>
  <si>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</si>
  <si>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</si>
  <si>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</si>
  <si>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</si>
  <si>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</si>
  <si>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</si>
  <si>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</si>
  <si>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</si>
  <si>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33.1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</si>
  <si>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</si>
  <si>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</si>
  <si>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</si>
  <si>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</si>
  <si>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</si>
  <si>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</si>
  <si>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</si>
  <si>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</si>
  <si>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</si>
  <si>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</si>
  <si>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</si>
  <si>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</si>
  <si>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</si>
  <si>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</si>
  <si>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</si>
  <si>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</si>
  <si>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</si>
  <si>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</si>
  <si>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</si>
  <si>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</si>
  <si>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</si>
  <si>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</si>
  <si>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</si>
  <si>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</si>
  <si>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</si>
  <si>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</si>
  <si>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</si>
  <si>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</si>
  <si>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</si>
  <si>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</si>
  <si>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</si>
  <si>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</si>
  <si>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</si>
  <si>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</si>
  <si>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</si>
  <si>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</si>
  <si>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</si>
  <si>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</si>
  <si>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</si>
  <si>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</si>
  <si>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</si>
  <si>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</si>
  <si>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</si>
  <si>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</si>
  <si>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</si>
  <si>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</si>
  <si>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</si>
  <si>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</si>
  <si>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</si>
  <si>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</si>
  <si>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</si>
  <si>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</si>
  <si>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</si>
  <si>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</si>
  <si>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</si>
  <si>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</si>
  <si>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</si>
  <si>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</si>
  <si>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</si>
  <si>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</si>
  <si>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</si>
  <si>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</si>
  <si>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</si>
  <si>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</si>
  <si>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</si>
  <si>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</si>
  <si>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</si>
  <si>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</si>
  <si>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</si>
  <si>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</si>
  <si>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</si>
  <si>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</si>
  <si>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</si>
  <si>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</si>
  <si>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/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</si>
  <si>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</si>
  <si>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</si>
  <si>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</si>
  <si>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</si>
  <si>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</si>
  <si>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</si>
  <si>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</si>
  <si>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</si>
  <si>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</si>
  <si>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</si>
  <si>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</si>
  <si>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</si>
  <si>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</si>
  <si>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</si>
  <si>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</si>
  <si>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</si>
  <si>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</si>
  <si>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</si>
  <si>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</si>
  <si>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</si>
  <si>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</si>
  <si>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</si>
  <si>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</si>
  <si>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</si>
  <si>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</si>
  <si>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</si>
  <si>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</si>
  <si>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</si>
  <si>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</si>
  <si>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</si>
  <si>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</si>
  <si>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</si>
  <si>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</si>
  <si>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</si>
  <si>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</si>
  <si>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</si>
  <si>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</si>
  <si>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</si>
  <si>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</si>
  <si>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</si>
  <si>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</si>
  <si>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</si>
  <si>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</si>
  <si>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</si>
  <si>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</si>
  <si>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</si>
  <si>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</si>
  <si>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</si>
  <si>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</si>
  <si>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</si>
  <si>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</si>
  <si>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</si>
  <si>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</si>
  <si>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</si>
  <si>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</si>
  <si>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</si>
  <si>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</si>
  <si>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</si>
  <si>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2026-05-05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</si>
</sst>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_ "/>
    <numFmt numFmtId="178" formatCode="0.00_ "/>
  </numFmts>
  <fonts count="3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8"/>
      <color rgb="FF00B050"/>
      <name val="宋体"/>
      <family val="1"/>
      <charset val="134"/>
    </font>
    <font>
      <b/>
      <sz val="8"/>
      <color rgb="FF00B050"/>
      <name val="Times New Roman"/>
      <family val="1"/>
    </font>
    <font>
      <sz val="11"/>
      <name val="Times New Roman"/>
      <family val="1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50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0" fontId="18" fillId="4" borderId="89" xfId="0" applyFont="1" applyFill="1" applyBorder="1" applyAlignment="1">
      <alignment horizontal="center" vertical="center"/>
    </xf>
    <xf numFmtId="49" fontId="19" fillId="4" borderId="90" xfId="0" applyNumberFormat="1" applyFont="1" applyFill="1" applyBorder="1" applyAlignment="1">
      <alignment horizontal="center" vertical="center" wrapText="1"/>
    </xf>
    <xf numFmtId="176" fontId="28" fillId="0" borderId="4" xfId="0" applyNumberFormat="1" applyFont="1" applyBorder="1" applyAlignment="1">
      <alignment horizontal="center" vertical="center" wrapText="1"/>
    </xf>
    <xf numFmtId="176" fontId="29" fillId="0" borderId="4" xfId="0" applyNumberFormat="1" applyFont="1" applyBorder="1" applyAlignment="1">
      <alignment horizontal="center" vertical="center" wrapText="1"/>
    </xf>
    <xf numFmtId="176" fontId="29" fillId="0" borderId="47" xfId="0" applyNumberFormat="1" applyFont="1" applyBorder="1" applyAlignment="1">
      <alignment horizontal="center" vertical="center" wrapText="1"/>
    </xf>
    <xf numFmtId="176" fontId="29" fillId="0" borderId="51" xfId="0" applyNumberFormat="1" applyFont="1" applyBorder="1" applyAlignment="1">
      <alignment horizontal="center" vertical="center" wrapText="1"/>
    </xf>
    <xf numFmtId="177" fontId="28" fillId="0" borderId="4" xfId="0" applyNumberFormat="1" applyFont="1" applyBorder="1" applyAlignment="1">
      <alignment horizontal="center" vertical="center" wrapText="1"/>
    </xf>
    <xf numFmtId="177" fontId="28" fillId="0" borderId="47" xfId="0" applyNumberFormat="1" applyFont="1" applyBorder="1" applyAlignment="1">
      <alignment horizontal="center" vertical="center" wrapText="1"/>
    </xf>
    <xf numFmtId="177" fontId="28" fillId="0" borderId="51" xfId="0" applyNumberFormat="1" applyFont="1" applyBorder="1" applyAlignment="1">
      <alignment horizontal="center" vertical="center" wrapText="1"/>
    </xf>
    <xf numFmtId="177" fontId="28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28" fillId="0" borderId="30" xfId="0" applyNumberFormat="1" applyFont="1" applyBorder="1" applyAlignment="1">
      <alignment horizontal="center" vertical="center" wrapText="1"/>
    </xf>
    <xf numFmtId="177" fontId="28" fillId="0" borderId="48" xfId="0" applyNumberFormat="1" applyFont="1" applyBorder="1" applyAlignment="1">
      <alignment horizontal="center" vertical="center" wrapText="1"/>
    </xf>
    <xf numFmtId="177" fontId="28" fillId="0" borderId="52" xfId="0" applyNumberFormat="1" applyFont="1" applyBorder="1" applyAlignment="1">
      <alignment horizontal="center" vertical="center" wrapText="1"/>
    </xf>
    <xf numFmtId="177" fontId="28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28" fillId="0" borderId="12" xfId="0" applyNumberFormat="1" applyFont="1" applyBorder="1" applyAlignment="1">
      <alignment horizontal="center" vertical="center" wrapText="1"/>
    </xf>
    <xf numFmtId="177" fontId="29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28" fillId="0" borderId="45" xfId="0" applyNumberFormat="1" applyFont="1" applyBorder="1" applyAlignment="1">
      <alignment horizontal="center" vertical="center" wrapText="1"/>
    </xf>
    <xf numFmtId="177" fontId="29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29" fillId="0" borderId="47" xfId="0" applyNumberFormat="1" applyFont="1" applyBorder="1" applyAlignment="1">
      <alignment horizontal="center" vertical="center" wrapText="1"/>
    </xf>
    <xf numFmtId="177" fontId="29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29" fillId="0" borderId="48" xfId="0" applyNumberFormat="1" applyFont="1" applyBorder="1" applyAlignment="1">
      <alignment horizontal="center" vertical="center" wrapText="1"/>
    </xf>
    <xf numFmtId="177" fontId="29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18" fillId="0" borderId="39" xfId="0" applyNumberFormat="1" applyFont="1" applyBorder="1" applyAlignment="1">
      <alignment horizontal="center" vertical="center" wrapText="1"/>
    </xf>
    <xf numFmtId="177" fontId="18" fillId="3" borderId="52" xfId="0" applyNumberFormat="1" applyFont="1" applyFill="1" applyBorder="1" applyAlignment="1">
      <alignment horizontal="center" vertical="center" wrapText="1"/>
    </xf>
    <xf numFmtId="177" fontId="18" fillId="3" borderId="30" xfId="0" applyNumberFormat="1" applyFont="1" applyFill="1" applyBorder="1" applyAlignment="1">
      <alignment horizontal="center" vertical="center" wrapText="1"/>
    </xf>
    <xf numFmtId="177" fontId="18" fillId="3" borderId="48" xfId="0" applyNumberFormat="1" applyFont="1" applyFill="1" applyBorder="1" applyAlignment="1">
      <alignment horizontal="center" vertical="center" wrapText="1"/>
    </xf>
    <xf numFmtId="177" fontId="18" fillId="0" borderId="45" xfId="0" applyNumberFormat="1" applyFont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21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 wrapText="1"/>
    </xf>
    <xf numFmtId="177" fontId="19" fillId="0" borderId="52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9" fillId="0" borderId="74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177" fontId="23" fillId="0" borderId="30" xfId="0" applyNumberFormat="1" applyFont="1" applyBorder="1" applyAlignment="1">
      <alignment horizontal="center" vertical="center" wrapText="1"/>
    </xf>
    <xf numFmtId="177" fontId="30" fillId="0" borderId="52" xfId="0" applyNumberFormat="1" applyFont="1" applyBorder="1" applyAlignment="1">
      <alignment horizontal="center" vertical="center" wrapText="1"/>
    </xf>
    <xf numFmtId="177" fontId="31" fillId="0" borderId="52" xfId="0" applyNumberFormat="1" applyFont="1" applyBorder="1" applyAlignment="1">
      <alignment horizontal="center" vertical="center" wrapText="1"/>
    </xf>
    <xf numFmtId="177" fontId="31" fillId="0" borderId="30" xfId="0" applyNumberFormat="1" applyFont="1" applyBorder="1" applyAlignment="1">
      <alignment horizontal="center" vertical="center" wrapText="1"/>
    </xf>
    <xf numFmtId="177" fontId="31" fillId="0" borderId="76" xfId="0" applyNumberFormat="1" applyFont="1" applyBorder="1" applyAlignment="1">
      <alignment horizontal="center" vertical="center" wrapText="1"/>
    </xf>
    <xf numFmtId="177" fontId="31" fillId="0" borderId="48" xfId="0" applyNumberFormat="1" applyFont="1" applyBorder="1" applyAlignment="1">
      <alignment horizontal="center" vertical="center" wrapText="1"/>
    </xf>
    <xf numFmtId="177" fontId="32" fillId="0" borderId="30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4" fillId="0" borderId="82" xfId="0" applyFont="1" applyBorder="1" applyAlignment="1">
      <alignment horizontal="left" vertical="center"/>
    </xf>
    <xf numFmtId="0" fontId="24" fillId="0" borderId="83" xfId="0" applyFont="1" applyBorder="1" applyAlignment="1">
      <alignment horizontal="left" vertical="center"/>
    </xf>
    <xf numFmtId="0" fontId="24" fillId="0" borderId="84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21" fillId="0" borderId="8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21" fillId="0" borderId="79" xfId="0" applyNumberFormat="1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49" fontId="21" fillId="0" borderId="58" xfId="0" applyNumberFormat="1" applyFont="1" applyBorder="1" applyAlignment="1">
      <alignment horizontal="center" vertical="center" wrapText="1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53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49" fontId="26" fillId="0" borderId="72" xfId="0" applyNumberFormat="1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71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0" fontId="0" fillId="0" borderId="9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3" fillId="3" borderId="81" xfId="0" applyFont="1" applyFill="1" applyBorder="1" applyAlignment="1">
      <alignment horizontal="center" vertical="center"/>
    </xf>
    <xf numFmtId="0" fontId="33" fillId="3" borderId="78" xfId="0" applyFont="1" applyFill="1" applyBorder="1" applyAlignment="1">
      <alignment horizontal="center" vertical="center"/>
    </xf>
    <xf numFmtId="0" fontId="33" fillId="3" borderId="77" xfId="0" applyFont="1" applyFill="1" applyBorder="1" applyAlignment="1">
      <alignment horizontal="center" vertical="center"/>
    </xf>
    <xf numFmtId="0" fontId="34" fillId="3" borderId="61" xfId="0" applyFont="1" applyFill="1" applyBorder="1" applyAlignment="1">
      <alignment vertical="center"/>
    </xf>
    <xf numFmtId="0" fontId="34" fillId="3" borderId="62" xfId="0" applyFont="1" applyFill="1" applyBorder="1" applyAlignment="1">
      <alignment vertical="center"/>
    </xf>
    <xf numFmtId="0" fontId="34" fillId="3" borderId="62" xfId="0" applyFont="1" applyFill="1" applyBorder="1" applyAlignment="1">
      <alignment horizontal="right" vertical="center"/>
    </xf>
    <xf numFmtId="0" fontId="34" fillId="3" borderId="62" xfId="0" applyFont="1" applyFill="1" applyBorder="1" applyAlignment="1">
      <alignment horizontal="center" vertical="center"/>
    </xf>
    <xf numFmtId="0" fontId="34" fillId="3" borderId="65" xfId="0" applyFont="1" applyFill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0" fontId="33" fillId="0" borderId="90" xfId="0" applyFont="1" applyBorder="1" applyAlignment="1">
      <alignment horizontal="center" vertical="center"/>
    </xf>
    <xf numFmtId="0" fontId="33" fillId="0" borderId="94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33" fillId="0" borderId="95" xfId="0" applyFont="1" applyBorder="1" applyAlignment="1">
      <alignment horizontal="center" vertical="center"/>
    </xf>
    <xf numFmtId="0" fontId="35" fillId="0" borderId="96" xfId="0" applyFont="1" applyBorder="1" applyAlignment="1">
      <alignment horizontal="left" vertical="center"/>
    </xf>
    <xf numFmtId="0" fontId="35" fillId="0" borderId="94" xfId="0" applyFont="1" applyBorder="1" applyAlignment="1">
      <alignment horizontal="center" vertical="center"/>
    </xf>
    <xf numFmtId="0" fontId="35" fillId="0" borderId="94" xfId="0" applyFont="1" applyBorder="1" applyAlignment="1">
      <alignment horizontal="center" vertical="center"/>
    </xf>
    <xf numFmtId="177" fontId="36" fillId="0" borderId="94" xfId="0" applyNumberFormat="1" applyFont="1" applyBorder="1" applyAlignment="1">
      <alignment horizontal="center" vertical="center"/>
    </xf>
    <xf numFmtId="177" fontId="16" fillId="0" borderId="94" xfId="0" applyNumberFormat="1" applyFont="1" applyBorder="1" applyAlignment="1">
      <alignment horizontal="center" vertical="center"/>
    </xf>
    <xf numFmtId="178" fontId="36" fillId="0" borderId="94" xfId="0" applyNumberFormat="1" applyFont="1" applyBorder="1" applyAlignment="1">
      <alignment horizontal="center" vertical="center"/>
    </xf>
    <xf numFmtId="178" fontId="36" fillId="0" borderId="89" xfId="0" applyNumberFormat="1" applyFont="1" applyBorder="1" applyAlignment="1">
      <alignment horizontal="center" vertical="center"/>
    </xf>
    <xf numFmtId="0" fontId="36" fillId="0" borderId="95" xfId="0" applyFont="1" applyBorder="1" applyAlignment="1">
      <alignment horizontal="center" vertical="center"/>
    </xf>
    <xf numFmtId="0" fontId="35" fillId="0" borderId="97" xfId="0" applyFont="1" applyBorder="1" applyAlignment="1">
      <alignment horizontal="center" vertical="center"/>
    </xf>
    <xf numFmtId="0" fontId="36" fillId="0" borderId="94" xfId="0" applyFont="1" applyBorder="1" applyAlignment="1">
      <alignment horizontal="center" vertical="center"/>
    </xf>
    <xf numFmtId="0" fontId="35" fillId="0" borderId="94" xfId="0" quotePrefix="1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177" fontId="35" fillId="0" borderId="94" xfId="0" quotePrefix="1" applyNumberFormat="1" applyFont="1" applyBorder="1" applyAlignment="1">
      <alignment horizontal="center" vertical="center"/>
    </xf>
    <xf numFmtId="0" fontId="36" fillId="0" borderId="94" xfId="0" quotePrefix="1" applyFont="1" applyBorder="1" applyAlignment="1">
      <alignment horizontal="center" vertical="center"/>
    </xf>
    <xf numFmtId="0" fontId="35" fillId="0" borderId="96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177" fontId="36" fillId="0" borderId="100" xfId="0" applyNumberFormat="1" applyFont="1" applyBorder="1" applyAlignment="1">
      <alignment horizontal="center" vertical="center"/>
    </xf>
    <xf numFmtId="177" fontId="16" fillId="0" borderId="100" xfId="0" applyNumberFormat="1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5" fillId="0" borderId="102" xfId="0" applyFont="1" applyBorder="1" applyAlignment="1">
      <alignment horizontal="center" vertical="center"/>
    </xf>
    <xf numFmtId="0" fontId="35" fillId="0" borderId="103" xfId="0" applyFont="1" applyBorder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35" fillId="0" borderId="105" xfId="0" applyFont="1" applyBorder="1" applyAlignment="1">
      <alignment horizontal="center" vertical="center"/>
    </xf>
    <xf numFmtId="0" fontId="35" fillId="0" borderId="106" xfId="0" applyFont="1" applyBorder="1" applyAlignment="1">
      <alignment horizontal="center" vertical="center"/>
    </xf>
    <xf numFmtId="0" fontId="35" fillId="0" borderId="10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08" xfId="0" applyFont="1" applyBorder="1" applyAlignment="1">
      <alignment horizontal="center" vertical="center"/>
    </xf>
    <xf numFmtId="0" fontId="35" fillId="0" borderId="109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</cellXfs>
  <cellStyles count="1">
    <cellStyle name="常规" xfId="0" builtinId="0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91">
        <v>11.664496421813965</v>
      </c>
      <c r="D6" s="91">
        <v>18.48958396911621</v>
      </c>
      <c r="E6" s="91">
        <v>418.78790283203125</v>
      </c>
      <c r="F6" s="91"/>
      <c r="G6" s="91"/>
      <c r="H6" s="92">
        <v>419.1732177734375</v>
      </c>
      <c r="I6" s="93">
        <v>28.8375301361084</v>
      </c>
      <c r="J6" s="91"/>
      <c r="K6" s="91">
        <v>39.127601623535156</v>
      </c>
      <c r="L6" s="91">
        <v>1.2358037233352661</v>
      </c>
      <c r="M6" s="91">
        <v>109.2502212524414</v>
      </c>
      <c r="N6" s="91">
        <v>114.14930725097656</v>
      </c>
      <c r="O6" s="91">
        <v>20.399320602416992</v>
      </c>
      <c r="P6" s="91"/>
      <c r="Q6" s="91"/>
      <c r="R6" s="91"/>
      <c r="S6" s="91">
        <v>139.5833282470703</v>
      </c>
      <c r="T6" s="91">
        <v>1.6077111959457397</v>
      </c>
      <c r="U6" s="91">
        <v>0.30161771178245544</v>
      </c>
      <c r="V6" s="91"/>
      <c r="W6" s="91">
        <v>90.66117095947266</v>
      </c>
      <c r="X6" s="91">
        <v>0.5272961854934692</v>
      </c>
      <c r="Y6" s="91"/>
      <c r="Z6" s="91">
        <v>0.7283565402030945</v>
      </c>
      <c r="AA6" s="91">
        <v>149.4429931640625</v>
      </c>
      <c r="AB6" s="91">
        <v>162.6591339111328</v>
      </c>
      <c r="AC6" s="91">
        <v>0.6271701455116272</v>
      </c>
      <c r="AD6" s="91">
        <v>154.73812866210938</v>
      </c>
      <c r="AE6" s="94">
        <v>32.7400016784668</v>
      </c>
      <c r="AF6" s="94"/>
      <c r="AG6" s="94"/>
      <c r="AH6" s="94">
        <v>16.459999084472656</v>
      </c>
      <c r="AI6" s="94"/>
      <c r="AJ6" s="94"/>
      <c r="AK6" s="94">
        <v>7.039999961853027</v>
      </c>
      <c r="AL6" s="91">
        <v>3.501157283782959</v>
      </c>
      <c r="AM6" s="95"/>
      <c r="AN6" s="96">
        <v>48.5243034362793</v>
      </c>
      <c r="AO6" s="97"/>
      <c r="AP6" s="98">
        <v>-80.2228012084961</v>
      </c>
      <c r="AQ6" s="98">
        <v>0.2840711772441864</v>
      </c>
      <c r="AR6" s="99"/>
    </row>
    <row r="7" spans="2:47" ht="13.5" customHeight="1" x14ac:dyDescent="0.25">
      <c r="B7" s="14">
        <v>0.375</v>
      </c>
      <c r="C7" s="91">
        <v>12.431279182434082</v>
      </c>
      <c r="D7" s="91">
        <v>18.96701431274414</v>
      </c>
      <c r="E7" s="91">
        <v>418.78790283203125</v>
      </c>
      <c r="F7" s="91">
        <v>0.3365703225135803</v>
      </c>
      <c r="G7" s="91">
        <v>0</v>
      </c>
      <c r="H7" s="92">
        <v>419.1732177734375</v>
      </c>
      <c r="I7" s="93">
        <v>10.228588104248047</v>
      </c>
      <c r="J7" s="91">
        <v>0.020140625536441803</v>
      </c>
      <c r="K7" s="91">
        <v>39.30121612548828</v>
      </c>
      <c r="L7" s="91">
        <v>1.2778501510620117</v>
      </c>
      <c r="M7" s="91">
        <v>110.19966125488281</v>
      </c>
      <c r="N7" s="91">
        <v>113.01359558105469</v>
      </c>
      <c r="O7" s="91">
        <v>20.276731491088867</v>
      </c>
      <c r="P7" s="91">
        <v>20.1806640625</v>
      </c>
      <c r="Q7" s="91"/>
      <c r="R7" s="91">
        <v>2.60028076171875</v>
      </c>
      <c r="S7" s="91">
        <v>139.5471649169922</v>
      </c>
      <c r="T7" s="91">
        <v>1.6078377962112427</v>
      </c>
      <c r="U7" s="91">
        <v>0.2987927198410034</v>
      </c>
      <c r="V7" s="91">
        <v>0.30007031559944153</v>
      </c>
      <c r="W7" s="91">
        <v>90.55989074707031</v>
      </c>
      <c r="X7" s="91">
        <v>0.530761182308197</v>
      </c>
      <c r="Y7" s="91" t="s">
        <v>82</v>
      </c>
      <c r="Z7" s="91">
        <v>0.7398148775100708</v>
      </c>
      <c r="AA7" s="91">
        <v>149.85531616210938</v>
      </c>
      <c r="AB7" s="91">
        <v>162.58680725097656</v>
      </c>
      <c r="AC7" s="91">
        <v>0.5409794449806213</v>
      </c>
      <c r="AD7" s="91">
        <v>154.83216857910156</v>
      </c>
      <c r="AE7" s="94"/>
      <c r="AF7" s="94"/>
      <c r="AG7" s="94"/>
      <c r="AH7" s="94"/>
      <c r="AI7" s="94"/>
      <c r="AJ7" s="94"/>
      <c r="AK7" s="94"/>
      <c r="AL7" s="91">
        <v>0</v>
      </c>
      <c r="AM7" s="95">
        <v>0.006730956956744194</v>
      </c>
      <c r="AN7" s="96">
        <v>46.03949737548828</v>
      </c>
      <c r="AO7" s="97"/>
      <c r="AP7" s="98">
        <v>-80.21556854248047</v>
      </c>
      <c r="AQ7" s="98">
        <v>0.296875</v>
      </c>
      <c r="AR7" s="99">
        <v>0.00029084779089316726</v>
      </c>
    </row>
    <row r="8" spans="2:47" ht="13.5" customHeight="1" x14ac:dyDescent="0.25">
      <c r="B8" s="14">
        <v>0.41666666666666669</v>
      </c>
      <c r="C8" s="91">
        <v>13.55251693725586</v>
      </c>
      <c r="D8" s="91">
        <v>19.81879425048828</v>
      </c>
      <c r="E8" s="91">
        <v>418.78790283203125</v>
      </c>
      <c r="F8" s="91">
        <v>0.33705469965934753</v>
      </c>
      <c r="G8" s="91">
        <v>0</v>
      </c>
      <c r="H8" s="92">
        <v>419.1732177734375</v>
      </c>
      <c r="I8" s="93">
        <v>20.533130645751953</v>
      </c>
      <c r="J8" s="91">
        <v>0.01980029232800007</v>
      </c>
      <c r="K8" s="91">
        <v>45.0593147277832</v>
      </c>
      <c r="L8" s="91">
        <v>1.4678277969360352</v>
      </c>
      <c r="M8" s="91">
        <v>110.72048950195312</v>
      </c>
      <c r="N8" s="91">
        <v>113.1365737915039</v>
      </c>
      <c r="O8" s="91">
        <v>19.926517486572266</v>
      </c>
      <c r="P8" s="91">
        <v>20.1767578125</v>
      </c>
      <c r="Q8" s="91"/>
      <c r="R8" s="91">
        <v>2.59588623046875</v>
      </c>
      <c r="S8" s="91">
        <v>139.59056091308594</v>
      </c>
      <c r="T8" s="91">
        <v>1.6061921119689941</v>
      </c>
      <c r="U8" s="91">
        <v>0.3000749349594116</v>
      </c>
      <c r="V8" s="91">
        <v>0.2999218702316284</v>
      </c>
      <c r="W8" s="91">
        <v>90.35011291503906</v>
      </c>
      <c r="X8" s="91">
        <v>0.5299274325370789</v>
      </c>
      <c r="Y8" s="91" t="s">
        <v>82</v>
      </c>
      <c r="Z8" s="91">
        <v>0.7265625596046448</v>
      </c>
      <c r="AA8" s="91">
        <v>149.35618591308594</v>
      </c>
      <c r="AB8" s="91">
        <v>162.63743591308594</v>
      </c>
      <c r="AC8" s="91">
        <v>0.7461299300193787</v>
      </c>
      <c r="AD8" s="91">
        <v>154.9768524169922</v>
      </c>
      <c r="AE8" s="94"/>
      <c r="AF8" s="94"/>
      <c r="AG8" s="94"/>
      <c r="AH8" s="94"/>
      <c r="AI8" s="94"/>
      <c r="AJ8" s="94"/>
      <c r="AK8" s="94"/>
      <c r="AL8" s="91">
        <v>4.586226940155029</v>
      </c>
      <c r="AM8" s="95">
        <v>0.004329589661210775</v>
      </c>
      <c r="AN8" s="96">
        <v>44.62528991699219</v>
      </c>
      <c r="AO8" s="97"/>
      <c r="AP8" s="98">
        <v>-80.23726654052734</v>
      </c>
      <c r="AQ8" s="98">
        <v>0.28269675374031067</v>
      </c>
      <c r="AR8" s="99">
        <v>0.0002900543331634253</v>
      </c>
    </row>
    <row r="9" spans="2:47" ht="13.5" customHeight="1" x14ac:dyDescent="0.25">
      <c r="B9" s="14">
        <v>0.45833333333333298</v>
      </c>
      <c r="C9" s="91">
        <v>14.65928840637207</v>
      </c>
      <c r="D9" s="91">
        <v>20.67599868774414</v>
      </c>
      <c r="E9" s="91">
        <v>418.78790283203125</v>
      </c>
      <c r="F9" s="91">
        <v>0.33768749237060547</v>
      </c>
      <c r="G9" s="91">
        <v>0</v>
      </c>
      <c r="H9" s="92">
        <v>419.1732177734375</v>
      </c>
      <c r="I9" s="93">
        <v>20.077402114868164</v>
      </c>
      <c r="J9" s="91">
        <v>0.020301269367337227</v>
      </c>
      <c r="K9" s="91">
        <v>45.37036895751953</v>
      </c>
      <c r="L9" s="91">
        <v>1.472348928451538</v>
      </c>
      <c r="M9" s="91">
        <v>105.55555725097656</v>
      </c>
      <c r="N9" s="91">
        <v>111.29918670654297</v>
      </c>
      <c r="O9" s="91">
        <v>20.20319175720215</v>
      </c>
      <c r="P9" s="91">
        <v>20.16943359375</v>
      </c>
      <c r="Q9" s="91"/>
      <c r="R9" s="91">
        <v>2.5396728515625</v>
      </c>
      <c r="S9" s="91">
        <v>139.5543975830078</v>
      </c>
      <c r="T9" s="91">
        <v>1.607204794883728</v>
      </c>
      <c r="U9" s="91">
        <v>0.30123844742774963</v>
      </c>
      <c r="V9" s="91">
        <v>0.29993748664855957</v>
      </c>
      <c r="W9" s="91">
        <v>90.5092544555664</v>
      </c>
      <c r="X9" s="91">
        <v>0.5306195020675659</v>
      </c>
      <c r="Y9" s="91" t="s">
        <v>82</v>
      </c>
      <c r="Z9" s="91">
        <v>0.7277199625968933</v>
      </c>
      <c r="AA9" s="91">
        <v>148.48089599609375</v>
      </c>
      <c r="AB9" s="91">
        <v>162.4565887451172</v>
      </c>
      <c r="AC9" s="91">
        <v>0.49797454476356506</v>
      </c>
      <c r="AD9" s="91">
        <v>154.70919799804688</v>
      </c>
      <c r="AE9" s="94"/>
      <c r="AF9" s="94"/>
      <c r="AG9" s="94"/>
      <c r="AH9" s="94"/>
      <c r="AI9" s="94"/>
      <c r="AJ9" s="94"/>
      <c r="AK9" s="94"/>
      <c r="AL9" s="91">
        <v>33.81076431274414</v>
      </c>
      <c r="AM9" s="95">
        <v>0.0177768561989069</v>
      </c>
      <c r="AN9" s="96">
        <v>60.24666976928711</v>
      </c>
      <c r="AO9" s="97"/>
      <c r="AP9" s="98">
        <v>-80.35301208496094</v>
      </c>
      <c r="AQ9" s="98">
        <v>0.29050925374031067</v>
      </c>
      <c r="AR9" s="99">
        <v>0.0002896804944612086</v>
      </c>
    </row>
    <row r="10" spans="2:47" ht="13.5" customHeight="1" x14ac:dyDescent="0.25">
      <c r="B10" s="14">
        <v>0.5</v>
      </c>
      <c r="C10" s="91">
        <v>11.881509780883789</v>
      </c>
      <c r="D10" s="91">
        <v>21.47895050048828</v>
      </c>
      <c r="E10" s="91">
        <v>418.78790283203125</v>
      </c>
      <c r="F10" s="91">
        <v>0.1931796818971634</v>
      </c>
      <c r="G10" s="91">
        <v>0</v>
      </c>
      <c r="H10" s="92">
        <v>419.1732177734375</v>
      </c>
      <c r="I10" s="93">
        <v>25.470197677612305</v>
      </c>
      <c r="J10" s="91">
        <v>0.019193358719348907</v>
      </c>
      <c r="K10" s="91">
        <v>41.71006774902344</v>
      </c>
      <c r="L10" s="91">
        <v>1.3197157382965088</v>
      </c>
      <c r="M10" s="91">
        <v>105.19206237792969</v>
      </c>
      <c r="N10" s="91">
        <v>106.56105041503906</v>
      </c>
      <c r="O10" s="91">
        <v>20.163423538208008</v>
      </c>
      <c r="P10" s="91">
        <v>20.169921875</v>
      </c>
      <c r="Q10" s="91"/>
      <c r="R10" s="91">
        <v>2.581787109375</v>
      </c>
      <c r="S10" s="91">
        <v>139.33738708496094</v>
      </c>
      <c r="T10" s="91">
        <v>1.6053059101104736</v>
      </c>
      <c r="U10" s="91">
        <v>0.30006009340286255</v>
      </c>
      <c r="V10" s="91">
        <v>0.30003905296325684</v>
      </c>
      <c r="W10" s="91">
        <v>89.85821533203125</v>
      </c>
      <c r="X10" s="91">
        <v>0.5290138721466064</v>
      </c>
      <c r="Y10" s="91" t="s">
        <v>82</v>
      </c>
      <c r="Z10" s="91">
        <v>0.7432292103767395</v>
      </c>
      <c r="AA10" s="91">
        <v>148.06857299804688</v>
      </c>
      <c r="AB10" s="91">
        <v>162.3987274169922</v>
      </c>
      <c r="AC10" s="91">
        <v>0.42997685074806213</v>
      </c>
      <c r="AD10" s="91">
        <v>154.8828125</v>
      </c>
      <c r="AE10" s="94"/>
      <c r="AF10" s="94"/>
      <c r="AG10" s="94"/>
      <c r="AH10" s="94"/>
      <c r="AI10" s="94"/>
      <c r="AJ10" s="94"/>
      <c r="AK10" s="94"/>
      <c r="AL10" s="91">
        <v>0</v>
      </c>
      <c r="AM10" s="95">
        <v>0.017189452424645424</v>
      </c>
      <c r="AN10" s="96">
        <v>58.14887237548828</v>
      </c>
      <c r="AO10" s="97"/>
      <c r="AP10" s="98">
        <v>-80.54832458496094</v>
      </c>
      <c r="AQ10" s="98">
        <v>0.28378182649612427</v>
      </c>
      <c r="AR10" s="99">
        <v>0.000292114244075492</v>
      </c>
    </row>
    <row r="11" spans="2:47" ht="13.5" customHeight="1" x14ac:dyDescent="0.25">
      <c r="B11" s="14">
        <v>0.54166666666666696</v>
      </c>
      <c r="C11" s="91">
        <v>13.556134223937988</v>
      </c>
      <c r="D11" s="91">
        <v>21.95638084411621</v>
      </c>
      <c r="E11" s="91">
        <v>418.78790283203125</v>
      </c>
      <c r="F11" s="91">
        <v>0.338679701089859</v>
      </c>
      <c r="G11" s="91">
        <v>0</v>
      </c>
      <c r="H11" s="92">
        <v>419.1732177734375</v>
      </c>
      <c r="I11" s="93">
        <v>25.951244354248047</v>
      </c>
      <c r="J11" s="91">
        <v>0.01697412133216858</v>
      </c>
      <c r="K11" s="91">
        <v>39.807579040527344</v>
      </c>
      <c r="L11" s="91">
        <v>1.252531886100769</v>
      </c>
      <c r="M11" s="91">
        <v>109.28820037841797</v>
      </c>
      <c r="N11" s="91">
        <v>112.00086975097656</v>
      </c>
      <c r="O11" s="91">
        <v>20.01401138305664</v>
      </c>
      <c r="P11" s="91">
        <v>20.17041015625</v>
      </c>
      <c r="Q11" s="91"/>
      <c r="R11" s="91">
        <v>2.557373046875</v>
      </c>
      <c r="S11" s="91">
        <v>139.3229217529297</v>
      </c>
      <c r="T11" s="91">
        <v>1.6032805442810059</v>
      </c>
      <c r="U11" s="91">
        <v>0.2970137894153595</v>
      </c>
      <c r="V11" s="91">
        <v>0.3000156283378601</v>
      </c>
      <c r="W11" s="91">
        <v>90.53096008300781</v>
      </c>
      <c r="X11" s="91">
        <v>0.5301749110221863</v>
      </c>
      <c r="Y11" s="91" t="s">
        <v>82</v>
      </c>
      <c r="Z11" s="91">
        <v>0.7488425970077515</v>
      </c>
      <c r="AA11" s="91">
        <v>149.1753387451172</v>
      </c>
      <c r="AB11" s="91">
        <v>162.8544464111328</v>
      </c>
      <c r="AC11" s="91">
        <v>1.050383448600769</v>
      </c>
      <c r="AD11" s="91">
        <v>155.7581024169922</v>
      </c>
      <c r="AE11" s="94"/>
      <c r="AF11" s="94"/>
      <c r="AG11" s="94"/>
      <c r="AH11" s="94"/>
      <c r="AI11" s="94"/>
      <c r="AJ11" s="94"/>
      <c r="AK11" s="94"/>
      <c r="AL11" s="91">
        <v>2.387152671813965</v>
      </c>
      <c r="AM11" s="95">
        <v>0.013742676004767418</v>
      </c>
      <c r="AN11" s="96">
        <v>56.05107116699219</v>
      </c>
      <c r="AO11" s="97"/>
      <c r="AP11" s="98">
        <v>-80.46875</v>
      </c>
      <c r="AQ11" s="98">
        <v>0.2962239682674408</v>
      </c>
      <c r="AR11" s="99">
        <v>0.0002913818461820483</v>
      </c>
    </row>
    <row r="12" spans="2:47" ht="13.5" customHeight="1" x14ac:dyDescent="0.25">
      <c r="B12" s="14">
        <v>0.58333333333333304</v>
      </c>
      <c r="C12" s="91">
        <v>14.167389869689941</v>
      </c>
      <c r="D12" s="91">
        <v>22.450088500976562</v>
      </c>
      <c r="E12" s="91">
        <v>418.78790283203125</v>
      </c>
      <c r="F12" s="91">
        <v>0.3389374911785126</v>
      </c>
      <c r="G12" s="91">
        <v>0</v>
      </c>
      <c r="H12" s="92">
        <v>419.1732177734375</v>
      </c>
      <c r="I12" s="93">
        <v>27.242477416992188</v>
      </c>
      <c r="J12" s="91">
        <v>0.017964843660593033</v>
      </c>
      <c r="K12" s="91">
        <v>39.619503021240234</v>
      </c>
      <c r="L12" s="91">
        <v>1.2389684915542603</v>
      </c>
      <c r="M12" s="91">
        <v>110.26476287841797</v>
      </c>
      <c r="N12" s="91">
        <v>110.546875</v>
      </c>
      <c r="O12" s="91">
        <v>19.88689613342285</v>
      </c>
      <c r="P12" s="91">
        <v>20.17822265625</v>
      </c>
      <c r="Q12" s="91"/>
      <c r="R12" s="91">
        <v>2.55096435546875</v>
      </c>
      <c r="S12" s="91">
        <v>139.65567016601562</v>
      </c>
      <c r="T12" s="91">
        <v>1.603153944015503</v>
      </c>
      <c r="U12" s="91">
        <v>0.29629480838775635</v>
      </c>
      <c r="V12" s="91">
        <v>0.30006250739097595</v>
      </c>
      <c r="W12" s="91">
        <v>90.66840362548828</v>
      </c>
      <c r="X12" s="91">
        <v>0.5323304533958435</v>
      </c>
      <c r="Y12" s="91" t="s">
        <v>82</v>
      </c>
      <c r="Z12" s="91">
        <v>0.7361111640930176</v>
      </c>
      <c r="AA12" s="91">
        <v>150.11573791503906</v>
      </c>
      <c r="AB12" s="91">
        <v>162.9846649169922</v>
      </c>
      <c r="AC12" s="91">
        <v>0.8500434160232544</v>
      </c>
      <c r="AD12" s="91">
        <v>155.6929931640625</v>
      </c>
      <c r="AE12" s="94"/>
      <c r="AF12" s="94"/>
      <c r="AG12" s="94"/>
      <c r="AH12" s="94"/>
      <c r="AI12" s="94"/>
      <c r="AJ12" s="94"/>
      <c r="AK12" s="94"/>
      <c r="AL12" s="91">
        <v>7.4688944816589355</v>
      </c>
      <c r="AM12" s="95">
        <v>0.01291064452379942</v>
      </c>
      <c r="AN12" s="96">
        <v>54.12688064575195</v>
      </c>
      <c r="AO12" s="97"/>
      <c r="AP12" s="98">
        <v>-80.70023345947266</v>
      </c>
      <c r="AQ12" s="98">
        <v>0.29202836751937866</v>
      </c>
      <c r="AR12" s="99">
        <v>0.00029148865723982453</v>
      </c>
    </row>
    <row r="13" spans="2:47" ht="13.5" customHeight="1" x14ac:dyDescent="0.25">
      <c r="B13" s="14">
        <v>0.625</v>
      </c>
      <c r="C13" s="91">
        <v>11.487268447875977</v>
      </c>
      <c r="D13" s="91">
        <v>22.48263931274414</v>
      </c>
      <c r="E13" s="91">
        <v>418.78790283203125</v>
      </c>
      <c r="F13" s="91">
        <v>0.19419531524181366</v>
      </c>
      <c r="G13" s="91">
        <v>0</v>
      </c>
      <c r="H13" s="92">
        <v>419.1732177734375</v>
      </c>
      <c r="I13" s="93">
        <v>23.01432228088379</v>
      </c>
      <c r="J13" s="91">
        <v>0.01912206970155239</v>
      </c>
      <c r="K13" s="91">
        <v>43.53298568725586</v>
      </c>
      <c r="L13" s="91">
        <v>1.4030852317810059</v>
      </c>
      <c r="M13" s="91">
        <v>108.87044525146484</v>
      </c>
      <c r="N13" s="91">
        <v>109.25202178955078</v>
      </c>
      <c r="O13" s="91">
        <v>20.242250442504883</v>
      </c>
      <c r="P13" s="91">
        <v>20.16748046875</v>
      </c>
      <c r="Q13" s="91"/>
      <c r="R13" s="91">
        <v>2.53070068359375</v>
      </c>
      <c r="S13" s="91">
        <v>139.46759033203125</v>
      </c>
      <c r="T13" s="91">
        <v>1.6172055006027222</v>
      </c>
      <c r="U13" s="91">
        <v>0.29998448491096497</v>
      </c>
      <c r="V13" s="91">
        <v>0.2998124957084656</v>
      </c>
      <c r="W13" s="91">
        <v>90.19820404052734</v>
      </c>
      <c r="X13" s="91">
        <v>0.530642032623291</v>
      </c>
      <c r="Y13" s="91" t="s">
        <v>82</v>
      </c>
      <c r="Z13" s="91">
        <v>0.7422453761100769</v>
      </c>
      <c r="AA13" s="91">
        <v>149.3417205810547</v>
      </c>
      <c r="AB13" s="91">
        <v>162.890625</v>
      </c>
      <c r="AC13" s="91">
        <v>0.6119430065155029</v>
      </c>
      <c r="AD13" s="91">
        <v>155.721923828125</v>
      </c>
      <c r="AE13" s="94"/>
      <c r="AF13" s="94"/>
      <c r="AG13" s="94"/>
      <c r="AH13" s="94"/>
      <c r="AI13" s="94"/>
      <c r="AJ13" s="94"/>
      <c r="AK13" s="94"/>
      <c r="AL13" s="91">
        <v>0</v>
      </c>
      <c r="AM13" s="95">
        <v>0.010953613556921482</v>
      </c>
      <c r="AN13" s="96">
        <v>52.394386291503906</v>
      </c>
      <c r="AO13" s="97"/>
      <c r="AP13" s="98">
        <v>-80.80150604248047</v>
      </c>
      <c r="AQ13" s="98">
        <v>0.29021990299224854</v>
      </c>
      <c r="AR13" s="99">
        <v>0.0002905883884523064</v>
      </c>
    </row>
    <row r="14" spans="2:47" ht="13.5" customHeight="1" x14ac:dyDescent="0.25">
      <c r="B14" s="14">
        <v>0.66666666666666696</v>
      </c>
      <c r="C14" s="91">
        <v>12.518084526062012</v>
      </c>
      <c r="D14" s="91">
        <v>22.802736282348633</v>
      </c>
      <c r="E14" s="91">
        <v>418.78790283203125</v>
      </c>
      <c r="F14" s="91">
        <v>0.3387968838214874</v>
      </c>
      <c r="G14" s="91">
        <v>0</v>
      </c>
      <c r="H14" s="92">
        <v>419.1732177734375</v>
      </c>
      <c r="I14" s="93">
        <v>20.20399284362793</v>
      </c>
      <c r="J14" s="91">
        <v>0.020042480900883675</v>
      </c>
      <c r="K14" s="91">
        <v>44.82060241699219</v>
      </c>
      <c r="L14" s="91">
        <v>1.4432328939437866</v>
      </c>
      <c r="M14" s="91">
        <v>109.97721862792969</v>
      </c>
      <c r="N14" s="91">
        <v>111.97193145751953</v>
      </c>
      <c r="O14" s="91">
        <v>20.198667526245117</v>
      </c>
      <c r="P14" s="91">
        <v>20.1748046875</v>
      </c>
      <c r="Q14" s="91"/>
      <c r="R14" s="91">
        <v>2.49322509765625</v>
      </c>
      <c r="S14" s="91">
        <v>139.4097137451172</v>
      </c>
      <c r="T14" s="91">
        <v>1.6153067350387573</v>
      </c>
      <c r="U14" s="91">
        <v>0.2979636788368225</v>
      </c>
      <c r="V14" s="91">
        <v>0.30000782012939453</v>
      </c>
      <c r="W14" s="91">
        <v>90.22714233398438</v>
      </c>
      <c r="X14" s="91">
        <v>0.5306307077407837</v>
      </c>
      <c r="Y14" s="91" t="s">
        <v>82</v>
      </c>
      <c r="Z14" s="91">
        <v>0.7339699268341064</v>
      </c>
      <c r="AA14" s="91">
        <v>149.667236328125</v>
      </c>
      <c r="AB14" s="91">
        <v>162.8182830810547</v>
      </c>
      <c r="AC14" s="91">
        <v>0.628038227558136</v>
      </c>
      <c r="AD14" s="91">
        <v>155.38194274902344</v>
      </c>
      <c r="AE14" s="94"/>
      <c r="AF14" s="94"/>
      <c r="AG14" s="94"/>
      <c r="AH14" s="94"/>
      <c r="AI14" s="94"/>
      <c r="AJ14" s="94"/>
      <c r="AK14" s="94"/>
      <c r="AL14" s="91">
        <v>0.47019675374031067</v>
      </c>
      <c r="AM14" s="95">
        <v>0.009549316018819809</v>
      </c>
      <c r="AN14" s="96">
        <v>50.5750846862793</v>
      </c>
      <c r="AO14" s="97"/>
      <c r="AP14" s="98">
        <v>-80.95341491699219</v>
      </c>
      <c r="AQ14" s="98">
        <v>0.2962239682674408</v>
      </c>
      <c r="AR14" s="99">
        <v>0.0002905578585341573</v>
      </c>
    </row>
    <row r="15" spans="2:47" ht="13.5" customHeight="1" x14ac:dyDescent="0.25">
      <c r="B15" s="14">
        <v>0.70833333333333304</v>
      </c>
      <c r="C15" s="91">
        <v>13.288483619689941</v>
      </c>
      <c r="D15" s="91">
        <v>22.645401000976562</v>
      </c>
      <c r="E15" s="91">
        <v>418.78790283203125</v>
      </c>
      <c r="F15" s="91">
        <v>0.33793750405311584</v>
      </c>
      <c r="G15" s="91">
        <v>0</v>
      </c>
      <c r="H15" s="92">
        <v>419.1732177734375</v>
      </c>
      <c r="I15" s="93">
        <v>23.01432228088379</v>
      </c>
      <c r="J15" s="91">
        <v>0.020122069865465164</v>
      </c>
      <c r="K15" s="91">
        <v>43.48234939575195</v>
      </c>
      <c r="L15" s="91">
        <v>1.3935004472732544</v>
      </c>
      <c r="M15" s="91">
        <v>108.21398162841797</v>
      </c>
      <c r="N15" s="91">
        <v>113.4765625</v>
      </c>
      <c r="O15" s="91">
        <v>20.22293472290039</v>
      </c>
      <c r="P15" s="91">
        <v>20.19189453125</v>
      </c>
      <c r="Q15" s="91"/>
      <c r="R15" s="91">
        <v>2.47998046875</v>
      </c>
      <c r="S15" s="91">
        <v>139.43142700195312</v>
      </c>
      <c r="T15" s="91">
        <v>1.613154649734497</v>
      </c>
      <c r="U15" s="91">
        <v>0.30197906494140625</v>
      </c>
      <c r="V15" s="91">
        <v>0.3003203272819519</v>
      </c>
      <c r="W15" s="91">
        <v>90.1186294555664</v>
      </c>
      <c r="X15" s="91">
        <v>0.5298473834991455</v>
      </c>
      <c r="Y15" s="91" t="s">
        <v>82</v>
      </c>
      <c r="Z15" s="91">
        <v>0.7237847447395325</v>
      </c>
      <c r="AA15" s="91">
        <v>150.0723419189453</v>
      </c>
      <c r="AB15" s="91">
        <v>162.6591339111328</v>
      </c>
      <c r="AC15" s="91">
        <v>1.0503472089767456</v>
      </c>
      <c r="AD15" s="91">
        <v>154.9840850830078</v>
      </c>
      <c r="AE15" s="94"/>
      <c r="AF15" s="94"/>
      <c r="AG15" s="94"/>
      <c r="AH15" s="94"/>
      <c r="AI15" s="94"/>
      <c r="AJ15" s="94"/>
      <c r="AK15" s="94"/>
      <c r="AL15" s="91">
        <v>0</v>
      </c>
      <c r="AM15" s="95">
        <v>0.008222656324505806</v>
      </c>
      <c r="AN15" s="96">
        <v>61.58130645751953</v>
      </c>
      <c r="AO15" s="97"/>
      <c r="AP15" s="98">
        <v>-81.0257568359375</v>
      </c>
      <c r="AQ15" s="98">
        <v>0.296440988779068</v>
      </c>
      <c r="AR15" s="99">
        <v>0.0002900009276345372</v>
      </c>
    </row>
    <row r="16" spans="2:47" ht="13.5" customHeight="1" x14ac:dyDescent="0.25">
      <c r="B16" s="14">
        <v>0.75</v>
      </c>
      <c r="C16" s="91">
        <v>14.156538963317871</v>
      </c>
      <c r="D16" s="91">
        <v>22.44466209411621</v>
      </c>
      <c r="E16" s="91">
        <v>418.78790283203125</v>
      </c>
      <c r="F16" s="91">
        <v>0.33774998784065247</v>
      </c>
      <c r="G16" s="91">
        <v>0</v>
      </c>
      <c r="H16" s="92">
        <v>419.1732177734375</v>
      </c>
      <c r="I16" s="93">
        <v>21.79904556274414</v>
      </c>
      <c r="J16" s="91">
        <v>0.02030957117676735</v>
      </c>
      <c r="K16" s="91">
        <v>43.78616714477539</v>
      </c>
      <c r="L16" s="91">
        <v>1.4130316972732544</v>
      </c>
      <c r="M16" s="91">
        <v>109.1525650024414</v>
      </c>
      <c r="N16" s="91">
        <v>113.57783508300781</v>
      </c>
      <c r="O16" s="91">
        <v>20.11939239501953</v>
      </c>
      <c r="P16" s="91">
        <v>20.166015625</v>
      </c>
      <c r="Q16" s="91"/>
      <c r="R16" s="91">
        <v>2.50177001953125</v>
      </c>
      <c r="S16" s="91">
        <v>139.49652099609375</v>
      </c>
      <c r="T16" s="91">
        <v>1.614167332649231</v>
      </c>
      <c r="U16" s="91">
        <v>0.3019428849220276</v>
      </c>
      <c r="V16" s="91">
        <v>0.2999218702316284</v>
      </c>
      <c r="W16" s="91">
        <v>90.33564758300781</v>
      </c>
      <c r="X16" s="91">
        <v>0.5305593013763428</v>
      </c>
      <c r="Y16" s="91" t="s">
        <v>82</v>
      </c>
      <c r="Z16" s="91">
        <v>0.7346065044403076</v>
      </c>
      <c r="AA16" s="91">
        <v>149.79022216796875</v>
      </c>
      <c r="AB16" s="91">
        <v>162.9918975830078</v>
      </c>
      <c r="AC16" s="91">
        <v>0.331597238779068</v>
      </c>
      <c r="AD16" s="91">
        <v>155.58448791503906</v>
      </c>
      <c r="AE16" s="94"/>
      <c r="AF16" s="94"/>
      <c r="AG16" s="94"/>
      <c r="AH16" s="94"/>
      <c r="AI16" s="94"/>
      <c r="AJ16" s="94"/>
      <c r="AK16" s="94"/>
      <c r="AL16" s="91">
        <v>96.45182037353516</v>
      </c>
      <c r="AM16" s="95">
        <v>0.01712695322930813</v>
      </c>
      <c r="AN16" s="96">
        <v>59.86328125</v>
      </c>
      <c r="AO16" s="97"/>
      <c r="AP16" s="98">
        <v>-81.04022216796875</v>
      </c>
      <c r="AQ16" s="98">
        <v>0.29021990299224854</v>
      </c>
      <c r="AR16" s="99">
        <v>0.00028910828405059874</v>
      </c>
    </row>
    <row r="17" spans="2:44" ht="13.5" customHeight="1" x14ac:dyDescent="0.25">
      <c r="B17" s="14">
        <v>0.79166666666666696</v>
      </c>
      <c r="C17" s="91">
        <v>11.765769004821777</v>
      </c>
      <c r="D17" s="91">
        <v>22.11371612548828</v>
      </c>
      <c r="E17" s="91">
        <v>418.78790283203125</v>
      </c>
      <c r="F17" s="91">
        <v>0.21901562809944153</v>
      </c>
      <c r="G17" s="91">
        <v>0</v>
      </c>
      <c r="H17" s="92">
        <v>419.1732177734375</v>
      </c>
      <c r="I17" s="93">
        <v>22.280092239379883</v>
      </c>
      <c r="J17" s="91">
        <v>0.02025488205254078</v>
      </c>
      <c r="K17" s="91">
        <v>44.4227409362793</v>
      </c>
      <c r="L17" s="91">
        <v>1.4309353828430176</v>
      </c>
      <c r="M17" s="91">
        <v>109.80360412597656</v>
      </c>
      <c r="N17" s="91">
        <v>113.88165283203125</v>
      </c>
      <c r="O17" s="91">
        <v>19.987459182739258</v>
      </c>
      <c r="P17" s="91">
        <v>20.1953125</v>
      </c>
      <c r="Q17" s="91"/>
      <c r="R17" s="91">
        <v>2.472900390625</v>
      </c>
      <c r="S17" s="91">
        <v>139.48928833007812</v>
      </c>
      <c r="T17" s="91">
        <v>1.6198639869689941</v>
      </c>
      <c r="U17" s="91">
        <v>0.3010529577732086</v>
      </c>
      <c r="V17" s="91">
        <v>0.3002968728542328</v>
      </c>
      <c r="W17" s="91">
        <v>90.35011291503906</v>
      </c>
      <c r="X17" s="91">
        <v>0.5288918018341064</v>
      </c>
      <c r="Y17" s="91" t="s">
        <v>82</v>
      </c>
      <c r="Z17" s="91">
        <v>0.7309027910232544</v>
      </c>
      <c r="AA17" s="91">
        <v>149.68894958496094</v>
      </c>
      <c r="AB17" s="91">
        <v>163.30294799804688</v>
      </c>
      <c r="AC17" s="91">
        <v>0.3586154580116272</v>
      </c>
      <c r="AD17" s="91">
        <v>156.03298950195312</v>
      </c>
      <c r="AE17" s="94"/>
      <c r="AF17" s="94"/>
      <c r="AG17" s="94"/>
      <c r="AH17" s="94"/>
      <c r="AI17" s="94"/>
      <c r="AJ17" s="94"/>
      <c r="AK17" s="94"/>
      <c r="AL17" s="91">
        <v>0</v>
      </c>
      <c r="AM17" s="95">
        <v>0.016277343034744263</v>
      </c>
      <c r="AN17" s="96">
        <v>57.93185806274414</v>
      </c>
      <c r="AO17" s="97"/>
      <c r="AP17" s="98">
        <v>-81.07638549804688</v>
      </c>
      <c r="AQ17" s="98">
        <v>0.29108795523643494</v>
      </c>
      <c r="AR17" s="99">
        <v>0.0002898864622693509</v>
      </c>
    </row>
    <row r="18" spans="2:44" ht="13.5" customHeight="1" x14ac:dyDescent="0.25">
      <c r="B18" s="42">
        <v>0.83333333333333404</v>
      </c>
      <c r="C18" s="100">
        <v>12.076822280883789</v>
      </c>
      <c r="D18" s="100">
        <v>21.78277015686035</v>
      </c>
      <c r="E18" s="100">
        <v>418.78790283203125</v>
      </c>
      <c r="F18" s="100">
        <v>0.32424217462539673</v>
      </c>
      <c r="G18" s="100">
        <v>0</v>
      </c>
      <c r="H18" s="101">
        <v>419.1732177734375</v>
      </c>
      <c r="I18" s="102">
        <v>28.8375301361084</v>
      </c>
      <c r="J18" s="100">
        <v>0.019780272617936134</v>
      </c>
      <c r="K18" s="100">
        <v>40.58159637451172</v>
      </c>
      <c r="L18" s="100">
        <v>1.2726961374282837</v>
      </c>
      <c r="M18" s="100">
        <v>110.0314712524414</v>
      </c>
      <c r="N18" s="100">
        <v>114.48928833007812</v>
      </c>
      <c r="O18" s="100">
        <v>20.065929412841797</v>
      </c>
      <c r="P18" s="100">
        <v>20.1591796875</v>
      </c>
      <c r="Q18" s="100"/>
      <c r="R18" s="100">
        <v>2.46435546875</v>
      </c>
      <c r="S18" s="100">
        <v>139.47482299804688</v>
      </c>
      <c r="T18" s="100">
        <v>1.6180917024612427</v>
      </c>
      <c r="U18" s="100">
        <v>0.3006206154823303</v>
      </c>
      <c r="V18" s="100">
        <v>0.29990625381469727</v>
      </c>
      <c r="W18" s="100">
        <v>90.5092544555664</v>
      </c>
      <c r="X18" s="100">
        <v>0.5304028987884521</v>
      </c>
      <c r="Y18" s="100">
        <v>0.5303229689598083</v>
      </c>
      <c r="Z18" s="100">
        <v>0.7341435551643372</v>
      </c>
      <c r="AA18" s="100">
        <v>149.5659637451172</v>
      </c>
      <c r="AB18" s="100">
        <v>163.3825225830078</v>
      </c>
      <c r="AC18" s="100">
        <v>0.3095703125</v>
      </c>
      <c r="AD18" s="100">
        <v>156.0836181640625</v>
      </c>
      <c r="AE18" s="103">
        <v>32.88999938964844</v>
      </c>
      <c r="AF18" s="103"/>
      <c r="AG18" s="103"/>
      <c r="AH18" s="103">
        <v>16</v>
      </c>
      <c r="AI18" s="103"/>
      <c r="AJ18" s="103"/>
      <c r="AK18" s="103">
        <v>6.900000095367432</v>
      </c>
      <c r="AL18" s="100">
        <v>49.381507873535156</v>
      </c>
      <c r="AM18" s="104">
        <v>0.011428711004555225</v>
      </c>
      <c r="AN18" s="105">
        <v>56.492332458496094</v>
      </c>
      <c r="AO18" s="97"/>
      <c r="AP18" s="98">
        <v>-81.07638549804688</v>
      </c>
      <c r="AQ18" s="98">
        <v>0.25311052799224854</v>
      </c>
      <c r="AR18" s="106">
        <v>0.0002880401734728366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91">
        <v>-80.2228012084961</v>
      </c>
      <c r="D22" s="91">
        <v>-80.52661895751953</v>
      </c>
      <c r="E22" s="91">
        <v>103.125</v>
      </c>
      <c r="F22" s="91">
        <v>0.15726272761821747</v>
      </c>
      <c r="G22" s="91"/>
      <c r="H22" s="91"/>
      <c r="I22" s="91"/>
      <c r="J22" s="91"/>
      <c r="K22" s="91"/>
      <c r="L22" s="92"/>
      <c r="M22" s="107">
        <v>79.01837158203125</v>
      </c>
      <c r="N22" s="91">
        <v>47.27647399902344</v>
      </c>
      <c r="O22" s="91">
        <v>39.5</v>
      </c>
      <c r="P22" s="91">
        <v>22</v>
      </c>
      <c r="Q22" s="91">
        <v>3.4513888359069824</v>
      </c>
      <c r="R22" s="91">
        <v>18.952545166015625</v>
      </c>
      <c r="S22" s="108">
        <v>94.29976654052734</v>
      </c>
      <c r="T22" s="108">
        <v>0</v>
      </c>
      <c r="U22" s="108">
        <v>0</v>
      </c>
      <c r="V22" s="108">
        <v>92.75716400146484</v>
      </c>
      <c r="W22" s="108">
        <v>101.31294250488281</v>
      </c>
      <c r="X22" s="108">
        <v>29</v>
      </c>
      <c r="Y22" s="108">
        <v>79.20989227294922</v>
      </c>
      <c r="Z22" s="108">
        <v>13.335503578186035</v>
      </c>
      <c r="AA22" s="108">
        <v>18.505859375</v>
      </c>
      <c r="AB22" s="108"/>
      <c r="AC22" s="95"/>
      <c r="AD22" s="95">
        <v>1.5481228828430176</v>
      </c>
      <c r="AE22" s="95"/>
      <c r="AF22" s="95">
        <v>19.96527671813965</v>
      </c>
      <c r="AG22" s="95">
        <v>53.02010726928711</v>
      </c>
      <c r="AH22" s="95"/>
      <c r="AI22" s="109">
        <v>5.809999942779541</v>
      </c>
      <c r="AJ22" s="109"/>
      <c r="AK22" s="109"/>
      <c r="AL22" s="109"/>
      <c r="AM22" s="109"/>
      <c r="AN22" s="95">
        <v>41.261573791503906</v>
      </c>
      <c r="AO22" s="96">
        <v>50</v>
      </c>
      <c r="AP22" s="97">
        <v>23.889612197875977</v>
      </c>
      <c r="AQ22" s="98">
        <v>39.558013916015625</v>
      </c>
      <c r="AR22" s="99">
        <v>0.05426025390625</v>
      </c>
    </row>
    <row r="23" spans="2:44" ht="13.5" customHeight="1" x14ac:dyDescent="0.25">
      <c r="B23" s="14">
        <v>0.375</v>
      </c>
      <c r="C23" s="91">
        <v>-80.21556854248047</v>
      </c>
      <c r="D23" s="91">
        <v>-80.49768829345703</v>
      </c>
      <c r="E23" s="91">
        <v>103.11776733398438</v>
      </c>
      <c r="F23" s="91">
        <v>0.10018807649612427</v>
      </c>
      <c r="G23" s="91">
        <v>9.220504580298439E-05</v>
      </c>
      <c r="H23" s="91">
        <v>64.06400299072266</v>
      </c>
      <c r="I23" s="91">
        <v>1878</v>
      </c>
      <c r="J23" s="91">
        <v>2338</v>
      </c>
      <c r="K23" s="91">
        <v>47.900001525878906</v>
      </c>
      <c r="L23" s="92">
        <v>9.5</v>
      </c>
      <c r="M23" s="107">
        <v>79.6187744140625</v>
      </c>
      <c r="N23" s="91">
        <v>47.08477783203125</v>
      </c>
      <c r="O23" s="91">
        <v>39.5</v>
      </c>
      <c r="P23" s="91">
        <v>22</v>
      </c>
      <c r="Q23" s="91">
        <v>3.2083332538604736</v>
      </c>
      <c r="R23" s="91">
        <v>19.86762046813965</v>
      </c>
      <c r="S23" s="108">
        <v>97.82262420654297</v>
      </c>
      <c r="T23" s="108">
        <v>41</v>
      </c>
      <c r="U23" s="108">
        <v>81.98495483398438</v>
      </c>
      <c r="V23" s="108">
        <v>17.556425094604492</v>
      </c>
      <c r="W23" s="108">
        <v>20.10091209411621</v>
      </c>
      <c r="X23" s="108">
        <v>0</v>
      </c>
      <c r="Y23" s="108">
        <v>0</v>
      </c>
      <c r="Z23" s="108">
        <v>13.0714693069458</v>
      </c>
      <c r="AA23" s="108">
        <v>92.39909362792969</v>
      </c>
      <c r="AB23" s="108"/>
      <c r="AC23" s="95"/>
      <c r="AD23" s="95">
        <v>1.5482313632965088</v>
      </c>
      <c r="AE23" s="95">
        <v>0.0013996581546962261</v>
      </c>
      <c r="AF23" s="95">
        <v>20.153356552124023</v>
      </c>
      <c r="AG23" s="95">
        <v>39.243343353271484</v>
      </c>
      <c r="AH23" s="95"/>
      <c r="AI23" s="109"/>
      <c r="AJ23" s="109"/>
      <c r="AK23" s="109"/>
      <c r="AL23" s="109"/>
      <c r="AM23" s="109"/>
      <c r="AN23" s="95">
        <v>64.76417541503906</v>
      </c>
      <c r="AO23" s="96">
        <v>50</v>
      </c>
      <c r="AP23" s="97">
        <v>23.84440040588379</v>
      </c>
      <c r="AQ23" s="98">
        <v>39.460357666015625</v>
      </c>
      <c r="AR23" s="99">
        <v>0.0434112548828125</v>
      </c>
    </row>
    <row r="24" spans="2:44" ht="13.5" customHeight="1" x14ac:dyDescent="0.25">
      <c r="B24" s="14">
        <v>0.41666666666666702</v>
      </c>
      <c r="C24" s="91">
        <v>-80.23726654052734</v>
      </c>
      <c r="D24" s="91">
        <v>-80.49044799804688</v>
      </c>
      <c r="E24" s="91">
        <v>103.125</v>
      </c>
      <c r="F24" s="91">
        <v>0.09259259700775146</v>
      </c>
      <c r="G24" s="91">
        <v>9.614563168724999E-05</v>
      </c>
      <c r="H24" s="91"/>
      <c r="I24" s="91"/>
      <c r="J24" s="91"/>
      <c r="K24" s="91"/>
      <c r="L24" s="92"/>
      <c r="M24" s="107">
        <v>79.82494354248047</v>
      </c>
      <c r="N24" s="91">
        <v>47.5007209777832</v>
      </c>
      <c r="O24" s="91">
        <v>39.5</v>
      </c>
      <c r="P24" s="91">
        <v>22</v>
      </c>
      <c r="Q24" s="91">
        <v>3.41015625</v>
      </c>
      <c r="R24" s="91">
        <v>20.384838104248047</v>
      </c>
      <c r="S24" s="108">
        <v>94.82421875</v>
      </c>
      <c r="T24" s="108">
        <v>41</v>
      </c>
      <c r="U24" s="108">
        <v>82.14192962646484</v>
      </c>
      <c r="V24" s="108">
        <v>17.225479125976562</v>
      </c>
      <c r="W24" s="108">
        <v>20.214845657348633</v>
      </c>
      <c r="X24" s="108">
        <v>0</v>
      </c>
      <c r="Y24" s="108">
        <v>0</v>
      </c>
      <c r="Z24" s="108">
        <v>16.56900978088379</v>
      </c>
      <c r="AA24" s="108">
        <v>67.76801300048828</v>
      </c>
      <c r="AB24" s="108"/>
      <c r="AC24" s="95"/>
      <c r="AD24" s="95">
        <v>1.54833984375</v>
      </c>
      <c r="AE24" s="95">
        <v>0.001541381818242371</v>
      </c>
      <c r="AF24" s="95">
        <v>20.49696159362793</v>
      </c>
      <c r="AG24" s="95">
        <v>24.681713104248047</v>
      </c>
      <c r="AH24" s="95"/>
      <c r="AI24" s="109"/>
      <c r="AJ24" s="109"/>
      <c r="AK24" s="109"/>
      <c r="AL24" s="109"/>
      <c r="AM24" s="109"/>
      <c r="AN24" s="95">
        <v>63.25954818725586</v>
      </c>
      <c r="AO24" s="96">
        <v>50</v>
      </c>
      <c r="AP24" s="97">
        <v>24.00716209411621</v>
      </c>
      <c r="AQ24" s="98">
        <v>39.54716491699219</v>
      </c>
      <c r="AR24" s="99">
        <v>0.05426025390625</v>
      </c>
    </row>
    <row r="25" spans="2:44" ht="13.5" customHeight="1" x14ac:dyDescent="0.25">
      <c r="B25" s="14">
        <v>0.45833333333333298</v>
      </c>
      <c r="C25" s="91">
        <v>-80.35301208496094</v>
      </c>
      <c r="D25" s="91">
        <v>-80.53385925292969</v>
      </c>
      <c r="E25" s="91">
        <v>103.13223266601562</v>
      </c>
      <c r="F25" s="91">
        <v>0.10279224812984467</v>
      </c>
      <c r="G25" s="91">
        <v>9.751129255164415E-05</v>
      </c>
      <c r="H25" s="91"/>
      <c r="I25" s="91"/>
      <c r="J25" s="91"/>
      <c r="K25" s="91"/>
      <c r="L25" s="92"/>
      <c r="M25" s="107">
        <v>79.98408508300781</v>
      </c>
      <c r="N25" s="91">
        <v>47.18605422973633</v>
      </c>
      <c r="O25" s="91">
        <v>39.5</v>
      </c>
      <c r="P25" s="91">
        <v>22</v>
      </c>
      <c r="Q25" s="91">
        <v>3.38671875</v>
      </c>
      <c r="R25" s="91">
        <v>20.638019561767578</v>
      </c>
      <c r="S25" s="108">
        <v>95.78993225097656</v>
      </c>
      <c r="T25" s="108">
        <v>41</v>
      </c>
      <c r="U25" s="108">
        <v>83.02770233154297</v>
      </c>
      <c r="V25" s="108">
        <v>17.29600715637207</v>
      </c>
      <c r="W25" s="108">
        <v>20.448135375976562</v>
      </c>
      <c r="X25" s="108">
        <v>0</v>
      </c>
      <c r="Y25" s="108">
        <v>0</v>
      </c>
      <c r="Z25" s="108">
        <v>18.552879333496094</v>
      </c>
      <c r="AA25" s="108">
        <v>62.776695251464844</v>
      </c>
      <c r="AB25" s="108"/>
      <c r="AC25" s="95"/>
      <c r="AD25" s="95">
        <v>1.5482856035232544</v>
      </c>
      <c r="AE25" s="95">
        <v>0.0015285949921235442</v>
      </c>
      <c r="AF25" s="95">
        <v>20.5765323638916</v>
      </c>
      <c r="AG25" s="95">
        <v>21.379484176635742</v>
      </c>
      <c r="AH25" s="95"/>
      <c r="AI25" s="109"/>
      <c r="AJ25" s="109"/>
      <c r="AK25" s="109"/>
      <c r="AL25" s="109"/>
      <c r="AM25" s="109"/>
      <c r="AN25" s="95">
        <v>60.19965362548828</v>
      </c>
      <c r="AO25" s="96">
        <v>50</v>
      </c>
      <c r="AP25" s="97">
        <v>24.33268165588379</v>
      </c>
      <c r="AQ25" s="98">
        <v>39.56886672973633</v>
      </c>
      <c r="AR25" s="99">
        <v>0.0868072509765625</v>
      </c>
    </row>
    <row r="26" spans="2:44" ht="13.5" customHeight="1" x14ac:dyDescent="0.25">
      <c r="B26" s="14">
        <v>0.5</v>
      </c>
      <c r="C26" s="91">
        <v>-80.54832458496094</v>
      </c>
      <c r="D26" s="91">
        <v>-80.54832458496094</v>
      </c>
      <c r="E26" s="91">
        <v>103.13223266601562</v>
      </c>
      <c r="F26" s="91">
        <v>0.0989583358168602</v>
      </c>
      <c r="G26" s="91">
        <v>9.257697820430622E-05</v>
      </c>
      <c r="H26" s="91"/>
      <c r="I26" s="91"/>
      <c r="J26" s="91"/>
      <c r="K26" s="91"/>
      <c r="L26" s="92"/>
      <c r="M26" s="107">
        <v>80.20832824707031</v>
      </c>
      <c r="N26" s="91">
        <v>47.58029556274414</v>
      </c>
      <c r="O26" s="91">
        <v>39.5</v>
      </c>
      <c r="P26" s="91">
        <v>22</v>
      </c>
      <c r="Q26" s="91">
        <v>3.3493924140930176</v>
      </c>
      <c r="R26" s="91">
        <v>20.793546676635742</v>
      </c>
      <c r="S26" s="108">
        <v>96.3396987915039</v>
      </c>
      <c r="T26" s="108">
        <v>41</v>
      </c>
      <c r="U26" s="108">
        <v>83.19589233398438</v>
      </c>
      <c r="V26" s="108">
        <v>17.263456344604492</v>
      </c>
      <c r="W26" s="108">
        <v>20.61089515686035</v>
      </c>
      <c r="X26" s="108">
        <v>0</v>
      </c>
      <c r="Y26" s="108">
        <v>0</v>
      </c>
      <c r="Z26" s="108">
        <v>19.849536895751953</v>
      </c>
      <c r="AA26" s="108">
        <v>60.351566314697266</v>
      </c>
      <c r="AB26" s="108"/>
      <c r="AC26" s="95"/>
      <c r="AD26" s="95">
        <v>1.54833984375</v>
      </c>
      <c r="AE26" s="95">
        <v>0.0015416259411722422</v>
      </c>
      <c r="AF26" s="95">
        <v>20.57291603088379</v>
      </c>
      <c r="AG26" s="95">
        <v>22.21137046813965</v>
      </c>
      <c r="AH26" s="95"/>
      <c r="AI26" s="109"/>
      <c r="AJ26" s="109"/>
      <c r="AK26" s="109"/>
      <c r="AL26" s="109"/>
      <c r="AM26" s="109"/>
      <c r="AN26" s="95">
        <v>58.30439758300781</v>
      </c>
      <c r="AO26" s="96">
        <v>50</v>
      </c>
      <c r="AP26" s="97">
        <v>24.567781448364258</v>
      </c>
      <c r="AQ26" s="98">
        <v>39.514610290527344</v>
      </c>
      <c r="AR26" s="99">
        <v>0.0868072509765625</v>
      </c>
    </row>
    <row r="27" spans="2:44" ht="13.5" customHeight="1" x14ac:dyDescent="0.25">
      <c r="B27" s="14">
        <v>0.54166666666666596</v>
      </c>
      <c r="C27" s="91">
        <v>-80.46875</v>
      </c>
      <c r="D27" s="91">
        <v>-80.49044799804688</v>
      </c>
      <c r="E27" s="91">
        <v>103.125</v>
      </c>
      <c r="F27" s="91">
        <v>0.09888599812984467</v>
      </c>
      <c r="G27" s="91">
        <v>9.343528654426336E-05</v>
      </c>
      <c r="H27" s="91"/>
      <c r="I27" s="91"/>
      <c r="J27" s="91"/>
      <c r="K27" s="91"/>
      <c r="L27" s="92"/>
      <c r="M27" s="107">
        <v>79.98770141601562</v>
      </c>
      <c r="N27" s="91">
        <v>47.507957458496094</v>
      </c>
      <c r="O27" s="91">
        <v>39.5</v>
      </c>
      <c r="P27" s="91">
        <v>22</v>
      </c>
      <c r="Q27" s="91">
        <v>3.2682292461395264</v>
      </c>
      <c r="R27" s="91">
        <v>20.96354103088379</v>
      </c>
      <c r="S27" s="108">
        <v>94.2201919555664</v>
      </c>
      <c r="T27" s="108">
        <v>41</v>
      </c>
      <c r="U27" s="108">
        <v>82.91558074951172</v>
      </c>
      <c r="V27" s="108">
        <v>16.96506118774414</v>
      </c>
      <c r="W27" s="108">
        <v>20.849611282348633</v>
      </c>
      <c r="X27" s="108">
        <v>0</v>
      </c>
      <c r="Y27" s="108">
        <v>0</v>
      </c>
      <c r="Z27" s="108">
        <v>21.073856353759766</v>
      </c>
      <c r="AA27" s="108">
        <v>58.5557746887207</v>
      </c>
      <c r="AB27" s="108"/>
      <c r="AC27" s="95"/>
      <c r="AD27" s="95">
        <v>1.54833984375</v>
      </c>
      <c r="AE27" s="95">
        <v>0.001486236578784883</v>
      </c>
      <c r="AF27" s="95">
        <v>20.511428833007812</v>
      </c>
      <c r="AG27" s="95">
        <v>18.57638931274414</v>
      </c>
      <c r="AH27" s="95"/>
      <c r="AI27" s="109"/>
      <c r="AJ27" s="109"/>
      <c r="AK27" s="109"/>
      <c r="AL27" s="109"/>
      <c r="AM27" s="109"/>
      <c r="AN27" s="95">
        <v>56.864871978759766</v>
      </c>
      <c r="AO27" s="96">
        <v>50</v>
      </c>
      <c r="AP27" s="97">
        <v>24.52256965637207</v>
      </c>
      <c r="AQ27" s="98">
        <v>42.20558547973633</v>
      </c>
      <c r="AR27" s="99">
        <v>0.0651092529296875</v>
      </c>
    </row>
    <row r="28" spans="2:44" ht="13.5" customHeight="1" x14ac:dyDescent="0.25">
      <c r="B28" s="14">
        <v>0.58333333333333304</v>
      </c>
      <c r="C28" s="91">
        <v>-80.70023345947266</v>
      </c>
      <c r="D28" s="91">
        <v>-80.50492095947266</v>
      </c>
      <c r="E28" s="91">
        <v>103.12138366699219</v>
      </c>
      <c r="F28" s="91">
        <v>0.08412905037403107</v>
      </c>
      <c r="G28" s="91">
        <v>8.526993042323738E-05</v>
      </c>
      <c r="H28" s="91"/>
      <c r="I28" s="91"/>
      <c r="J28" s="91"/>
      <c r="K28" s="91"/>
      <c r="L28" s="92"/>
      <c r="M28" s="107">
        <v>79.58622741699219</v>
      </c>
      <c r="N28" s="91">
        <v>47.685184478759766</v>
      </c>
      <c r="O28" s="91">
        <v>39.5</v>
      </c>
      <c r="P28" s="91">
        <v>22</v>
      </c>
      <c r="Q28" s="91">
        <v>3.2760417461395264</v>
      </c>
      <c r="R28" s="91">
        <v>21.542245864868164</v>
      </c>
      <c r="S28" s="108">
        <v>97.33072662353516</v>
      </c>
      <c r="T28" s="108">
        <v>0</v>
      </c>
      <c r="U28" s="108">
        <v>34.22019577026367</v>
      </c>
      <c r="V28" s="108">
        <v>12.250434875488281</v>
      </c>
      <c r="W28" s="108">
        <v>93.25086975097656</v>
      </c>
      <c r="X28" s="108">
        <v>28.5</v>
      </c>
      <c r="Y28" s="108">
        <v>81.20569610595703</v>
      </c>
      <c r="Z28" s="108">
        <v>19.296152114868164</v>
      </c>
      <c r="AA28" s="108">
        <v>21.83702278137207</v>
      </c>
      <c r="AB28" s="108"/>
      <c r="AC28" s="95"/>
      <c r="AD28" s="95">
        <v>1.5482856035232544</v>
      </c>
      <c r="AE28" s="95">
        <v>0.0010750427609309554</v>
      </c>
      <c r="AF28" s="95">
        <v>20.47525978088379</v>
      </c>
      <c r="AG28" s="95">
        <v>35.499855041503906</v>
      </c>
      <c r="AH28" s="95"/>
      <c r="AI28" s="109"/>
      <c r="AJ28" s="109"/>
      <c r="AK28" s="109"/>
      <c r="AL28" s="109"/>
      <c r="AM28" s="109"/>
      <c r="AN28" s="95">
        <v>55.93894577026367</v>
      </c>
      <c r="AO28" s="96">
        <v>50</v>
      </c>
      <c r="AP28" s="97">
        <v>24.839048385620117</v>
      </c>
      <c r="AQ28" s="98">
        <v>40.784141540527344</v>
      </c>
      <c r="AR28" s="99">
        <v>0.05426025390625</v>
      </c>
    </row>
    <row r="29" spans="2:44" ht="13.5" customHeight="1" x14ac:dyDescent="0.25">
      <c r="B29" s="14">
        <v>0.625</v>
      </c>
      <c r="C29" s="91">
        <v>-80.80150604248047</v>
      </c>
      <c r="D29" s="91">
        <v>-80.43257904052734</v>
      </c>
      <c r="E29" s="91">
        <v>103.12138366699219</v>
      </c>
      <c r="F29" s="91">
        <v>0.0818142369389534</v>
      </c>
      <c r="G29" s="91">
        <v>9.115409920923412E-05</v>
      </c>
      <c r="H29" s="91"/>
      <c r="I29" s="91"/>
      <c r="J29" s="91"/>
      <c r="K29" s="91"/>
      <c r="L29" s="92"/>
      <c r="M29" s="107">
        <v>79.68388366699219</v>
      </c>
      <c r="N29" s="91">
        <v>47.82624435424805</v>
      </c>
      <c r="O29" s="91">
        <v>39.5</v>
      </c>
      <c r="P29" s="91">
        <v>22</v>
      </c>
      <c r="Q29" s="91">
        <v>3.303819417953491</v>
      </c>
      <c r="R29" s="91">
        <v>22.182435989379883</v>
      </c>
      <c r="S29" s="108">
        <v>97.9998550415039</v>
      </c>
      <c r="T29" s="108">
        <v>0</v>
      </c>
      <c r="U29" s="108">
        <v>0</v>
      </c>
      <c r="V29" s="108">
        <v>12.798395156860352</v>
      </c>
      <c r="W29" s="108">
        <v>83.2248306274414</v>
      </c>
      <c r="X29" s="108">
        <v>28.5</v>
      </c>
      <c r="Y29" s="108">
        <v>81.48040008544922</v>
      </c>
      <c r="Z29" s="108">
        <v>19.348596572875977</v>
      </c>
      <c r="AA29" s="108">
        <v>21.90755271911621</v>
      </c>
      <c r="AB29" s="108"/>
      <c r="AC29" s="95"/>
      <c r="AD29" s="95">
        <v>1.54833984375</v>
      </c>
      <c r="AE29" s="95">
        <v>0.001528045628219843</v>
      </c>
      <c r="AF29" s="95">
        <v>20.8984375</v>
      </c>
      <c r="AG29" s="95">
        <v>54.8249397277832</v>
      </c>
      <c r="AH29" s="95"/>
      <c r="AI29" s="109"/>
      <c r="AJ29" s="109"/>
      <c r="AK29" s="109"/>
      <c r="AL29" s="109"/>
      <c r="AM29" s="109"/>
      <c r="AN29" s="95">
        <v>58.362266540527344</v>
      </c>
      <c r="AO29" s="96">
        <v>50</v>
      </c>
      <c r="AP29" s="97">
        <v>25.47200584411621</v>
      </c>
      <c r="AQ29" s="98">
        <v>41.203704833984375</v>
      </c>
      <c r="AR29" s="99">
        <v>0.0434112548828125</v>
      </c>
    </row>
    <row r="30" spans="2:44" ht="13.5" customHeight="1" x14ac:dyDescent="0.25">
      <c r="B30" s="14">
        <v>0.66666666666666596</v>
      </c>
      <c r="C30" s="91">
        <v>-80.95341491699219</v>
      </c>
      <c r="D30" s="91">
        <v>-80.51215362548828</v>
      </c>
      <c r="E30" s="91">
        <v>103.125</v>
      </c>
      <c r="F30" s="91">
        <v>0.07906539738178253</v>
      </c>
      <c r="G30" s="91">
        <v>9.157180465990677E-05</v>
      </c>
      <c r="H30" s="91"/>
      <c r="I30" s="91"/>
      <c r="J30" s="91"/>
      <c r="K30" s="91"/>
      <c r="L30" s="92"/>
      <c r="M30" s="107">
        <v>79.93706512451172</v>
      </c>
      <c r="N30" s="91">
        <v>47.800926208496094</v>
      </c>
      <c r="O30" s="91">
        <v>39.5</v>
      </c>
      <c r="P30" s="91">
        <v>22</v>
      </c>
      <c r="Q30" s="91">
        <v>3.430121660232544</v>
      </c>
      <c r="R30" s="91">
        <v>21.8460636138916</v>
      </c>
      <c r="S30" s="108">
        <v>94.00679779052734</v>
      </c>
      <c r="T30" s="108">
        <v>0</v>
      </c>
      <c r="U30" s="108">
        <v>0</v>
      </c>
      <c r="V30" s="108">
        <v>14.301216125488281</v>
      </c>
      <c r="W30" s="108">
        <v>75.49371337890625</v>
      </c>
      <c r="X30" s="108">
        <v>29</v>
      </c>
      <c r="Y30" s="108">
        <v>82.15313720703125</v>
      </c>
      <c r="Z30" s="108">
        <v>19.028501510620117</v>
      </c>
      <c r="AA30" s="108">
        <v>21.500652313232422</v>
      </c>
      <c r="AB30" s="108"/>
      <c r="AC30" s="95"/>
      <c r="AD30" s="95">
        <v>1.5484483242034912</v>
      </c>
      <c r="AE30" s="95">
        <v>0.0014717101585119963</v>
      </c>
      <c r="AF30" s="95">
        <v>20.522279739379883</v>
      </c>
      <c r="AG30" s="95">
        <v>19.773582458496094</v>
      </c>
      <c r="AH30" s="95"/>
      <c r="AI30" s="109"/>
      <c r="AJ30" s="109"/>
      <c r="AK30" s="109"/>
      <c r="AL30" s="109"/>
      <c r="AM30" s="109"/>
      <c r="AN30" s="95">
        <v>61.6608772277832</v>
      </c>
      <c r="AO30" s="96">
        <v>50</v>
      </c>
      <c r="AP30" s="97">
        <v>26.132089614868164</v>
      </c>
      <c r="AQ30" s="98">
        <v>40.01374435424805</v>
      </c>
      <c r="AR30" s="99">
        <v>0.05426025390625</v>
      </c>
    </row>
    <row r="31" spans="2:44" ht="13.5" customHeight="1" x14ac:dyDescent="0.25">
      <c r="B31" s="14">
        <v>0.70833333333333304</v>
      </c>
      <c r="C31" s="91">
        <v>-81.0257568359375</v>
      </c>
      <c r="D31" s="91">
        <v>-80.49044799804688</v>
      </c>
      <c r="E31" s="91">
        <v>103.12138366699219</v>
      </c>
      <c r="F31" s="91">
        <v>0.09946469962596893</v>
      </c>
      <c r="G31" s="91">
        <v>9.193420555675402E-05</v>
      </c>
      <c r="H31" s="91"/>
      <c r="I31" s="91"/>
      <c r="J31" s="91"/>
      <c r="K31" s="91"/>
      <c r="L31" s="92"/>
      <c r="M31" s="107">
        <v>80.09982299804688</v>
      </c>
      <c r="N31" s="91">
        <v>47.77922439575195</v>
      </c>
      <c r="O31" s="91">
        <v>39.5</v>
      </c>
      <c r="P31" s="91">
        <v>22</v>
      </c>
      <c r="Q31" s="91">
        <v>3.3888888359069824</v>
      </c>
      <c r="R31" s="91">
        <v>21.49522590637207</v>
      </c>
      <c r="S31" s="108">
        <v>93.84403991699219</v>
      </c>
      <c r="T31" s="108">
        <v>0</v>
      </c>
      <c r="U31" s="108">
        <v>0</v>
      </c>
      <c r="V31" s="108">
        <v>14.632162094116211</v>
      </c>
      <c r="W31" s="108">
        <v>71.5549087524414</v>
      </c>
      <c r="X31" s="108">
        <v>29</v>
      </c>
      <c r="Y31" s="108">
        <v>82.47269439697266</v>
      </c>
      <c r="Z31" s="108">
        <v>18.627025604248047</v>
      </c>
      <c r="AA31" s="108">
        <v>21.120878219604492</v>
      </c>
      <c r="AB31" s="108"/>
      <c r="AC31" s="95"/>
      <c r="AD31" s="95">
        <v>1.5483940839767456</v>
      </c>
      <c r="AE31" s="95">
        <v>0.0015402832068502903</v>
      </c>
      <c r="AF31" s="95">
        <v>20.82248306274414</v>
      </c>
      <c r="AG31" s="95">
        <v>32.29890060424805</v>
      </c>
      <c r="AH31" s="95"/>
      <c r="AI31" s="109"/>
      <c r="AJ31" s="109"/>
      <c r="AK31" s="109"/>
      <c r="AL31" s="109"/>
      <c r="AM31" s="109"/>
      <c r="AN31" s="95">
        <v>60.78559112548828</v>
      </c>
      <c r="AO31" s="96">
        <v>50</v>
      </c>
      <c r="AP31" s="97">
        <v>26.566116333007812</v>
      </c>
      <c r="AQ31" s="98">
        <v>40.11501693725586</v>
      </c>
      <c r="AR31" s="99">
        <v>0.05426025390625</v>
      </c>
    </row>
    <row r="32" spans="2:44" ht="13.5" customHeight="1" x14ac:dyDescent="0.25">
      <c r="B32" s="14">
        <v>0.75</v>
      </c>
      <c r="C32" s="91">
        <v>-81.04022216796875</v>
      </c>
      <c r="D32" s="91">
        <v>-80.46875</v>
      </c>
      <c r="E32" s="91">
        <v>103.125</v>
      </c>
      <c r="F32" s="91">
        <v>0.09693287312984467</v>
      </c>
      <c r="G32" s="91">
        <v>9.043121099239215E-05</v>
      </c>
      <c r="H32" s="91"/>
      <c r="I32" s="91"/>
      <c r="J32" s="91"/>
      <c r="K32" s="91"/>
      <c r="L32" s="92"/>
      <c r="M32" s="107">
        <v>80.02387237548828</v>
      </c>
      <c r="N32" s="91">
        <v>47.7936897277832</v>
      </c>
      <c r="O32" s="91">
        <v>39.5</v>
      </c>
      <c r="P32" s="91">
        <v>22</v>
      </c>
      <c r="Q32" s="91">
        <v>3.33984375</v>
      </c>
      <c r="R32" s="91">
        <v>21.079282760620117</v>
      </c>
      <c r="S32" s="108">
        <v>91.79325866699219</v>
      </c>
      <c r="T32" s="108">
        <v>0</v>
      </c>
      <c r="U32" s="108">
        <v>0</v>
      </c>
      <c r="V32" s="108">
        <v>14.105903625488281</v>
      </c>
      <c r="W32" s="108">
        <v>68.15863800048828</v>
      </c>
      <c r="X32" s="108">
        <v>29</v>
      </c>
      <c r="Y32" s="108">
        <v>82.47830200195312</v>
      </c>
      <c r="Z32" s="108">
        <v>18.15321159362793</v>
      </c>
      <c r="AA32" s="108">
        <v>20.507814407348633</v>
      </c>
      <c r="AB32" s="108"/>
      <c r="AC32" s="95"/>
      <c r="AD32" s="95">
        <v>0</v>
      </c>
      <c r="AE32" s="95">
        <v>0.0009727173019200563</v>
      </c>
      <c r="AF32" s="95">
        <v>20.880352020263672</v>
      </c>
      <c r="AG32" s="95">
        <v>50.452110290527344</v>
      </c>
      <c r="AH32" s="95"/>
      <c r="AI32" s="109"/>
      <c r="AJ32" s="109"/>
      <c r="AK32" s="109"/>
      <c r="AL32" s="109"/>
      <c r="AM32" s="109"/>
      <c r="AN32" s="95">
        <v>59.049476623535156</v>
      </c>
      <c r="AO32" s="96">
        <v>50</v>
      </c>
      <c r="AP32" s="97">
        <v>26.34006118774414</v>
      </c>
      <c r="AQ32" s="98">
        <v>40.870948791503906</v>
      </c>
      <c r="AR32" s="99">
        <v>0.05426025390625</v>
      </c>
    </row>
    <row r="33" spans="2:44" ht="13.5" customHeight="1" x14ac:dyDescent="0.25">
      <c r="B33" s="14">
        <v>0.79166666666666696</v>
      </c>
      <c r="C33" s="91">
        <v>-81.07638549804688</v>
      </c>
      <c r="D33" s="91">
        <v>-80.52661895751953</v>
      </c>
      <c r="E33" s="91">
        <v>103.125</v>
      </c>
      <c r="F33" s="91">
        <v>0.10344328731298447</v>
      </c>
      <c r="G33" s="91">
        <v>9.506034984951839E-05</v>
      </c>
      <c r="H33" s="91"/>
      <c r="I33" s="91"/>
      <c r="J33" s="91"/>
      <c r="K33" s="91"/>
      <c r="L33" s="92"/>
      <c r="M33" s="107">
        <v>79.8357925415039</v>
      </c>
      <c r="N33" s="91">
        <v>47.68156814575195</v>
      </c>
      <c r="O33" s="91">
        <v>39.5</v>
      </c>
      <c r="P33" s="91">
        <v>22</v>
      </c>
      <c r="Q33" s="91">
        <v>3.2795138359069824</v>
      </c>
      <c r="R33" s="91">
        <v>20.619935989379883</v>
      </c>
      <c r="S33" s="108">
        <v>91.32305908203125</v>
      </c>
      <c r="T33" s="108">
        <v>0</v>
      </c>
      <c r="U33" s="108">
        <v>0</v>
      </c>
      <c r="V33" s="108">
        <v>14.463976860046387</v>
      </c>
      <c r="W33" s="108">
        <v>65.185546875</v>
      </c>
      <c r="X33" s="108">
        <v>30</v>
      </c>
      <c r="Y33" s="108">
        <v>84.42364501953125</v>
      </c>
      <c r="Z33" s="108">
        <v>16.950592041015625</v>
      </c>
      <c r="AA33" s="108">
        <v>19.900175094604492</v>
      </c>
      <c r="AB33" s="108"/>
      <c r="AC33" s="95"/>
      <c r="AD33" s="95">
        <v>1.54833984375</v>
      </c>
      <c r="AE33" s="95">
        <v>0.0011776733445003629</v>
      </c>
      <c r="AF33" s="95">
        <v>20.77907943725586</v>
      </c>
      <c r="AG33" s="95">
        <v>20.858652114868164</v>
      </c>
      <c r="AH33" s="95"/>
      <c r="AI33" s="109"/>
      <c r="AJ33" s="109"/>
      <c r="AK33" s="109"/>
      <c r="AL33" s="109"/>
      <c r="AM33" s="109"/>
      <c r="AN33" s="95">
        <v>57.24102783203125</v>
      </c>
      <c r="AO33" s="96">
        <v>50</v>
      </c>
      <c r="AP33" s="97">
        <v>26.620370864868164</v>
      </c>
      <c r="AQ33" s="98">
        <v>40.827545166015625</v>
      </c>
      <c r="AR33" s="99">
        <v>0.0434112548828125</v>
      </c>
    </row>
    <row r="34" spans="2:44" ht="13.5" customHeight="1" x14ac:dyDescent="0.25">
      <c r="B34" s="15">
        <v>0.83333333333333304</v>
      </c>
      <c r="C34" s="100">
        <v>-81.07638549804688</v>
      </c>
      <c r="D34" s="100">
        <v>-80.48321533203125</v>
      </c>
      <c r="E34" s="100">
        <v>103.125</v>
      </c>
      <c r="F34" s="100">
        <v>0.09910301119089127</v>
      </c>
      <c r="G34" s="100">
        <v>9.401512215845287E-05</v>
      </c>
      <c r="H34" s="100"/>
      <c r="I34" s="100"/>
      <c r="J34" s="100"/>
      <c r="K34" s="100"/>
      <c r="L34" s="101"/>
      <c r="M34" s="110">
        <v>77.90436553955078</v>
      </c>
      <c r="N34" s="100">
        <v>47.72858810424805</v>
      </c>
      <c r="O34" s="100">
        <v>39.5</v>
      </c>
      <c r="P34" s="100">
        <v>22</v>
      </c>
      <c r="Q34" s="100">
        <v>3.573784828186035</v>
      </c>
      <c r="R34" s="100">
        <v>19.9905948638916</v>
      </c>
      <c r="S34" s="111">
        <v>90.59244537353516</v>
      </c>
      <c r="T34" s="111">
        <v>0</v>
      </c>
      <c r="U34" s="111">
        <v>0</v>
      </c>
      <c r="V34" s="111">
        <v>16.943359375</v>
      </c>
      <c r="W34" s="111">
        <v>62.61393356323242</v>
      </c>
      <c r="X34" s="111">
        <v>25</v>
      </c>
      <c r="Y34" s="111">
        <v>70.27922821044922</v>
      </c>
      <c r="Z34" s="111">
        <v>16.418909072875977</v>
      </c>
      <c r="AA34" s="111">
        <v>19.569229125976562</v>
      </c>
      <c r="AB34" s="111"/>
      <c r="AC34" s="104"/>
      <c r="AD34" s="104">
        <v>1.5482856035232544</v>
      </c>
      <c r="AE34" s="104">
        <v>0.0009596862946636975</v>
      </c>
      <c r="AF34" s="104">
        <v>20.721208572387695</v>
      </c>
      <c r="AG34" s="104">
        <v>21.339698791503906</v>
      </c>
      <c r="AH34" s="104"/>
      <c r="AI34" s="112"/>
      <c r="AJ34" s="112"/>
      <c r="AK34" s="112"/>
      <c r="AL34" s="112"/>
      <c r="AM34" s="112"/>
      <c r="AN34" s="104">
        <v>55.64236068725586</v>
      </c>
      <c r="AO34" s="105">
        <v>50</v>
      </c>
      <c r="AP34" s="113">
        <v>27.01822853088379</v>
      </c>
      <c r="AQ34" s="114">
        <v>40.16203689575195</v>
      </c>
      <c r="AR34" s="115">
        <v>0.05426025390625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91">
        <v>0</v>
      </c>
      <c r="D39" s="91"/>
      <c r="E39" s="91">
        <v>54.33304214477539</v>
      </c>
      <c r="F39" s="91"/>
      <c r="G39" s="91"/>
      <c r="H39" s="91">
        <v>0</v>
      </c>
      <c r="I39" s="91"/>
      <c r="J39" s="91">
        <v>21.56575584411621</v>
      </c>
      <c r="K39" s="91">
        <v>40</v>
      </c>
      <c r="L39" s="91">
        <v>35.38230514526367</v>
      </c>
      <c r="M39" s="91">
        <v>0</v>
      </c>
      <c r="N39" s="91"/>
      <c r="O39" s="91">
        <v>22.27104949951172</v>
      </c>
      <c r="P39" s="91">
        <v>0.05000000074505806</v>
      </c>
      <c r="Q39" s="91">
        <v>0.17527487874031067</v>
      </c>
      <c r="R39" s="91"/>
      <c r="S39" s="91">
        <v>0</v>
      </c>
      <c r="T39" s="91"/>
      <c r="U39" s="108">
        <v>0</v>
      </c>
      <c r="V39" s="116"/>
      <c r="W39" s="117">
        <v>96.40480041503906</v>
      </c>
      <c r="X39" s="108">
        <v>16.453269958496094</v>
      </c>
      <c r="Y39" s="108">
        <v>50</v>
      </c>
      <c r="Z39" s="108">
        <v>121.71441650390625</v>
      </c>
      <c r="AA39" s="108">
        <v>92.75716400146484</v>
      </c>
      <c r="AB39" s="108">
        <v>101.31294250488281</v>
      </c>
      <c r="AC39" s="108">
        <v>30</v>
      </c>
      <c r="AD39" s="108">
        <v>52.031253814697266</v>
      </c>
      <c r="AE39" s="95">
        <v>13.335503578186035</v>
      </c>
      <c r="AF39" s="95">
        <v>18.505859375</v>
      </c>
      <c r="AG39" s="95"/>
      <c r="AH39" s="95">
        <v>0</v>
      </c>
      <c r="AI39" s="95">
        <v>0</v>
      </c>
      <c r="AJ39" s="95"/>
      <c r="AK39" s="95">
        <v>60.065826416015625</v>
      </c>
      <c r="AL39" s="96">
        <v>47.69676208496094</v>
      </c>
      <c r="AM39" s="118"/>
      <c r="AN39" s="109"/>
      <c r="AO39" s="95"/>
      <c r="AP39" s="95"/>
      <c r="AQ39" s="95"/>
      <c r="AR39" s="99"/>
    </row>
    <row r="40" spans="2:44" ht="13.5" customHeight="1" x14ac:dyDescent="0.25">
      <c r="B40" s="14">
        <v>0.375</v>
      </c>
      <c r="C40" s="91">
        <v>0</v>
      </c>
      <c r="D40" s="91">
        <v>8.893012903854469E-08</v>
      </c>
      <c r="E40" s="91">
        <v>50.3327522277832</v>
      </c>
      <c r="F40" s="91"/>
      <c r="G40" s="91"/>
      <c r="H40" s="91">
        <v>0</v>
      </c>
      <c r="I40" s="91">
        <v>0</v>
      </c>
      <c r="J40" s="91">
        <v>21.583839416503906</v>
      </c>
      <c r="K40" s="91">
        <v>40</v>
      </c>
      <c r="L40" s="91">
        <v>37.24501037597656</v>
      </c>
      <c r="M40" s="91">
        <v>0</v>
      </c>
      <c r="N40" s="91">
        <v>0</v>
      </c>
      <c r="O40" s="91">
        <v>23.970993041992188</v>
      </c>
      <c r="P40" s="91">
        <v>0.05000000074505806</v>
      </c>
      <c r="Q40" s="91">
        <v>0.21166087687015533</v>
      </c>
      <c r="R40" s="91">
        <v>0.00020446014241315424</v>
      </c>
      <c r="S40" s="91">
        <v>0</v>
      </c>
      <c r="T40" s="91">
        <v>0</v>
      </c>
      <c r="U40" s="108">
        <v>0</v>
      </c>
      <c r="V40" s="116">
        <v>0</v>
      </c>
      <c r="W40" s="117">
        <v>92.98683166503906</v>
      </c>
      <c r="X40" s="108">
        <v>19.202112197875977</v>
      </c>
      <c r="Y40" s="108">
        <v>30</v>
      </c>
      <c r="Z40" s="108">
        <v>70.1171875</v>
      </c>
      <c r="AA40" s="108">
        <v>17.556425094604492</v>
      </c>
      <c r="AB40" s="108">
        <v>20.10091209411621</v>
      </c>
      <c r="AC40" s="108">
        <v>30</v>
      </c>
      <c r="AD40" s="108">
        <v>86.14149475097656</v>
      </c>
      <c r="AE40" s="95">
        <v>13.0714693069458</v>
      </c>
      <c r="AF40" s="95">
        <v>92.39909362792969</v>
      </c>
      <c r="AG40" s="95"/>
      <c r="AH40" s="95">
        <v>0</v>
      </c>
      <c r="AI40" s="95">
        <v>0</v>
      </c>
      <c r="AJ40" s="95">
        <v>0.00010318338900106028</v>
      </c>
      <c r="AK40" s="95">
        <v>60.13093185424805</v>
      </c>
      <c r="AL40" s="96">
        <v>47.048614501953125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14">
        <v>0.41666666666666702</v>
      </c>
      <c r="C41" s="91">
        <v>0</v>
      </c>
      <c r="D41" s="91">
        <v>0</v>
      </c>
      <c r="E41" s="91">
        <v>80.85214233398438</v>
      </c>
      <c r="F41" s="91"/>
      <c r="G41" s="91"/>
      <c r="H41" s="91">
        <v>0</v>
      </c>
      <c r="I41" s="91">
        <v>0</v>
      </c>
      <c r="J41" s="91">
        <v>21.86414909362793</v>
      </c>
      <c r="K41" s="91">
        <v>40</v>
      </c>
      <c r="L41" s="91">
        <v>38.60134506225586</v>
      </c>
      <c r="M41" s="91">
        <v>0</v>
      </c>
      <c r="N41" s="91">
        <v>0</v>
      </c>
      <c r="O41" s="91">
        <v>24.703414916992188</v>
      </c>
      <c r="P41" s="91">
        <v>0.05000000074505806</v>
      </c>
      <c r="Q41" s="91">
        <v>0.2230902761220932</v>
      </c>
      <c r="R41" s="91">
        <v>0.0002096176176564768</v>
      </c>
      <c r="S41" s="91">
        <v>0</v>
      </c>
      <c r="T41" s="91">
        <v>0</v>
      </c>
      <c r="U41" s="108">
        <v>0</v>
      </c>
      <c r="V41" s="116">
        <v>0</v>
      </c>
      <c r="W41" s="117">
        <v>95.30888366699219</v>
      </c>
      <c r="X41" s="108">
        <v>18.485965728759766</v>
      </c>
      <c r="Y41" s="108">
        <v>33</v>
      </c>
      <c r="Z41" s="108">
        <v>76.9357681274414</v>
      </c>
      <c r="AA41" s="108">
        <v>17.225479125976562</v>
      </c>
      <c r="AB41" s="108">
        <v>20.214845657348633</v>
      </c>
      <c r="AC41" s="108">
        <v>32</v>
      </c>
      <c r="AD41" s="108">
        <v>74.60070037841797</v>
      </c>
      <c r="AE41" s="95">
        <v>16.56900978088379</v>
      </c>
      <c r="AF41" s="95">
        <v>67.76801300048828</v>
      </c>
      <c r="AG41" s="95"/>
      <c r="AH41" s="95">
        <v>7.939091205596924</v>
      </c>
      <c r="AI41" s="95">
        <v>0</v>
      </c>
      <c r="AJ41" s="95">
        <v>0</v>
      </c>
      <c r="AK41" s="95">
        <v>60.18880081176758</v>
      </c>
      <c r="AL41" s="96">
        <v>46.559608459472656</v>
      </c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0.45833333333333298</v>
      </c>
      <c r="C42" s="91">
        <v>0</v>
      </c>
      <c r="D42" s="91">
        <v>1.4305115314527939E-07</v>
      </c>
      <c r="E42" s="91">
        <v>67.1368637084961</v>
      </c>
      <c r="F42" s="91"/>
      <c r="G42" s="91"/>
      <c r="H42" s="91">
        <v>0</v>
      </c>
      <c r="I42" s="91">
        <v>0</v>
      </c>
      <c r="J42" s="91">
        <v>22.198711395263672</v>
      </c>
      <c r="K42" s="91">
        <v>40</v>
      </c>
      <c r="L42" s="91">
        <v>39.46940231323242</v>
      </c>
      <c r="M42" s="91">
        <v>0</v>
      </c>
      <c r="N42" s="91">
        <v>0</v>
      </c>
      <c r="O42" s="91">
        <v>25.209779739379883</v>
      </c>
      <c r="P42" s="91">
        <v>0.05000000074505806</v>
      </c>
      <c r="Q42" s="91">
        <v>0.16218172013759613</v>
      </c>
      <c r="R42" s="91">
        <v>0.00019195937784388661</v>
      </c>
      <c r="S42" s="91">
        <v>0</v>
      </c>
      <c r="T42" s="91">
        <v>0</v>
      </c>
      <c r="U42" s="108">
        <v>0</v>
      </c>
      <c r="V42" s="116">
        <v>0</v>
      </c>
      <c r="W42" s="117">
        <v>97.96730041503906</v>
      </c>
      <c r="X42" s="108">
        <v>16.67751693725586</v>
      </c>
      <c r="Y42" s="108">
        <v>40</v>
      </c>
      <c r="Z42" s="108">
        <v>93.54601287841797</v>
      </c>
      <c r="AA42" s="108">
        <v>17.29600715637207</v>
      </c>
      <c r="AB42" s="108">
        <v>20.448135375976562</v>
      </c>
      <c r="AC42" s="108">
        <v>40</v>
      </c>
      <c r="AD42" s="108">
        <v>91.86198425292969</v>
      </c>
      <c r="AE42" s="95">
        <v>18.552879333496094</v>
      </c>
      <c r="AF42" s="95">
        <v>62.776695251464844</v>
      </c>
      <c r="AG42" s="95"/>
      <c r="AH42" s="95">
        <v>0</v>
      </c>
      <c r="AI42" s="95">
        <v>0</v>
      </c>
      <c r="AJ42" s="95">
        <v>0</v>
      </c>
      <c r="AK42" s="95">
        <v>60.221351623535156</v>
      </c>
      <c r="AL42" s="96">
        <v>46.03588104248047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14">
        <v>0.5</v>
      </c>
      <c r="C43" s="91">
        <v>0</v>
      </c>
      <c r="D43" s="91">
        <v>0</v>
      </c>
      <c r="E43" s="91">
        <v>47.38136672973633</v>
      </c>
      <c r="F43" s="91"/>
      <c r="G43" s="91"/>
      <c r="H43" s="91">
        <v>0</v>
      </c>
      <c r="I43" s="91">
        <v>0</v>
      </c>
      <c r="J43" s="91">
        <v>22.587528228759766</v>
      </c>
      <c r="K43" s="91">
        <v>40</v>
      </c>
      <c r="L43" s="91">
        <v>40.23799133300781</v>
      </c>
      <c r="M43" s="91">
        <v>0</v>
      </c>
      <c r="N43" s="91">
        <v>0</v>
      </c>
      <c r="O43" s="91">
        <v>25.860820770263672</v>
      </c>
      <c r="P43" s="91">
        <v>0.05000000074505806</v>
      </c>
      <c r="Q43" s="91">
        <v>0.17961516976356506</v>
      </c>
      <c r="R43" s="91">
        <v>0.00017761993512976915</v>
      </c>
      <c r="S43" s="91">
        <v>0</v>
      </c>
      <c r="T43" s="91">
        <v>0</v>
      </c>
      <c r="U43" s="108">
        <v>0</v>
      </c>
      <c r="V43" s="116">
        <v>0</v>
      </c>
      <c r="W43" s="117">
        <v>99.9782943725586</v>
      </c>
      <c r="X43" s="108">
        <v>15.588830947875977</v>
      </c>
      <c r="Y43" s="108">
        <v>30</v>
      </c>
      <c r="Z43" s="108">
        <v>69.375</v>
      </c>
      <c r="AA43" s="108">
        <v>17.263456344604492</v>
      </c>
      <c r="AB43" s="108">
        <v>20.61089515686035</v>
      </c>
      <c r="AC43" s="108">
        <v>30</v>
      </c>
      <c r="AD43" s="108">
        <v>66.29774475097656</v>
      </c>
      <c r="AE43" s="95">
        <v>19.849536895751953</v>
      </c>
      <c r="AF43" s="95">
        <v>60.351566314697266</v>
      </c>
      <c r="AG43" s="95"/>
      <c r="AH43" s="95">
        <v>0</v>
      </c>
      <c r="AI43" s="95">
        <v>0</v>
      </c>
      <c r="AJ43" s="95">
        <v>0</v>
      </c>
      <c r="AK43" s="95">
        <v>60.25752258300781</v>
      </c>
      <c r="AL43" s="96">
        <v>45.58738708496094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0.54166666666666596</v>
      </c>
      <c r="C44" s="91">
        <v>0</v>
      </c>
      <c r="D44" s="91">
        <v>1.149916624854086E-05</v>
      </c>
      <c r="E44" s="91">
        <v>52.96585464477539</v>
      </c>
      <c r="F44" s="91"/>
      <c r="G44" s="91"/>
      <c r="H44" s="91">
        <v>0</v>
      </c>
      <c r="I44" s="91">
        <v>0</v>
      </c>
      <c r="J44" s="91">
        <v>22.97634506225586</v>
      </c>
      <c r="K44" s="91">
        <v>40</v>
      </c>
      <c r="L44" s="91">
        <v>40.69914627075195</v>
      </c>
      <c r="M44" s="91">
        <v>0</v>
      </c>
      <c r="N44" s="91">
        <v>0</v>
      </c>
      <c r="O44" s="91">
        <v>27.162904739379883</v>
      </c>
      <c r="P44" s="91">
        <v>0.05000000074505806</v>
      </c>
      <c r="Q44" s="91">
        <v>0.17578125</v>
      </c>
      <c r="R44" s="91">
        <v>0.0001774368283804506</v>
      </c>
      <c r="S44" s="91">
        <v>0</v>
      </c>
      <c r="T44" s="91">
        <v>0</v>
      </c>
      <c r="U44" s="108">
        <v>0</v>
      </c>
      <c r="V44" s="116">
        <v>0</v>
      </c>
      <c r="W44" s="117">
        <v>90.7009506225586</v>
      </c>
      <c r="X44" s="108">
        <v>15.914351463317871</v>
      </c>
      <c r="Y44" s="108">
        <v>27</v>
      </c>
      <c r="Z44" s="108">
        <v>62.40885543823242</v>
      </c>
      <c r="AA44" s="108">
        <v>16.96506118774414</v>
      </c>
      <c r="AB44" s="108">
        <v>20.849611282348633</v>
      </c>
      <c r="AC44" s="108">
        <v>27</v>
      </c>
      <c r="AD44" s="108">
        <v>66.51910400390625</v>
      </c>
      <c r="AE44" s="95">
        <v>21.073856353759766</v>
      </c>
      <c r="AF44" s="95">
        <v>58.5557746887207</v>
      </c>
      <c r="AG44" s="95"/>
      <c r="AH44" s="95">
        <v>0</v>
      </c>
      <c r="AI44" s="95">
        <v>0</v>
      </c>
      <c r="AJ44" s="95">
        <v>0</v>
      </c>
      <c r="AK44" s="95">
        <v>60.300926208496094</v>
      </c>
      <c r="AL44" s="96">
        <v>45.08970260620117</v>
      </c>
      <c r="AM44" s="118"/>
      <c r="AN44" s="109"/>
      <c r="AO44" s="95"/>
      <c r="AP44" s="95"/>
      <c r="AQ44" s="95"/>
      <c r="AR44" s="99"/>
    </row>
    <row r="45" spans="2:44" ht="13.5" customHeight="1" x14ac:dyDescent="0.25">
      <c r="B45" s="14">
        <v>0.58333333333333304</v>
      </c>
      <c r="C45" s="91">
        <v>0</v>
      </c>
      <c r="D45" s="91">
        <v>8.997917007036449E-07</v>
      </c>
      <c r="E45" s="91">
        <v>58.268226623535156</v>
      </c>
      <c r="F45" s="91"/>
      <c r="G45" s="91"/>
      <c r="H45" s="91">
        <v>0</v>
      </c>
      <c r="I45" s="91">
        <v>0</v>
      </c>
      <c r="J45" s="91">
        <v>23.536964416503906</v>
      </c>
      <c r="K45" s="91">
        <v>40</v>
      </c>
      <c r="L45" s="91">
        <v>41.359230041503906</v>
      </c>
      <c r="M45" s="91">
        <v>0</v>
      </c>
      <c r="N45" s="91">
        <v>0</v>
      </c>
      <c r="O45" s="91">
        <v>28.45594596862793</v>
      </c>
      <c r="P45" s="91">
        <v>0.05000000074505806</v>
      </c>
      <c r="Q45" s="91">
        <v>0.1688368022441864</v>
      </c>
      <c r="R45" s="91">
        <v>0.00017734909488353878</v>
      </c>
      <c r="S45" s="91">
        <v>0</v>
      </c>
      <c r="T45" s="91">
        <v>0</v>
      </c>
      <c r="U45" s="108">
        <v>0</v>
      </c>
      <c r="V45" s="116">
        <v>0</v>
      </c>
      <c r="W45" s="117">
        <v>94.20934295654297</v>
      </c>
      <c r="X45" s="108">
        <v>17.54557228088379</v>
      </c>
      <c r="Y45" s="108">
        <v>27</v>
      </c>
      <c r="Z45" s="108">
        <v>62.439239501953125</v>
      </c>
      <c r="AA45" s="108">
        <v>12.250434875488281</v>
      </c>
      <c r="AB45" s="108">
        <v>93.25086975097656</v>
      </c>
      <c r="AC45" s="108">
        <v>27</v>
      </c>
      <c r="AD45" s="108">
        <v>63.85416793823242</v>
      </c>
      <c r="AE45" s="95">
        <v>19.296152114868164</v>
      </c>
      <c r="AF45" s="95">
        <v>21.83702278137207</v>
      </c>
      <c r="AG45" s="95"/>
      <c r="AH45" s="95">
        <v>0</v>
      </c>
      <c r="AI45" s="95">
        <v>0</v>
      </c>
      <c r="AJ45" s="95">
        <v>0</v>
      </c>
      <c r="AK45" s="95">
        <v>60.304542541503906</v>
      </c>
      <c r="AL45" s="96">
        <v>65.54398345947266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0.625</v>
      </c>
      <c r="C46" s="91">
        <v>0</v>
      </c>
      <c r="D46" s="91">
        <v>0</v>
      </c>
      <c r="E46" s="91">
        <v>45.319732666015625</v>
      </c>
      <c r="F46" s="91"/>
      <c r="G46" s="91"/>
      <c r="H46" s="91">
        <v>0</v>
      </c>
      <c r="I46" s="91">
        <v>0</v>
      </c>
      <c r="J46" s="91">
        <v>24.08854103088379</v>
      </c>
      <c r="K46" s="91">
        <v>40</v>
      </c>
      <c r="L46" s="91">
        <v>41.82038497924805</v>
      </c>
      <c r="M46" s="91">
        <v>0</v>
      </c>
      <c r="N46" s="91">
        <v>0</v>
      </c>
      <c r="O46" s="91">
        <v>29.24262046813965</v>
      </c>
      <c r="P46" s="91">
        <v>0.05000000074505806</v>
      </c>
      <c r="Q46" s="91">
        <v>0.175564244389534</v>
      </c>
      <c r="R46" s="91">
        <v>0.00017978668620344251</v>
      </c>
      <c r="S46" s="91">
        <v>0</v>
      </c>
      <c r="T46" s="91">
        <v>0</v>
      </c>
      <c r="U46" s="108">
        <v>0</v>
      </c>
      <c r="V46" s="116">
        <v>0</v>
      </c>
      <c r="W46" s="117">
        <v>95.8478012084961</v>
      </c>
      <c r="X46" s="108">
        <v>17.147714614868164</v>
      </c>
      <c r="Y46" s="108">
        <v>35</v>
      </c>
      <c r="Z46" s="108">
        <v>81.32379150390625</v>
      </c>
      <c r="AA46" s="108">
        <v>12.798395156860352</v>
      </c>
      <c r="AB46" s="108">
        <v>83.2248306274414</v>
      </c>
      <c r="AC46" s="108">
        <v>35</v>
      </c>
      <c r="AD46" s="108">
        <v>79.12760925292969</v>
      </c>
      <c r="AE46" s="95">
        <v>19.348596572875977</v>
      </c>
      <c r="AF46" s="95">
        <v>21.90755271911621</v>
      </c>
      <c r="AG46" s="95"/>
      <c r="AH46" s="95">
        <v>0</v>
      </c>
      <c r="AI46" s="95">
        <v>0</v>
      </c>
      <c r="AJ46" s="95">
        <v>0</v>
      </c>
      <c r="AK46" s="95">
        <v>60.32986068725586</v>
      </c>
      <c r="AL46" s="96">
        <v>64.42130279541016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0.66666666666666596</v>
      </c>
      <c r="C47" s="91">
        <v>0</v>
      </c>
      <c r="D47" s="91">
        <v>0</v>
      </c>
      <c r="E47" s="91">
        <v>56.235530853271484</v>
      </c>
      <c r="F47" s="91"/>
      <c r="G47" s="91"/>
      <c r="H47" s="91">
        <v>0</v>
      </c>
      <c r="I47" s="91">
        <v>0</v>
      </c>
      <c r="J47" s="91">
        <v>24.658203125</v>
      </c>
      <c r="K47" s="91">
        <v>40</v>
      </c>
      <c r="L47" s="91">
        <v>42.30866622924805</v>
      </c>
      <c r="M47" s="91">
        <v>0</v>
      </c>
      <c r="N47" s="91">
        <v>0</v>
      </c>
      <c r="O47" s="91">
        <v>29.739944458007812</v>
      </c>
      <c r="P47" s="91">
        <v>0.05000000074505806</v>
      </c>
      <c r="Q47" s="91">
        <v>0.14829282462596893</v>
      </c>
      <c r="R47" s="91">
        <v>0.00017687988292891532</v>
      </c>
      <c r="S47" s="91">
        <v>0</v>
      </c>
      <c r="T47" s="91">
        <v>0</v>
      </c>
      <c r="U47" s="108">
        <v>0</v>
      </c>
      <c r="V47" s="116">
        <v>0</v>
      </c>
      <c r="W47" s="117">
        <v>99.97106170654297</v>
      </c>
      <c r="X47" s="108">
        <v>16.370080947875977</v>
      </c>
      <c r="Y47" s="108">
        <v>35</v>
      </c>
      <c r="Z47" s="108">
        <v>81.37586975097656</v>
      </c>
      <c r="AA47" s="108">
        <v>14.301216125488281</v>
      </c>
      <c r="AB47" s="108">
        <v>75.49371337890625</v>
      </c>
      <c r="AC47" s="108">
        <v>35</v>
      </c>
      <c r="AD47" s="108">
        <v>97.69097900390625</v>
      </c>
      <c r="AE47" s="95">
        <v>19.028501510620117</v>
      </c>
      <c r="AF47" s="95">
        <v>21.500652313232422</v>
      </c>
      <c r="AG47" s="95"/>
      <c r="AH47" s="95">
        <v>0</v>
      </c>
      <c r="AI47" s="95">
        <v>0</v>
      </c>
      <c r="AJ47" s="95">
        <v>0</v>
      </c>
      <c r="AK47" s="95">
        <v>60.35517883300781</v>
      </c>
      <c r="AL47" s="96">
        <v>62.028358459472656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0.70833333333333304</v>
      </c>
      <c r="C48" s="91">
        <v>0</v>
      </c>
      <c r="D48" s="91">
        <v>8.656978707222152E-07</v>
      </c>
      <c r="E48" s="91">
        <v>54.087093353271484</v>
      </c>
      <c r="F48" s="91"/>
      <c r="G48" s="91"/>
      <c r="H48" s="91">
        <v>0</v>
      </c>
      <c r="I48" s="91">
        <v>0</v>
      </c>
      <c r="J48" s="91">
        <v>25.17361068725586</v>
      </c>
      <c r="K48" s="91">
        <v>40</v>
      </c>
      <c r="L48" s="91">
        <v>42.869285583496094</v>
      </c>
      <c r="M48" s="91">
        <v>0</v>
      </c>
      <c r="N48" s="91">
        <v>0</v>
      </c>
      <c r="O48" s="91">
        <v>29.911746978759766</v>
      </c>
      <c r="P48" s="91">
        <v>0.05000000074505806</v>
      </c>
      <c r="Q48" s="91">
        <v>0.17867477238178253</v>
      </c>
      <c r="R48" s="91">
        <v>0.00017782211943995208</v>
      </c>
      <c r="S48" s="91">
        <v>0</v>
      </c>
      <c r="T48" s="91">
        <v>0</v>
      </c>
      <c r="U48" s="108">
        <v>0</v>
      </c>
      <c r="V48" s="116">
        <v>0</v>
      </c>
      <c r="W48" s="117">
        <v>99.89872741699219</v>
      </c>
      <c r="X48" s="108">
        <v>17.1875</v>
      </c>
      <c r="Y48" s="108">
        <v>27</v>
      </c>
      <c r="Z48" s="108">
        <v>61.68836975097656</v>
      </c>
      <c r="AA48" s="108">
        <v>14.632162094116211</v>
      </c>
      <c r="AB48" s="108">
        <v>71.5549087524414</v>
      </c>
      <c r="AC48" s="108">
        <v>27</v>
      </c>
      <c r="AD48" s="108">
        <v>59.34028244018555</v>
      </c>
      <c r="AE48" s="95">
        <v>18.627025604248047</v>
      </c>
      <c r="AF48" s="95">
        <v>21.120878219604492</v>
      </c>
      <c r="AG48" s="95"/>
      <c r="AH48" s="95">
        <v>0</v>
      </c>
      <c r="AI48" s="95">
        <v>0</v>
      </c>
      <c r="AJ48" s="95">
        <v>0</v>
      </c>
      <c r="AK48" s="95">
        <v>60.36241149902344</v>
      </c>
      <c r="AL48" s="96">
        <v>59.88136672973633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0.75</v>
      </c>
      <c r="C49" s="91">
        <v>0</v>
      </c>
      <c r="D49" s="91">
        <v>1.4996528818755905E-07</v>
      </c>
      <c r="E49" s="91">
        <v>43.518516540527344</v>
      </c>
      <c r="F49" s="91"/>
      <c r="G49" s="91"/>
      <c r="H49" s="91">
        <v>0</v>
      </c>
      <c r="I49" s="91">
        <v>0</v>
      </c>
      <c r="J49" s="91">
        <v>25.562427520751953</v>
      </c>
      <c r="K49" s="91">
        <v>40</v>
      </c>
      <c r="L49" s="91">
        <v>43.23097610473633</v>
      </c>
      <c r="M49" s="91">
        <v>0</v>
      </c>
      <c r="N49" s="91">
        <v>0</v>
      </c>
      <c r="O49" s="91">
        <v>30.074508666992188</v>
      </c>
      <c r="P49" s="91">
        <v>0.05000000074505806</v>
      </c>
      <c r="Q49" s="91">
        <v>0.185546875</v>
      </c>
      <c r="R49" s="91">
        <v>0.00018021011783275753</v>
      </c>
      <c r="S49" s="91">
        <v>0</v>
      </c>
      <c r="T49" s="91">
        <v>0</v>
      </c>
      <c r="U49" s="108">
        <v>0</v>
      </c>
      <c r="V49" s="116">
        <v>0</v>
      </c>
      <c r="W49" s="117">
        <v>94.17679595947266</v>
      </c>
      <c r="X49" s="108">
        <v>17.780670166015625</v>
      </c>
      <c r="Y49" s="108">
        <v>27</v>
      </c>
      <c r="Z49" s="108">
        <v>62.317710876464844</v>
      </c>
      <c r="AA49" s="108">
        <v>14.105903625488281</v>
      </c>
      <c r="AB49" s="108">
        <v>68.15863800048828</v>
      </c>
      <c r="AC49" s="108">
        <v>27</v>
      </c>
      <c r="AD49" s="108">
        <v>82.85590362548828</v>
      </c>
      <c r="AE49" s="95">
        <v>18.15321159362793</v>
      </c>
      <c r="AF49" s="95">
        <v>20.507814407348633</v>
      </c>
      <c r="AG49" s="95"/>
      <c r="AH49" s="95">
        <v>0</v>
      </c>
      <c r="AI49" s="95">
        <v>0</v>
      </c>
      <c r="AJ49" s="95">
        <v>0</v>
      </c>
      <c r="AK49" s="95">
        <v>60.35517883300781</v>
      </c>
      <c r="AL49" s="96">
        <v>58.125003814697266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0.79166666666666696</v>
      </c>
      <c r="C50" s="91">
        <v>0</v>
      </c>
      <c r="D50" s="91">
        <v>2.0463467080844566E-06</v>
      </c>
      <c r="E50" s="91">
        <v>47.95283508300781</v>
      </c>
      <c r="F50" s="91"/>
      <c r="G50" s="91"/>
      <c r="H50" s="91">
        <v>0</v>
      </c>
      <c r="I50" s="91">
        <v>0</v>
      </c>
      <c r="J50" s="91">
        <v>25.96028709411621</v>
      </c>
      <c r="K50" s="91">
        <v>40</v>
      </c>
      <c r="L50" s="91">
        <v>43.72829818725586</v>
      </c>
      <c r="M50" s="91">
        <v>0</v>
      </c>
      <c r="N50" s="91">
        <v>0</v>
      </c>
      <c r="O50" s="91">
        <v>30.020254135131836</v>
      </c>
      <c r="P50" s="91">
        <v>0.05000000074505806</v>
      </c>
      <c r="Q50" s="91">
        <v>0.1019965261220932</v>
      </c>
      <c r="R50" s="91">
        <v>0.00014692687545903027</v>
      </c>
      <c r="S50" s="91">
        <v>0</v>
      </c>
      <c r="T50" s="91">
        <v>0</v>
      </c>
      <c r="U50" s="108">
        <v>0</v>
      </c>
      <c r="V50" s="116">
        <v>0</v>
      </c>
      <c r="W50" s="117">
        <v>96.38671875</v>
      </c>
      <c r="X50" s="108">
        <v>17.44791603088379</v>
      </c>
      <c r="Y50" s="108">
        <v>40</v>
      </c>
      <c r="Z50" s="108">
        <v>93.49392700195312</v>
      </c>
      <c r="AA50" s="108">
        <v>14.463976860046387</v>
      </c>
      <c r="AB50" s="108">
        <v>65.185546875</v>
      </c>
      <c r="AC50" s="108">
        <v>40</v>
      </c>
      <c r="AD50" s="108">
        <v>78.9670181274414</v>
      </c>
      <c r="AE50" s="95">
        <v>16.950592041015625</v>
      </c>
      <c r="AF50" s="95">
        <v>19.900175094604492</v>
      </c>
      <c r="AG50" s="95"/>
      <c r="AH50" s="95">
        <v>0</v>
      </c>
      <c r="AI50" s="95">
        <v>0</v>
      </c>
      <c r="AJ50" s="95">
        <v>0</v>
      </c>
      <c r="AK50" s="95">
        <v>60.3407096862793</v>
      </c>
      <c r="AL50" s="96">
        <v>56.6116943359375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14">
        <v>0.83333333333333304</v>
      </c>
      <c r="C51" s="100">
        <v>0</v>
      </c>
      <c r="D51" s="100">
        <v>0</v>
      </c>
      <c r="E51" s="100">
        <v>39.518226623535156</v>
      </c>
      <c r="F51" s="100"/>
      <c r="G51" s="100"/>
      <c r="H51" s="100">
        <v>0</v>
      </c>
      <c r="I51" s="100">
        <v>0</v>
      </c>
      <c r="J51" s="100">
        <v>26.23155403137207</v>
      </c>
      <c r="K51" s="100">
        <v>40</v>
      </c>
      <c r="L51" s="100">
        <v>44.05381774902344</v>
      </c>
      <c r="M51" s="100">
        <v>0</v>
      </c>
      <c r="N51" s="100">
        <v>0</v>
      </c>
      <c r="O51" s="100">
        <v>29.26974868774414</v>
      </c>
      <c r="P51" s="100">
        <v>0.05000000074505806</v>
      </c>
      <c r="Q51" s="100">
        <v>0.18460647761821747</v>
      </c>
      <c r="R51" s="100">
        <v>0.00010680771083571017</v>
      </c>
      <c r="S51" s="100">
        <v>0</v>
      </c>
      <c r="T51" s="100">
        <v>0</v>
      </c>
      <c r="U51" s="111">
        <v>0</v>
      </c>
      <c r="V51" s="119">
        <v>0</v>
      </c>
      <c r="W51" s="120">
        <v>97.88410949707031</v>
      </c>
      <c r="X51" s="111">
        <v>16.388164520263672</v>
      </c>
      <c r="Y51" s="111">
        <v>30</v>
      </c>
      <c r="Z51" s="111">
        <v>0</v>
      </c>
      <c r="AA51" s="111">
        <v>16.943359375</v>
      </c>
      <c r="AB51" s="111">
        <v>62.61393356323242</v>
      </c>
      <c r="AC51" s="111">
        <v>35</v>
      </c>
      <c r="AD51" s="111">
        <v>81.87500762939453</v>
      </c>
      <c r="AE51" s="104">
        <v>16.418909072875977</v>
      </c>
      <c r="AF51" s="104">
        <v>19.569229125976562</v>
      </c>
      <c r="AG51" s="104"/>
      <c r="AH51" s="104">
        <v>0</v>
      </c>
      <c r="AI51" s="104">
        <v>0</v>
      </c>
      <c r="AJ51" s="104">
        <v>0</v>
      </c>
      <c r="AK51" s="104">
        <v>60.315391540527344</v>
      </c>
      <c r="AL51" s="105">
        <v>55.32118225097656</v>
      </c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19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19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226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91">
        <v>12.076822280883789</v>
      </c>
      <c r="D6" s="91">
        <v>21.78277015686035</v>
      </c>
      <c r="E6" s="91">
        <v>418.78790283203125</v>
      </c>
      <c r="F6" s="91"/>
      <c r="G6" s="91"/>
      <c r="H6" s="92">
        <v>419.1732177734375</v>
      </c>
      <c r="I6" s="93">
        <v>28.8375301361084</v>
      </c>
      <c r="J6" s="91"/>
      <c r="K6" s="91">
        <v>40.58159637451172</v>
      </c>
      <c r="L6" s="91">
        <v>1.2726961374282837</v>
      </c>
      <c r="M6" s="91">
        <v>110.0314712524414</v>
      </c>
      <c r="N6" s="91">
        <v>114.48928833007812</v>
      </c>
      <c r="O6" s="91">
        <v>20.065929412841797</v>
      </c>
      <c r="P6" s="91"/>
      <c r="Q6" s="91"/>
      <c r="R6" s="91"/>
      <c r="S6" s="91">
        <v>139.47482299804688</v>
      </c>
      <c r="T6" s="91">
        <v>1.6180917024612427</v>
      </c>
      <c r="U6" s="91">
        <v>0.3006206154823303</v>
      </c>
      <c r="V6" s="91"/>
      <c r="W6" s="91">
        <v>90.5092544555664</v>
      </c>
      <c r="X6" s="91">
        <v>0.5304028987884521</v>
      </c>
      <c r="Y6" s="91" t="s">
        <v>4</v>
      </c>
      <c r="Z6" s="91">
        <v>0.7341435551643372</v>
      </c>
      <c r="AA6" s="91">
        <v>149.5659637451172</v>
      </c>
      <c r="AB6" s="91">
        <v>163.3825225830078</v>
      </c>
      <c r="AC6" s="91">
        <v>0.3095703125</v>
      </c>
      <c r="AD6" s="91">
        <v>156.0836181640625</v>
      </c>
      <c r="AE6" s="94">
        <v>32.88999938964844</v>
      </c>
      <c r="AF6" s="94"/>
      <c r="AG6" s="94"/>
      <c r="AH6" s="94">
        <v>16</v>
      </c>
      <c r="AI6" s="94"/>
      <c r="AJ6" s="94"/>
      <c r="AK6" s="94">
        <v>6.900000095367432</v>
      </c>
      <c r="AL6" s="91">
        <v>49.381507873535156</v>
      </c>
      <c r="AM6" s="95"/>
      <c r="AN6" s="96">
        <v>56.492332458496094</v>
      </c>
      <c r="AO6" s="97"/>
      <c r="AP6" s="98">
        <v>-81.07638549804688</v>
      </c>
      <c r="AQ6" s="98">
        <v>0.25311052799224854</v>
      </c>
      <c r="AR6" s="99"/>
    </row>
    <row r="7" spans="2:47" ht="13.5" customHeight="1" x14ac:dyDescent="0.25">
      <c r="B7" s="14">
        <v>0.875</v>
      </c>
      <c r="C7" s="91">
        <v>12.811053276062012</v>
      </c>
      <c r="D7" s="91">
        <v>21.23480987548828</v>
      </c>
      <c r="E7" s="91">
        <v>418.78790283203125</v>
      </c>
      <c r="F7" s="91">
        <v>0.33686718344688416</v>
      </c>
      <c r="G7" s="91">
        <v>0</v>
      </c>
      <c r="H7" s="92">
        <v>419.1732177734375</v>
      </c>
      <c r="I7" s="93">
        <v>25.90060806274414</v>
      </c>
      <c r="J7" s="91">
        <v>0.01952197216451168</v>
      </c>
      <c r="K7" s="91">
        <v>41.03009033203125</v>
      </c>
      <c r="L7" s="91">
        <v>1.3000036478042603</v>
      </c>
      <c r="M7" s="91">
        <v>110.67708587646484</v>
      </c>
      <c r="N7" s="91">
        <v>116.13136291503906</v>
      </c>
      <c r="O7" s="91">
        <v>20.417320251464844</v>
      </c>
      <c r="P7" s="91">
        <v>20.18359375</v>
      </c>
      <c r="Q7" s="91"/>
      <c r="R7" s="91">
        <v>2.47430419921875</v>
      </c>
      <c r="S7" s="91">
        <v>139.3301544189453</v>
      </c>
      <c r="T7" s="91">
        <v>1.6185981035232544</v>
      </c>
      <c r="U7" s="91">
        <v>0.30213719606399536</v>
      </c>
      <c r="V7" s="91">
        <v>0.3001406192779541</v>
      </c>
      <c r="W7" s="91">
        <v>90.44415283203125</v>
      </c>
      <c r="X7" s="91">
        <v>0.5278156399726868</v>
      </c>
      <c r="Y7" s="91" t="s">
        <v>82</v>
      </c>
      <c r="Z7" s="91">
        <v>0.7350115776062012</v>
      </c>
      <c r="AA7" s="91">
        <v>149.22598266601562</v>
      </c>
      <c r="AB7" s="91">
        <v>163.1799774169922</v>
      </c>
      <c r="AC7" s="91">
        <v>0.3773871660232544</v>
      </c>
      <c r="AD7" s="91">
        <v>155.526611328125</v>
      </c>
      <c r="AE7" s="94"/>
      <c r="AF7" s="94"/>
      <c r="AG7" s="94"/>
      <c r="AH7" s="94"/>
      <c r="AI7" s="94"/>
      <c r="AJ7" s="94"/>
      <c r="AK7" s="94"/>
      <c r="AL7" s="91">
        <v>2.2822628021240234</v>
      </c>
      <c r="AM7" s="95">
        <v>0.007640624884516001</v>
      </c>
      <c r="AN7" s="96">
        <v>54.95876693725586</v>
      </c>
      <c r="AO7" s="97"/>
      <c r="AP7" s="98">
        <v>-81.03298950195312</v>
      </c>
      <c r="AQ7" s="98">
        <v>0.2921006977558136</v>
      </c>
      <c r="AR7" s="99">
        <v>0.0002899169921875</v>
      </c>
    </row>
    <row r="8" spans="2:47" ht="13.5" customHeight="1" x14ac:dyDescent="0.25">
      <c r="B8" s="41" t="s">
        <v>271</v>
      </c>
      <c r="C8" s="91">
        <v>13.530816078186035</v>
      </c>
      <c r="D8" s="91">
        <v>20.936416625976562</v>
      </c>
      <c r="E8" s="91">
        <v>418.78790283203125</v>
      </c>
      <c r="F8" s="91">
        <v>0.3365781307220459</v>
      </c>
      <c r="G8" s="91">
        <v>0</v>
      </c>
      <c r="H8" s="92">
        <v>419.1732177734375</v>
      </c>
      <c r="I8" s="93">
        <v>28.812210083007812</v>
      </c>
      <c r="J8" s="91">
        <v>0.019599609076976776</v>
      </c>
      <c r="K8" s="91">
        <v>40.617767333984375</v>
      </c>
      <c r="L8" s="91">
        <v>1.2833659648895264</v>
      </c>
      <c r="M8" s="91">
        <v>111.11653900146484</v>
      </c>
      <c r="N8" s="91">
        <v>113.65740203857422</v>
      </c>
      <c r="O8" s="91">
        <v>20.159563064575195</v>
      </c>
      <c r="P8" s="91">
        <v>20.16162109375</v>
      </c>
      <c r="Q8" s="91"/>
      <c r="R8" s="91">
        <v>2.47503662109375</v>
      </c>
      <c r="S8" s="91">
        <v>139.59779357910156</v>
      </c>
      <c r="T8" s="91">
        <v>1.6127748489379883</v>
      </c>
      <c r="U8" s="91">
        <v>0.30197834968566895</v>
      </c>
      <c r="V8" s="91">
        <v>0.2998359501361847</v>
      </c>
      <c r="W8" s="91">
        <v>90.69010162353516</v>
      </c>
      <c r="X8" s="91">
        <v>0.5267419219017029</v>
      </c>
      <c r="Y8" s="91" t="s">
        <v>82</v>
      </c>
      <c r="Z8" s="91">
        <v>0.7308449149131775</v>
      </c>
      <c r="AA8" s="91">
        <v>149.10301208496094</v>
      </c>
      <c r="AB8" s="91">
        <v>162.8255157470703</v>
      </c>
      <c r="AC8" s="91">
        <v>0.35463687777519226</v>
      </c>
      <c r="AD8" s="91">
        <v>155.53384399414062</v>
      </c>
      <c r="AE8" s="94"/>
      <c r="AF8" s="94"/>
      <c r="AG8" s="94"/>
      <c r="AH8" s="94"/>
      <c r="AI8" s="94"/>
      <c r="AJ8" s="94"/>
      <c r="AK8" s="94"/>
      <c r="AL8" s="91">
        <v>22.82986068725586</v>
      </c>
      <c r="AM8" s="95">
        <v>0.010966796427965164</v>
      </c>
      <c r="AN8" s="96">
        <v>59.946468353271484</v>
      </c>
      <c r="AO8" s="97"/>
      <c r="AP8" s="98">
        <v>-81.08362579345703</v>
      </c>
      <c r="AQ8" s="98">
        <v>0.2850115895271301</v>
      </c>
      <c r="AR8" s="99">
        <v>0.00029090119642205536</v>
      </c>
    </row>
    <row r="9" spans="2:47" ht="13.5" customHeight="1" x14ac:dyDescent="0.25">
      <c r="B9" s="14">
        <v>0.95833333333333337</v>
      </c>
      <c r="C9" s="91">
        <v>14.56163215637207</v>
      </c>
      <c r="D9" s="91">
        <v>20.779081344604492</v>
      </c>
      <c r="E9" s="91">
        <v>418.78790283203125</v>
      </c>
      <c r="F9" s="91">
        <v>0.3359453082084656</v>
      </c>
      <c r="G9" s="91">
        <v>0</v>
      </c>
      <c r="H9" s="92">
        <v>419.1732177734375</v>
      </c>
      <c r="I9" s="93">
        <v>14.608652114868164</v>
      </c>
      <c r="J9" s="91">
        <v>0.01944531314074993</v>
      </c>
      <c r="K9" s="91">
        <v>40.1258659362793</v>
      </c>
      <c r="L9" s="91">
        <v>1.2531648874282837</v>
      </c>
      <c r="M9" s="91">
        <v>107.1017837524414</v>
      </c>
      <c r="N9" s="91">
        <v>111.04600524902344</v>
      </c>
      <c r="O9" s="91">
        <v>20.051578521728516</v>
      </c>
      <c r="P9" s="91">
        <v>20.16943359375</v>
      </c>
      <c r="Q9" s="91"/>
      <c r="R9" s="91">
        <v>2.5418701171875</v>
      </c>
      <c r="S9" s="91">
        <v>139.6050262451172</v>
      </c>
      <c r="T9" s="91">
        <v>1.6158130168914795</v>
      </c>
      <c r="U9" s="91">
        <v>0.29928258061408997</v>
      </c>
      <c r="V9" s="91">
        <v>0.29994532465934753</v>
      </c>
      <c r="W9" s="91">
        <v>90.53819274902344</v>
      </c>
      <c r="X9" s="91">
        <v>0.5298744440078735</v>
      </c>
      <c r="Y9" s="91" t="s">
        <v>82</v>
      </c>
      <c r="Z9" s="91">
        <v>0.732754647731781</v>
      </c>
      <c r="AA9" s="91">
        <v>149.471923828125</v>
      </c>
      <c r="AB9" s="91">
        <v>162.52169799804688</v>
      </c>
      <c r="AC9" s="91">
        <v>0.32298901677131653</v>
      </c>
      <c r="AD9" s="91">
        <v>155.0130157470703</v>
      </c>
      <c r="AE9" s="94"/>
      <c r="AF9" s="94"/>
      <c r="AG9" s="94"/>
      <c r="AH9" s="94"/>
      <c r="AI9" s="94"/>
      <c r="AJ9" s="94"/>
      <c r="AK9" s="94"/>
      <c r="AL9" s="91">
        <v>0</v>
      </c>
      <c r="AM9" s="95">
        <v>0.011341797187924385</v>
      </c>
      <c r="AN9" s="96">
        <v>59.31351089477539</v>
      </c>
      <c r="AO9" s="97"/>
      <c r="AP9" s="98">
        <v>-80.65682983398438</v>
      </c>
      <c r="AQ9" s="98">
        <v>0.29333043098449707</v>
      </c>
      <c r="AR9" s="99">
        <v>0.0002932281349785626</v>
      </c>
    </row>
    <row r="10" spans="2:47" ht="13.5" customHeight="1" x14ac:dyDescent="0.25">
      <c r="B10" s="41" t="s">
        <v>272</v>
      </c>
      <c r="C10" s="91">
        <v>12.178095817565918</v>
      </c>
      <c r="D10" s="91">
        <v>20.80620765686035</v>
      </c>
      <c r="E10" s="91">
        <v>418.78790283203125</v>
      </c>
      <c r="F10" s="91">
        <v>0.20475780963897705</v>
      </c>
      <c r="G10" s="91">
        <v>0</v>
      </c>
      <c r="H10" s="92">
        <v>419.1732177734375</v>
      </c>
      <c r="I10" s="93">
        <v>2.0760996341705322</v>
      </c>
      <c r="J10" s="91">
        <v>0.019521484151482582</v>
      </c>
      <c r="K10" s="91">
        <v>40.219905853271484</v>
      </c>
      <c r="L10" s="91">
        <v>1.2734194993972778</v>
      </c>
      <c r="M10" s="91">
        <v>109.68424987792969</v>
      </c>
      <c r="N10" s="91">
        <v>113.22338104248047</v>
      </c>
      <c r="O10" s="91">
        <v>20.346275329589844</v>
      </c>
      <c r="P10" s="91">
        <v>20.18603515625</v>
      </c>
      <c r="Q10" s="91"/>
      <c r="R10" s="91">
        <v>2.56793212890625</v>
      </c>
      <c r="S10" s="91">
        <v>139.5760955810547</v>
      </c>
      <c r="T10" s="91">
        <v>1.6203703880310059</v>
      </c>
      <c r="U10" s="91">
        <v>0.30244654417037964</v>
      </c>
      <c r="V10" s="91">
        <v>0.3001718819141388</v>
      </c>
      <c r="W10" s="91">
        <v>90.25607299804688</v>
      </c>
      <c r="X10" s="91">
        <v>0.5303832292556763</v>
      </c>
      <c r="Y10" s="91" t="s">
        <v>82</v>
      </c>
      <c r="Z10" s="91">
        <v>0.7291666865348816</v>
      </c>
      <c r="AA10" s="91">
        <v>149.39236450195312</v>
      </c>
      <c r="AB10" s="91">
        <v>162.6519012451172</v>
      </c>
      <c r="AC10" s="91">
        <v>0.4430338442325592</v>
      </c>
      <c r="AD10" s="91">
        <v>154.6440887451172</v>
      </c>
      <c r="AE10" s="94"/>
      <c r="AF10" s="94"/>
      <c r="AG10" s="94"/>
      <c r="AH10" s="94"/>
      <c r="AI10" s="94"/>
      <c r="AJ10" s="94"/>
      <c r="AK10" s="94"/>
      <c r="AL10" s="91">
        <v>4.654947757720947</v>
      </c>
      <c r="AM10" s="95">
        <v>0.007456542924046516</v>
      </c>
      <c r="AN10" s="96">
        <v>57.74016189575195</v>
      </c>
      <c r="AO10" s="97"/>
      <c r="AP10" s="98">
        <v>-80.64236450195312</v>
      </c>
      <c r="AQ10" s="98">
        <v>0.30078125</v>
      </c>
      <c r="AR10" s="99">
        <v>0.00029269407968968153</v>
      </c>
    </row>
    <row r="11" spans="2:47" ht="13.5" customHeight="1" x14ac:dyDescent="0.25">
      <c r="B11" s="14">
        <v>4.1666666666666664E-2</v>
      </c>
      <c r="C11" s="91">
        <v>13.07508659362793</v>
      </c>
      <c r="D11" s="91">
        <v>20.70855140686035</v>
      </c>
      <c r="E11" s="91">
        <v>418.78790283203125</v>
      </c>
      <c r="F11" s="91">
        <v>0.33583593368530273</v>
      </c>
      <c r="G11" s="91">
        <v>0</v>
      </c>
      <c r="H11" s="92">
        <v>419.1732177734375</v>
      </c>
      <c r="I11" s="93">
        <v>24.83724021911621</v>
      </c>
      <c r="J11" s="91">
        <v>0.01958300732076168</v>
      </c>
      <c r="K11" s="91">
        <v>42.252601623535156</v>
      </c>
      <c r="L11" s="91">
        <v>1.3488317728042603</v>
      </c>
      <c r="M11" s="91">
        <v>110.16168212890625</v>
      </c>
      <c r="N11" s="91">
        <v>115.37181854248047</v>
      </c>
      <c r="O11" s="91">
        <v>20.175790786743164</v>
      </c>
      <c r="P11" s="91">
        <v>20.16015625</v>
      </c>
      <c r="Q11" s="91"/>
      <c r="R11" s="91">
        <v>2.53240966796875</v>
      </c>
      <c r="S11" s="91">
        <v>139.56163024902344</v>
      </c>
      <c r="T11" s="91">
        <v>1.620243787765503</v>
      </c>
      <c r="U11" s="91">
        <v>0.3015175461769104</v>
      </c>
      <c r="V11" s="91">
        <v>0.2997500002384186</v>
      </c>
      <c r="W11" s="91">
        <v>90.75520324707031</v>
      </c>
      <c r="X11" s="91">
        <v>0.5281577706336975</v>
      </c>
      <c r="Y11" s="91" t="s">
        <v>82</v>
      </c>
      <c r="Z11" s="91">
        <v>0.7263889312744141</v>
      </c>
      <c r="AA11" s="91">
        <v>150.17361450195312</v>
      </c>
      <c r="AB11" s="91">
        <v>162.68084716796875</v>
      </c>
      <c r="AC11" s="91">
        <v>0.8863570690155029</v>
      </c>
      <c r="AD11" s="91">
        <v>154.5211181640625</v>
      </c>
      <c r="AE11" s="94"/>
      <c r="AF11" s="94"/>
      <c r="AG11" s="94"/>
      <c r="AH11" s="94"/>
      <c r="AI11" s="94"/>
      <c r="AJ11" s="94"/>
      <c r="AK11" s="94"/>
      <c r="AL11" s="91">
        <v>3.182870388031006</v>
      </c>
      <c r="AM11" s="95">
        <v>0.005532226525247097</v>
      </c>
      <c r="AN11" s="96">
        <v>55.30598831176758</v>
      </c>
      <c r="AO11" s="97"/>
      <c r="AP11" s="98">
        <v>-80.6351318359375</v>
      </c>
      <c r="AQ11" s="98">
        <v>0.29311344027519226</v>
      </c>
      <c r="AR11" s="99">
        <v>0.0002911300689447671</v>
      </c>
    </row>
    <row r="12" spans="2:47" ht="13.5" customHeight="1" x14ac:dyDescent="0.25">
      <c r="B12" s="41" t="s">
        <v>273</v>
      </c>
      <c r="C12" s="91">
        <v>13.968460083007812</v>
      </c>
      <c r="D12" s="91">
        <v>20.55121612548828</v>
      </c>
      <c r="E12" s="91">
        <v>418.78790283203125</v>
      </c>
      <c r="F12" s="91">
        <v>0.3359687626361847</v>
      </c>
      <c r="G12" s="91">
        <v>0</v>
      </c>
      <c r="H12" s="92">
        <v>419.1732177734375</v>
      </c>
      <c r="I12" s="93">
        <v>22.001590728759766</v>
      </c>
      <c r="J12" s="91">
        <v>0.020255371928215027</v>
      </c>
      <c r="K12" s="91">
        <v>43.78616714477539</v>
      </c>
      <c r="L12" s="91">
        <v>1.4095052480697632</v>
      </c>
      <c r="M12" s="91">
        <v>107.09093475341797</v>
      </c>
      <c r="N12" s="91">
        <v>115.234375</v>
      </c>
      <c r="O12" s="91">
        <v>20.128345489501953</v>
      </c>
      <c r="P12" s="91">
        <v>20.1845703125</v>
      </c>
      <c r="Q12" s="91"/>
      <c r="R12" s="91">
        <v>2.5103759765625</v>
      </c>
      <c r="S12" s="91">
        <v>139.7497100830078</v>
      </c>
      <c r="T12" s="91">
        <v>1.6215096712112427</v>
      </c>
      <c r="U12" s="91">
        <v>0.30023014545440674</v>
      </c>
      <c r="V12" s="91">
        <v>0.3001328110694885</v>
      </c>
      <c r="W12" s="91">
        <v>90.14033508300781</v>
      </c>
      <c r="X12" s="91">
        <v>0.5304400324821472</v>
      </c>
      <c r="Y12" s="91" t="s">
        <v>82</v>
      </c>
      <c r="Z12" s="91">
        <v>0.7352430820465088</v>
      </c>
      <c r="AA12" s="91">
        <v>150.20254516601562</v>
      </c>
      <c r="AB12" s="91">
        <v>162.9195556640625</v>
      </c>
      <c r="AC12" s="91">
        <v>0.32110822200775146</v>
      </c>
      <c r="AD12" s="91">
        <v>155.0419464111328</v>
      </c>
      <c r="AE12" s="94"/>
      <c r="AF12" s="94"/>
      <c r="AG12" s="94"/>
      <c r="AH12" s="94"/>
      <c r="AI12" s="94"/>
      <c r="AJ12" s="94"/>
      <c r="AK12" s="94"/>
      <c r="AL12" s="91">
        <v>1.5733506679534912</v>
      </c>
      <c r="AM12" s="95">
        <v>0.004756835754960775</v>
      </c>
      <c r="AN12" s="96">
        <v>53.479454040527344</v>
      </c>
      <c r="AO12" s="97"/>
      <c r="AP12" s="98">
        <v>-80.67129516601562</v>
      </c>
      <c r="AQ12" s="98">
        <v>0.30027487874031067</v>
      </c>
      <c r="AR12" s="99">
        <v>0.0002901153638958931</v>
      </c>
    </row>
    <row r="13" spans="2:47" ht="13.5" customHeight="1" x14ac:dyDescent="0.25">
      <c r="B13" s="14">
        <v>0.125</v>
      </c>
      <c r="C13" s="91">
        <v>14.767794609069824</v>
      </c>
      <c r="D13" s="91">
        <v>20.594619750976562</v>
      </c>
      <c r="E13" s="91">
        <v>418.78790283203125</v>
      </c>
      <c r="F13" s="91">
        <v>0.3359062373638153</v>
      </c>
      <c r="G13" s="91">
        <v>0</v>
      </c>
      <c r="H13" s="92">
        <v>419.1732177734375</v>
      </c>
      <c r="I13" s="93">
        <v>20.026765823364258</v>
      </c>
      <c r="J13" s="91">
        <v>0.02030664123594761</v>
      </c>
      <c r="K13" s="91">
        <v>44.42997741699219</v>
      </c>
      <c r="L13" s="91">
        <v>1.4514613151550293</v>
      </c>
      <c r="M13" s="91">
        <v>105.11067962646484</v>
      </c>
      <c r="N13" s="91">
        <v>110.64091491699219</v>
      </c>
      <c r="O13" s="91">
        <v>20.073978424072266</v>
      </c>
      <c r="P13" s="91">
        <v>20.1728515625</v>
      </c>
      <c r="Q13" s="91"/>
      <c r="R13" s="91">
        <v>2.56378173828125</v>
      </c>
      <c r="S13" s="91">
        <v>139.6122589111328</v>
      </c>
      <c r="T13" s="91">
        <v>1.6216362714767456</v>
      </c>
      <c r="U13" s="91">
        <v>0.30067333579063416</v>
      </c>
      <c r="V13" s="91">
        <v>0.2999609410762787</v>
      </c>
      <c r="W13" s="91">
        <v>90.27054595947266</v>
      </c>
      <c r="X13" s="91">
        <v>0.5302902460098267</v>
      </c>
      <c r="Y13" s="91" t="s">
        <v>82</v>
      </c>
      <c r="Z13" s="91">
        <v>0.729687511920929</v>
      </c>
      <c r="AA13" s="91">
        <v>149.16810607910156</v>
      </c>
      <c r="AB13" s="91">
        <v>162.78211975097656</v>
      </c>
      <c r="AC13" s="91">
        <v>0.34020543098449707</v>
      </c>
      <c r="AD13" s="91">
        <v>155.14321899414062</v>
      </c>
      <c r="AE13" s="94"/>
      <c r="AF13" s="94"/>
      <c r="AG13" s="94"/>
      <c r="AH13" s="94"/>
      <c r="AI13" s="94"/>
      <c r="AJ13" s="94"/>
      <c r="AK13" s="94"/>
      <c r="AL13" s="91">
        <v>9.707754135131836</v>
      </c>
      <c r="AM13" s="95">
        <v>0.0034335937816649675</v>
      </c>
      <c r="AN13" s="96">
        <v>48.878761291503906</v>
      </c>
      <c r="AO13" s="97"/>
      <c r="AP13" s="98">
        <v>-80.859375</v>
      </c>
      <c r="AQ13" s="98">
        <v>0.29528355598449707</v>
      </c>
      <c r="AR13" s="99">
        <v>0.0002930602931883186</v>
      </c>
    </row>
    <row r="14" spans="2:47" ht="13.5" customHeight="1" x14ac:dyDescent="0.25">
      <c r="B14" s="14">
        <v>0.16666666666666666</v>
      </c>
      <c r="C14" s="91">
        <v>11.689814567565918</v>
      </c>
      <c r="D14" s="91">
        <v>20.57834243774414</v>
      </c>
      <c r="E14" s="91">
        <v>418.78790283203125</v>
      </c>
      <c r="F14" s="91">
        <v>0.19357812404632568</v>
      </c>
      <c r="G14" s="91">
        <v>0</v>
      </c>
      <c r="H14" s="92">
        <v>419.1732177734375</v>
      </c>
      <c r="I14" s="93">
        <v>23.292823791503906</v>
      </c>
      <c r="J14" s="91">
        <v>0.020050780847668648</v>
      </c>
      <c r="K14" s="91">
        <v>43.67766189575195</v>
      </c>
      <c r="L14" s="91">
        <v>1.3972078561782837</v>
      </c>
      <c r="M14" s="91">
        <v>110.50347900390625</v>
      </c>
      <c r="N14" s="91">
        <v>113.31741333007812</v>
      </c>
      <c r="O14" s="91">
        <v>20.12908172607422</v>
      </c>
      <c r="P14" s="91">
        <v>20.14111328125</v>
      </c>
      <c r="Q14" s="91"/>
      <c r="R14" s="91">
        <v>2.549560546875</v>
      </c>
      <c r="S14" s="91">
        <v>139.62673950195312</v>
      </c>
      <c r="T14" s="91">
        <v>1.6201171875</v>
      </c>
      <c r="U14" s="91">
        <v>0.2999204397201538</v>
      </c>
      <c r="V14" s="91">
        <v>0.29954686760902405</v>
      </c>
      <c r="W14" s="91">
        <v>90.29224395751953</v>
      </c>
      <c r="X14" s="91">
        <v>0.5313785672187805</v>
      </c>
      <c r="Y14" s="91" t="s">
        <v>82</v>
      </c>
      <c r="Z14" s="91">
        <v>0.7398148775100708</v>
      </c>
      <c r="AA14" s="91">
        <v>150.1663818359375</v>
      </c>
      <c r="AB14" s="91">
        <v>162.753173828125</v>
      </c>
      <c r="AC14" s="91">
        <v>0.33250144124031067</v>
      </c>
      <c r="AD14" s="91">
        <v>154.6440887451172</v>
      </c>
      <c r="AE14" s="94"/>
      <c r="AF14" s="94"/>
      <c r="AG14" s="94"/>
      <c r="AH14" s="94"/>
      <c r="AI14" s="94"/>
      <c r="AJ14" s="94"/>
      <c r="AK14" s="94"/>
      <c r="AL14" s="91">
        <v>0</v>
      </c>
      <c r="AM14" s="95">
        <v>0.003253418020904064</v>
      </c>
      <c r="AN14" s="96">
        <v>48.82088851928711</v>
      </c>
      <c r="AO14" s="97"/>
      <c r="AP14" s="98">
        <v>-80.76533508300781</v>
      </c>
      <c r="AQ14" s="98">
        <v>0.29304108023643494</v>
      </c>
      <c r="AR14" s="99">
        <v>0.00029077910585328937</v>
      </c>
    </row>
    <row r="15" spans="2:47" ht="13.5" customHeight="1" x14ac:dyDescent="0.25">
      <c r="B15" s="14">
        <v>0.20833333333333334</v>
      </c>
      <c r="C15" s="91">
        <v>12.698928833007812</v>
      </c>
      <c r="D15" s="91">
        <v>20.22569465637207</v>
      </c>
      <c r="E15" s="91">
        <v>418.78790283203125</v>
      </c>
      <c r="F15" s="91">
        <v>0.33620312809944153</v>
      </c>
      <c r="G15" s="91">
        <v>0</v>
      </c>
      <c r="H15" s="92">
        <v>419.1732177734375</v>
      </c>
      <c r="I15" s="93">
        <v>0</v>
      </c>
      <c r="J15" s="91">
        <v>0.019623534753918648</v>
      </c>
      <c r="K15" s="91">
        <v>41.160301208496094</v>
      </c>
      <c r="L15" s="91">
        <v>1.2900571823120117</v>
      </c>
      <c r="M15" s="91">
        <v>110.82357025146484</v>
      </c>
      <c r="N15" s="91">
        <v>115.74073791503906</v>
      </c>
      <c r="O15" s="91">
        <v>20.10199546813965</v>
      </c>
      <c r="P15" s="91">
        <v>20.16943359375</v>
      </c>
      <c r="Q15" s="91"/>
      <c r="R15" s="91">
        <v>2.54876708984375</v>
      </c>
      <c r="S15" s="91">
        <v>139.6195068359375</v>
      </c>
      <c r="T15" s="91">
        <v>1.6201171875</v>
      </c>
      <c r="U15" s="91">
        <v>0.29912978410720825</v>
      </c>
      <c r="V15" s="91">
        <v>0.30003124475479126</v>
      </c>
      <c r="W15" s="91">
        <v>90.35011291503906</v>
      </c>
      <c r="X15" s="91">
        <v>0.5314981937408447</v>
      </c>
      <c r="Y15" s="91" t="s">
        <v>82</v>
      </c>
      <c r="Z15" s="91">
        <v>0.7426505088806152</v>
      </c>
      <c r="AA15" s="91">
        <v>150.2965850830078</v>
      </c>
      <c r="AB15" s="91">
        <v>162.76040649414062</v>
      </c>
      <c r="AC15" s="91">
        <v>0.3720703125</v>
      </c>
      <c r="AD15" s="91">
        <v>154.8177032470703</v>
      </c>
      <c r="AE15" s="94"/>
      <c r="AF15" s="94"/>
      <c r="AG15" s="94"/>
      <c r="AH15" s="94"/>
      <c r="AI15" s="94"/>
      <c r="AJ15" s="94"/>
      <c r="AK15" s="94"/>
      <c r="AL15" s="91">
        <v>0</v>
      </c>
      <c r="AM15" s="95">
        <v>0.004582519643008709</v>
      </c>
      <c r="AN15" s="96">
        <v>61.2196159362793</v>
      </c>
      <c r="AO15" s="97"/>
      <c r="AP15" s="98">
        <v>-80.75810241699219</v>
      </c>
      <c r="AQ15" s="98">
        <v>0.28833910822868347</v>
      </c>
      <c r="AR15" s="99">
        <v>0.00029103088309057057</v>
      </c>
    </row>
    <row r="16" spans="2:47" ht="13.5" customHeight="1" x14ac:dyDescent="0.25">
      <c r="B16" s="14">
        <v>0.25</v>
      </c>
      <c r="C16" s="91">
        <v>13.715277671813965</v>
      </c>
      <c r="D16" s="91">
        <v>19.94357681274414</v>
      </c>
      <c r="E16" s="91">
        <v>418.78790283203125</v>
      </c>
      <c r="F16" s="91">
        <v>0.33623436093330383</v>
      </c>
      <c r="G16" s="91">
        <v>0</v>
      </c>
      <c r="H16" s="92">
        <v>419.1732177734375</v>
      </c>
      <c r="I16" s="93">
        <v>25.723379135131836</v>
      </c>
      <c r="J16" s="91">
        <v>0.019979003816843033</v>
      </c>
      <c r="K16" s="91">
        <v>43.547454833984375</v>
      </c>
      <c r="L16" s="91">
        <v>1.384458303451538</v>
      </c>
      <c r="M16" s="91">
        <v>113.60677337646484</v>
      </c>
      <c r="N16" s="91">
        <v>115.64669799804688</v>
      </c>
      <c r="O16" s="91">
        <v>20.117231369018555</v>
      </c>
      <c r="P16" s="91">
        <v>20.19921875</v>
      </c>
      <c r="Q16" s="91"/>
      <c r="R16" s="91">
        <v>2.51385498046875</v>
      </c>
      <c r="S16" s="91">
        <v>139.43865966796875</v>
      </c>
      <c r="T16" s="91">
        <v>1.6178385019302368</v>
      </c>
      <c r="U16" s="91">
        <v>0.30256155133247375</v>
      </c>
      <c r="V16" s="91">
        <v>0.30034375190734863</v>
      </c>
      <c r="W16" s="91">
        <v>90.5743637084961</v>
      </c>
      <c r="X16" s="91">
        <v>0.5297088623046875</v>
      </c>
      <c r="Y16" s="91" t="s">
        <v>82</v>
      </c>
      <c r="Z16" s="91">
        <v>0.724074125289917</v>
      </c>
      <c r="AA16" s="91">
        <v>150.1302032470703</v>
      </c>
      <c r="AB16" s="91">
        <v>162.73147583007812</v>
      </c>
      <c r="AC16" s="91">
        <v>0.41565394401550293</v>
      </c>
      <c r="AD16" s="91">
        <v>154.6513214111328</v>
      </c>
      <c r="AE16" s="94"/>
      <c r="AF16" s="94"/>
      <c r="AG16" s="94"/>
      <c r="AH16" s="94"/>
      <c r="AI16" s="94"/>
      <c r="AJ16" s="94"/>
      <c r="AK16" s="94"/>
      <c r="AL16" s="91">
        <v>0.1844618022441864</v>
      </c>
      <c r="AM16" s="95">
        <v>0.007949707098305225</v>
      </c>
      <c r="AN16" s="96">
        <v>59.31351089477539</v>
      </c>
      <c r="AO16" s="97"/>
      <c r="AP16" s="98">
        <v>-80.70023345947266</v>
      </c>
      <c r="AQ16" s="98">
        <v>0.28399884700775146</v>
      </c>
      <c r="AR16" s="99">
        <v>0.0002908630413003266</v>
      </c>
    </row>
    <row r="17" spans="2:44" ht="13.5" customHeight="1" x14ac:dyDescent="0.25">
      <c r="B17" s="14">
        <v>0.29166666666666669</v>
      </c>
      <c r="C17" s="91">
        <v>14.5363130569458</v>
      </c>
      <c r="D17" s="91">
        <v>19.775390625</v>
      </c>
      <c r="E17" s="91">
        <v>418.78790283203125</v>
      </c>
      <c r="F17" s="91">
        <v>0.33603906631469727</v>
      </c>
      <c r="G17" s="91">
        <v>0</v>
      </c>
      <c r="H17" s="92">
        <v>419.1732177734375</v>
      </c>
      <c r="I17" s="93">
        <v>19.874855041503906</v>
      </c>
      <c r="J17" s="91">
        <v>0.01994043029844761</v>
      </c>
      <c r="K17" s="91">
        <v>43.424476623535156</v>
      </c>
      <c r="L17" s="91">
        <v>1.3842774629592896</v>
      </c>
      <c r="M17" s="91">
        <v>109.8361587524414</v>
      </c>
      <c r="N17" s="91">
        <v>115.1837387084961</v>
      </c>
      <c r="O17" s="91">
        <v>20.17904281616211</v>
      </c>
      <c r="P17" s="91">
        <v>20.14501953125</v>
      </c>
      <c r="Q17" s="91"/>
      <c r="R17" s="91">
        <v>2.475341796875</v>
      </c>
      <c r="S17" s="91">
        <v>139.5760955810547</v>
      </c>
      <c r="T17" s="91">
        <v>1.62353515625</v>
      </c>
      <c r="U17" s="91">
        <v>0.29837465286254883</v>
      </c>
      <c r="V17" s="91">
        <v>0.29957813024520874</v>
      </c>
      <c r="W17" s="91">
        <v>90.78414154052734</v>
      </c>
      <c r="X17" s="91">
        <v>0.5304605960845947</v>
      </c>
      <c r="Y17" s="91" t="s">
        <v>82</v>
      </c>
      <c r="Z17" s="91">
        <v>0.74369215965271</v>
      </c>
      <c r="AA17" s="91">
        <v>150.78125</v>
      </c>
      <c r="AB17" s="91">
        <v>163.00636291503906</v>
      </c>
      <c r="AC17" s="91">
        <v>0.5483940839767456</v>
      </c>
      <c r="AD17" s="91">
        <v>155.41087341308594</v>
      </c>
      <c r="AE17" s="94"/>
      <c r="AF17" s="94"/>
      <c r="AG17" s="94"/>
      <c r="AH17" s="94"/>
      <c r="AI17" s="94"/>
      <c r="AJ17" s="94"/>
      <c r="AK17" s="94"/>
      <c r="AL17" s="91">
        <v>0</v>
      </c>
      <c r="AM17" s="95">
        <v>0.007738281041383743</v>
      </c>
      <c r="AN17" s="96">
        <v>57.85590362548828</v>
      </c>
      <c r="AO17" s="97"/>
      <c r="AP17" s="98">
        <v>-80.59896087646484</v>
      </c>
      <c r="AQ17" s="98">
        <v>0.29130497574806213</v>
      </c>
      <c r="AR17" s="99">
        <v>0.00029038239154033363</v>
      </c>
    </row>
    <row r="18" spans="2:44" ht="13.5" customHeight="1" x14ac:dyDescent="0.25">
      <c r="B18" s="42">
        <v>0.33333333333333331</v>
      </c>
      <c r="C18" s="100">
        <v>11.660879135131836</v>
      </c>
      <c r="D18" s="100">
        <v>20.019533157348633</v>
      </c>
      <c r="E18" s="100">
        <v>418.78790283203125</v>
      </c>
      <c r="F18" s="100">
        <v>0.19548436999320984</v>
      </c>
      <c r="G18" s="100">
        <v>0</v>
      </c>
      <c r="H18" s="101">
        <v>419.1732177734375</v>
      </c>
      <c r="I18" s="102">
        <v>30.83767318725586</v>
      </c>
      <c r="J18" s="100">
        <v>0.019516602158546448</v>
      </c>
      <c r="K18" s="100">
        <v>39.836517333984375</v>
      </c>
      <c r="L18" s="100">
        <v>1.249367117881775</v>
      </c>
      <c r="M18" s="100">
        <v>107.45442962646484</v>
      </c>
      <c r="N18" s="100">
        <v>113.14380645751953</v>
      </c>
      <c r="O18" s="100">
        <v>20.289470672607422</v>
      </c>
      <c r="P18" s="100">
        <v>20.16650390625</v>
      </c>
      <c r="Q18" s="100"/>
      <c r="R18" s="100">
        <v>2.52587890625</v>
      </c>
      <c r="S18" s="100">
        <v>139.5833282470703</v>
      </c>
      <c r="T18" s="100">
        <v>1.6187247037887573</v>
      </c>
      <c r="U18" s="100">
        <v>0.3037276566028595</v>
      </c>
      <c r="V18" s="100">
        <v>0.3000156283378601</v>
      </c>
      <c r="W18" s="100">
        <v>90.35734558105469</v>
      </c>
      <c r="X18" s="100">
        <v>0.5304556488990784</v>
      </c>
      <c r="Y18" s="100">
        <v>0.5303093194961548</v>
      </c>
      <c r="Z18" s="100">
        <v>0.7097800970077515</v>
      </c>
      <c r="AA18" s="100">
        <v>150.1302032470703</v>
      </c>
      <c r="AB18" s="100">
        <v>162.41319274902344</v>
      </c>
      <c r="AC18" s="100">
        <v>0.495659738779068</v>
      </c>
      <c r="AD18" s="100">
        <v>153.69647216796875</v>
      </c>
      <c r="AE18" s="103">
        <v>35.209999084472656</v>
      </c>
      <c r="AF18" s="103"/>
      <c r="AG18" s="103"/>
      <c r="AH18" s="103">
        <v>9.869999885559082</v>
      </c>
      <c r="AI18" s="103">
        <v>28.829999923706055</v>
      </c>
      <c r="AJ18" s="103">
        <v>8.600000381469727</v>
      </c>
      <c r="AK18" s="103">
        <v>6.829999923706055</v>
      </c>
      <c r="AL18" s="100">
        <v>8.488860130310059</v>
      </c>
      <c r="AM18" s="104">
        <v>0.0065161134116351604</v>
      </c>
      <c r="AN18" s="105">
        <v>55.226417541503906</v>
      </c>
      <c r="AO18" s="97"/>
      <c r="AP18" s="98">
        <v>-80.62065887451172</v>
      </c>
      <c r="AQ18" s="98">
        <v>0.27242475748062134</v>
      </c>
      <c r="AR18" s="106">
        <v>0.00029064941918477416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91">
        <v>-81.07638549804688</v>
      </c>
      <c r="D22" s="91">
        <v>-80.48321533203125</v>
      </c>
      <c r="E22" s="91">
        <v>103.125</v>
      </c>
      <c r="F22" s="91">
        <v>0.09910301119089127</v>
      </c>
      <c r="G22" s="91"/>
      <c r="H22" s="91"/>
      <c r="I22" s="91"/>
      <c r="J22" s="91"/>
      <c r="K22" s="91"/>
      <c r="L22" s="92"/>
      <c r="M22" s="107">
        <v>77.90436553955078</v>
      </c>
      <c r="N22" s="91">
        <v>47.72858810424805</v>
      </c>
      <c r="O22" s="91">
        <v>39.5</v>
      </c>
      <c r="P22" s="91">
        <v>22</v>
      </c>
      <c r="Q22" s="91">
        <v>3.573784828186035</v>
      </c>
      <c r="R22" s="91">
        <v>19.9905948638916</v>
      </c>
      <c r="S22" s="108">
        <v>90.59244537353516</v>
      </c>
      <c r="T22" s="108">
        <v>0</v>
      </c>
      <c r="U22" s="108">
        <v>0</v>
      </c>
      <c r="V22" s="108">
        <v>16.943359375</v>
      </c>
      <c r="W22" s="108">
        <v>62.61393356323242</v>
      </c>
      <c r="X22" s="108">
        <v>25</v>
      </c>
      <c r="Y22" s="108">
        <v>70.27922821044922</v>
      </c>
      <c r="Z22" s="108">
        <v>16.418909072875977</v>
      </c>
      <c r="AA22" s="108">
        <v>19.569229125976562</v>
      </c>
      <c r="AB22" s="108"/>
      <c r="AC22" s="95"/>
      <c r="AD22" s="95">
        <v>1.5482856035232544</v>
      </c>
      <c r="AE22" s="95"/>
      <c r="AF22" s="95">
        <v>20.721208572387695</v>
      </c>
      <c r="AG22" s="95">
        <v>21.339698791503906</v>
      </c>
      <c r="AH22" s="95"/>
      <c r="AI22" s="109"/>
      <c r="AJ22" s="109"/>
      <c r="AK22" s="109"/>
      <c r="AL22" s="109"/>
      <c r="AM22" s="109"/>
      <c r="AN22" s="95">
        <v>55.64236068725586</v>
      </c>
      <c r="AO22" s="96">
        <v>50</v>
      </c>
      <c r="AP22" s="97">
        <v>27.01822853088379</v>
      </c>
      <c r="AQ22" s="98">
        <v>40.16203689575195</v>
      </c>
      <c r="AR22" s="99">
        <v>0.05426025390625</v>
      </c>
    </row>
    <row r="23" spans="2:44" ht="13.5" customHeight="1" x14ac:dyDescent="0.25">
      <c r="B23" s="14">
        <v>0.875</v>
      </c>
      <c r="C23" s="91">
        <v>-81.03298950195312</v>
      </c>
      <c r="D23" s="91">
        <v>-80.51215362548828</v>
      </c>
      <c r="E23" s="91">
        <v>103.12861633300781</v>
      </c>
      <c r="F23" s="91">
        <v>0.10626447200775146</v>
      </c>
      <c r="G23" s="91">
        <v>9.369659528601915E-05</v>
      </c>
      <c r="H23" s="91"/>
      <c r="I23" s="91"/>
      <c r="J23" s="91"/>
      <c r="K23" s="91"/>
      <c r="L23" s="92"/>
      <c r="M23" s="107">
        <v>78.16840362548828</v>
      </c>
      <c r="N23" s="91">
        <v>47.47178649902344</v>
      </c>
      <c r="O23" s="91">
        <v>39.5</v>
      </c>
      <c r="P23" s="91">
        <v>22</v>
      </c>
      <c r="Q23" s="91">
        <v>3.59375</v>
      </c>
      <c r="R23" s="91">
        <v>20.026763916015625</v>
      </c>
      <c r="S23" s="108">
        <v>91.9234619140625</v>
      </c>
      <c r="T23" s="108">
        <v>0</v>
      </c>
      <c r="U23" s="108">
        <v>0</v>
      </c>
      <c r="V23" s="108">
        <v>18.202041625976562</v>
      </c>
      <c r="W23" s="108">
        <v>60.161678314208984</v>
      </c>
      <c r="X23" s="108">
        <v>25</v>
      </c>
      <c r="Y23" s="108">
        <v>70.83984375</v>
      </c>
      <c r="Z23" s="108">
        <v>16.131364822387695</v>
      </c>
      <c r="AA23" s="108">
        <v>19.265409469604492</v>
      </c>
      <c r="AB23" s="108"/>
      <c r="AC23" s="95"/>
      <c r="AD23" s="95">
        <v>0</v>
      </c>
      <c r="AE23" s="95">
        <v>0.0014774780720472336</v>
      </c>
      <c r="AF23" s="95">
        <v>20.51866340637207</v>
      </c>
      <c r="AG23" s="95">
        <v>21.708621978759766</v>
      </c>
      <c r="AH23" s="95"/>
      <c r="AI23" s="109"/>
      <c r="AJ23" s="109"/>
      <c r="AK23" s="109"/>
      <c r="AL23" s="109"/>
      <c r="AM23" s="109"/>
      <c r="AN23" s="95">
        <v>54.33304214477539</v>
      </c>
      <c r="AO23" s="96">
        <v>50</v>
      </c>
      <c r="AP23" s="97">
        <v>27.081523895263672</v>
      </c>
      <c r="AQ23" s="98">
        <v>41.9921875</v>
      </c>
      <c r="AR23" s="99">
        <v>0.0651092529296875</v>
      </c>
    </row>
    <row r="24" spans="2:44" ht="13.5" customHeight="1" x14ac:dyDescent="0.25">
      <c r="B24" s="41" t="s">
        <v>271</v>
      </c>
      <c r="C24" s="91">
        <v>-81.08362579345703</v>
      </c>
      <c r="D24" s="91">
        <v>-80.49044799804688</v>
      </c>
      <c r="E24" s="91">
        <v>103.12861633300781</v>
      </c>
      <c r="F24" s="91">
        <v>0.1017795130610466</v>
      </c>
      <c r="G24" s="91">
        <v>9.559059253660962E-05</v>
      </c>
      <c r="H24" s="91"/>
      <c r="I24" s="91"/>
      <c r="J24" s="91"/>
      <c r="K24" s="91"/>
      <c r="L24" s="92"/>
      <c r="M24" s="107">
        <v>78.67838287353516</v>
      </c>
      <c r="N24" s="91">
        <v>47.99262237548828</v>
      </c>
      <c r="O24" s="91">
        <v>39.5</v>
      </c>
      <c r="P24" s="91">
        <v>22</v>
      </c>
      <c r="Q24" s="91">
        <v>3.316840410232544</v>
      </c>
      <c r="R24" s="91">
        <v>19.581886291503906</v>
      </c>
      <c r="S24" s="108">
        <v>91.89814758300781</v>
      </c>
      <c r="T24" s="108">
        <v>0</v>
      </c>
      <c r="U24" s="108">
        <v>0</v>
      </c>
      <c r="V24" s="108">
        <v>18.59809112548828</v>
      </c>
      <c r="W24" s="108">
        <v>57.861331939697266</v>
      </c>
      <c r="X24" s="108">
        <v>25</v>
      </c>
      <c r="Y24" s="108">
        <v>70.3240737915039</v>
      </c>
      <c r="Z24" s="108">
        <v>15.597872734069824</v>
      </c>
      <c r="AA24" s="108">
        <v>18.84765625</v>
      </c>
      <c r="AB24" s="108"/>
      <c r="AC24" s="95"/>
      <c r="AD24" s="95">
        <v>1.54833984375</v>
      </c>
      <c r="AE24" s="95">
        <v>0.0013854980934411287</v>
      </c>
      <c r="AF24" s="95">
        <v>21.220340728759766</v>
      </c>
      <c r="AG24" s="95">
        <v>15.303095817565918</v>
      </c>
      <c r="AH24" s="95"/>
      <c r="AI24" s="109"/>
      <c r="AJ24" s="109"/>
      <c r="AK24" s="109"/>
      <c r="AL24" s="109"/>
      <c r="AM24" s="109"/>
      <c r="AN24" s="95">
        <v>53.0671272277832</v>
      </c>
      <c r="AO24" s="96">
        <v>50</v>
      </c>
      <c r="AP24" s="97">
        <v>27.01822853088379</v>
      </c>
      <c r="AQ24" s="98">
        <v>39.95949172973633</v>
      </c>
      <c r="AR24" s="99">
        <v>0.0651092529296875</v>
      </c>
    </row>
    <row r="25" spans="2:44" ht="13.5" customHeight="1" x14ac:dyDescent="0.25">
      <c r="B25" s="14">
        <v>0.95833333333333337</v>
      </c>
      <c r="C25" s="91">
        <v>-80.65682983398438</v>
      </c>
      <c r="D25" s="91">
        <v>-79.99855041503906</v>
      </c>
      <c r="E25" s="91">
        <v>103.12861633300781</v>
      </c>
      <c r="F25" s="91">
        <v>0.09121817350387573</v>
      </c>
      <c r="G25" s="91">
        <v>9.294509800383821E-05</v>
      </c>
      <c r="H25" s="91"/>
      <c r="I25" s="91"/>
      <c r="J25" s="91"/>
      <c r="K25" s="91"/>
      <c r="L25" s="92"/>
      <c r="M25" s="107">
        <v>79.7670669555664</v>
      </c>
      <c r="N25" s="91">
        <v>47.815391540527344</v>
      </c>
      <c r="O25" s="91">
        <v>39.5</v>
      </c>
      <c r="P25" s="91">
        <v>22</v>
      </c>
      <c r="Q25" s="91">
        <v>3.688368082046509</v>
      </c>
      <c r="R25" s="91">
        <v>19.41189193725586</v>
      </c>
      <c r="S25" s="108">
        <v>91.47496795654297</v>
      </c>
      <c r="T25" s="108">
        <v>0</v>
      </c>
      <c r="U25" s="108">
        <v>0</v>
      </c>
      <c r="V25" s="108">
        <v>18.46788215637207</v>
      </c>
      <c r="W25" s="108">
        <v>55.80512237548828</v>
      </c>
      <c r="X25" s="108">
        <v>25</v>
      </c>
      <c r="Y25" s="108">
        <v>70.49786376953125</v>
      </c>
      <c r="Z25" s="108">
        <v>15.275969505310059</v>
      </c>
      <c r="AA25" s="108">
        <v>18.603515625</v>
      </c>
      <c r="AB25" s="108"/>
      <c r="AC25" s="95"/>
      <c r="AD25" s="95">
        <v>1.54833984375</v>
      </c>
      <c r="AE25" s="95">
        <v>0.0015361327677965164</v>
      </c>
      <c r="AF25" s="95">
        <v>20.92013931274414</v>
      </c>
      <c r="AG25" s="95">
        <v>17.55642318725586</v>
      </c>
      <c r="AH25" s="95"/>
      <c r="AI25" s="109"/>
      <c r="AJ25" s="109"/>
      <c r="AK25" s="109"/>
      <c r="AL25" s="109"/>
      <c r="AM25" s="109"/>
      <c r="AN25" s="95">
        <v>51.93142318725586</v>
      </c>
      <c r="AO25" s="96">
        <v>50</v>
      </c>
      <c r="AP25" s="97">
        <v>26.85546875</v>
      </c>
      <c r="AQ25" s="98">
        <v>39.7858772277832</v>
      </c>
      <c r="AR25" s="99">
        <v>0.0868072509765625</v>
      </c>
    </row>
    <row r="26" spans="2:44" ht="13.5" customHeight="1" x14ac:dyDescent="0.25">
      <c r="B26" s="41" t="s">
        <v>272</v>
      </c>
      <c r="C26" s="91">
        <v>-80.64236450195312</v>
      </c>
      <c r="D26" s="91">
        <v>-80.02025604248047</v>
      </c>
      <c r="E26" s="91">
        <v>103.12861633300781</v>
      </c>
      <c r="F26" s="91">
        <v>0.10033275187015533</v>
      </c>
      <c r="G26" s="91">
        <v>9.297943324781954E-05</v>
      </c>
      <c r="H26" s="91"/>
      <c r="I26" s="91"/>
      <c r="J26" s="91"/>
      <c r="K26" s="91"/>
      <c r="L26" s="92"/>
      <c r="M26" s="107">
        <v>80.47236633300781</v>
      </c>
      <c r="N26" s="91">
        <v>47.913047790527344</v>
      </c>
      <c r="O26" s="91">
        <v>39.5</v>
      </c>
      <c r="P26" s="91">
        <v>22</v>
      </c>
      <c r="Q26" s="91">
        <v>3.7209200859069824</v>
      </c>
      <c r="R26" s="91">
        <v>19.299768447875977</v>
      </c>
      <c r="S26" s="108">
        <v>94.49146270751953</v>
      </c>
      <c r="T26" s="108">
        <v>0</v>
      </c>
      <c r="U26" s="108">
        <v>0</v>
      </c>
      <c r="V26" s="108">
        <v>18.337675094604492</v>
      </c>
      <c r="W26" s="108">
        <v>53.857425689697266</v>
      </c>
      <c r="X26" s="108">
        <v>25</v>
      </c>
      <c r="Y26" s="108">
        <v>70.26801300048828</v>
      </c>
      <c r="Z26" s="108">
        <v>14.993850708007812</v>
      </c>
      <c r="AA26" s="108">
        <v>18.52756118774414</v>
      </c>
      <c r="AB26" s="108"/>
      <c r="AC26" s="95"/>
      <c r="AD26" s="95">
        <v>1.5482856035232544</v>
      </c>
      <c r="AE26" s="95">
        <v>0.001486236578784883</v>
      </c>
      <c r="AF26" s="95">
        <v>20.912904739379883</v>
      </c>
      <c r="AG26" s="95">
        <v>18.410011291503906</v>
      </c>
      <c r="AH26" s="95"/>
      <c r="AI26" s="109"/>
      <c r="AJ26" s="109"/>
      <c r="AK26" s="109"/>
      <c r="AL26" s="109"/>
      <c r="AM26" s="109"/>
      <c r="AN26" s="95">
        <v>51.005496978759766</v>
      </c>
      <c r="AO26" s="96">
        <v>50</v>
      </c>
      <c r="AP26" s="97">
        <v>26.575159072875977</v>
      </c>
      <c r="AQ26" s="98">
        <v>39.738861083984375</v>
      </c>
      <c r="AR26" s="99">
        <v>0.05426025390625</v>
      </c>
    </row>
    <row r="27" spans="2:44" ht="13.5" customHeight="1" x14ac:dyDescent="0.25">
      <c r="B27" s="14">
        <v>4.1666666666666664E-2</v>
      </c>
      <c r="C27" s="91">
        <v>-80.6351318359375</v>
      </c>
      <c r="D27" s="91">
        <v>-79.99131774902344</v>
      </c>
      <c r="E27" s="91">
        <v>103.12861633300781</v>
      </c>
      <c r="F27" s="91">
        <v>0.06372974812984467</v>
      </c>
      <c r="G27" s="91">
        <v>9.97829411062412E-05</v>
      </c>
      <c r="H27" s="91"/>
      <c r="I27" s="91"/>
      <c r="J27" s="91"/>
      <c r="K27" s="91"/>
      <c r="L27" s="92"/>
      <c r="M27" s="107">
        <v>79.31857299804688</v>
      </c>
      <c r="N27" s="91">
        <v>47.79007339477539</v>
      </c>
      <c r="O27" s="91">
        <v>39.5</v>
      </c>
      <c r="P27" s="91">
        <v>22</v>
      </c>
      <c r="Q27" s="91">
        <v>3.6197917461395264</v>
      </c>
      <c r="R27" s="91">
        <v>19.122539520263672</v>
      </c>
      <c r="S27" s="108">
        <v>92.11515808105469</v>
      </c>
      <c r="T27" s="108">
        <v>0</v>
      </c>
      <c r="U27" s="108">
        <v>0</v>
      </c>
      <c r="V27" s="108">
        <v>19.35763931274414</v>
      </c>
      <c r="W27" s="108">
        <v>48.06857681274414</v>
      </c>
      <c r="X27" s="108">
        <v>25</v>
      </c>
      <c r="Y27" s="108">
        <v>69.83072662353516</v>
      </c>
      <c r="Z27" s="108">
        <v>14.907045364379883</v>
      </c>
      <c r="AA27" s="108">
        <v>18.44075584411621</v>
      </c>
      <c r="AB27" s="108"/>
      <c r="AC27" s="95"/>
      <c r="AD27" s="95">
        <v>0</v>
      </c>
      <c r="AE27" s="95">
        <v>0.001080718939192593</v>
      </c>
      <c r="AF27" s="95">
        <v>21.122684478759766</v>
      </c>
      <c r="AG27" s="95">
        <v>17.834924697875977</v>
      </c>
      <c r="AH27" s="95"/>
      <c r="AI27" s="109"/>
      <c r="AJ27" s="109"/>
      <c r="AK27" s="109"/>
      <c r="AL27" s="109"/>
      <c r="AM27" s="109"/>
      <c r="AN27" s="95">
        <v>46.730323791503906</v>
      </c>
      <c r="AO27" s="96">
        <v>50</v>
      </c>
      <c r="AP27" s="97">
        <v>26.42144012451172</v>
      </c>
      <c r="AQ27" s="98">
        <v>39.872684478759766</v>
      </c>
      <c r="AR27" s="99">
        <v>0.0651092529296875</v>
      </c>
    </row>
    <row r="28" spans="2:44" ht="13.5" customHeight="1" x14ac:dyDescent="0.25">
      <c r="B28" s="41" t="s">
        <v>273</v>
      </c>
      <c r="C28" s="91">
        <v>-80.67129516601562</v>
      </c>
      <c r="D28" s="91">
        <v>-80.01302337646484</v>
      </c>
      <c r="E28" s="91">
        <v>103.13223266601562</v>
      </c>
      <c r="F28" s="91">
        <v>0.09794560074806213</v>
      </c>
      <c r="G28" s="91">
        <v>9.570694237481803E-05</v>
      </c>
      <c r="H28" s="91"/>
      <c r="I28" s="91"/>
      <c r="J28" s="91"/>
      <c r="K28" s="91"/>
      <c r="L28" s="92"/>
      <c r="M28" s="107">
        <v>78.58072662353516</v>
      </c>
      <c r="N28" s="91">
        <v>47.63454818725586</v>
      </c>
      <c r="O28" s="91">
        <v>39.5</v>
      </c>
      <c r="P28" s="91">
        <v>22</v>
      </c>
      <c r="Q28" s="91">
        <v>3.524305582046509</v>
      </c>
      <c r="R28" s="91">
        <v>19.288917541503906</v>
      </c>
      <c r="S28" s="108">
        <v>93.81148529052734</v>
      </c>
      <c r="T28" s="108">
        <v>0</v>
      </c>
      <c r="U28" s="108">
        <v>0</v>
      </c>
      <c r="V28" s="108">
        <v>19.63433265686035</v>
      </c>
      <c r="W28" s="108">
        <v>46.8370246887207</v>
      </c>
      <c r="X28" s="108">
        <v>25</v>
      </c>
      <c r="Y28" s="108">
        <v>70.48665618896484</v>
      </c>
      <c r="Z28" s="108">
        <v>14.798538208007812</v>
      </c>
      <c r="AA28" s="108">
        <v>18.63606834411621</v>
      </c>
      <c r="AB28" s="108"/>
      <c r="AC28" s="95"/>
      <c r="AD28" s="95">
        <v>1.5483940839767456</v>
      </c>
      <c r="AE28" s="95">
        <v>0.0015197753673419356</v>
      </c>
      <c r="AF28" s="95">
        <v>20.923755645751953</v>
      </c>
      <c r="AG28" s="95">
        <v>16.630496978759766</v>
      </c>
      <c r="AH28" s="95"/>
      <c r="AI28" s="109"/>
      <c r="AJ28" s="109"/>
      <c r="AK28" s="109"/>
      <c r="AL28" s="109"/>
      <c r="AM28" s="109"/>
      <c r="AN28" s="95">
        <v>45.42824172973633</v>
      </c>
      <c r="AO28" s="96">
        <v>50</v>
      </c>
      <c r="AP28" s="97">
        <v>26.294849395751953</v>
      </c>
      <c r="AQ28" s="98">
        <v>39.80034637451172</v>
      </c>
      <c r="AR28" s="99">
        <v>0.10851287841796875</v>
      </c>
    </row>
    <row r="29" spans="2:44" ht="13.5" customHeight="1" x14ac:dyDescent="0.25">
      <c r="B29" s="14">
        <v>0.125</v>
      </c>
      <c r="C29" s="91">
        <v>-80.859375</v>
      </c>
      <c r="D29" s="91">
        <v>-80.00578308105469</v>
      </c>
      <c r="E29" s="91">
        <v>103.12861633300781</v>
      </c>
      <c r="F29" s="91">
        <v>0.09924768656492233</v>
      </c>
      <c r="G29" s="91">
        <v>8.875846833689138E-05</v>
      </c>
      <c r="H29" s="91"/>
      <c r="I29" s="91"/>
      <c r="J29" s="91"/>
      <c r="K29" s="91"/>
      <c r="L29" s="92"/>
      <c r="M29" s="107">
        <v>79.65494537353516</v>
      </c>
      <c r="N29" s="91">
        <v>47.39583206176758</v>
      </c>
      <c r="O29" s="91">
        <v>39.5</v>
      </c>
      <c r="P29" s="91">
        <v>22</v>
      </c>
      <c r="Q29" s="91">
        <v>2.761284828186035</v>
      </c>
      <c r="R29" s="91">
        <v>19.350404739379883</v>
      </c>
      <c r="S29" s="108">
        <v>94.65060424804688</v>
      </c>
      <c r="T29" s="108">
        <v>0</v>
      </c>
      <c r="U29" s="108">
        <v>0</v>
      </c>
      <c r="V29" s="108">
        <v>19.216581344604492</v>
      </c>
      <c r="W29" s="108">
        <v>46.77191925048828</v>
      </c>
      <c r="X29" s="108">
        <v>25</v>
      </c>
      <c r="Y29" s="108">
        <v>70.04936981201172</v>
      </c>
      <c r="Z29" s="108">
        <v>14.6827974319458</v>
      </c>
      <c r="AA29" s="108">
        <v>18.679471969604492</v>
      </c>
      <c r="AB29" s="108"/>
      <c r="AC29" s="95"/>
      <c r="AD29" s="95">
        <v>1.54833984375</v>
      </c>
      <c r="AE29" s="95">
        <v>0.0015453796368092299</v>
      </c>
      <c r="AF29" s="95">
        <v>20.75737762451172</v>
      </c>
      <c r="AG29" s="95">
        <v>20.775463104248047</v>
      </c>
      <c r="AH29" s="95"/>
      <c r="AI29" s="109"/>
      <c r="AJ29" s="109"/>
      <c r="AK29" s="109"/>
      <c r="AL29" s="109"/>
      <c r="AM29" s="109"/>
      <c r="AN29" s="95">
        <v>45.066551208496094</v>
      </c>
      <c r="AO29" s="96">
        <v>50</v>
      </c>
      <c r="AP29" s="97">
        <v>26.240596771240234</v>
      </c>
      <c r="AQ29" s="98">
        <v>39.81843185424805</v>
      </c>
      <c r="AR29" s="99">
        <v>0.0868072509765625</v>
      </c>
    </row>
    <row r="30" spans="2:44" ht="13.5" customHeight="1" x14ac:dyDescent="0.25">
      <c r="B30" s="14">
        <v>0.16666666666666666</v>
      </c>
      <c r="C30" s="91">
        <v>-80.76533508300781</v>
      </c>
      <c r="D30" s="91">
        <v>-79.97685241699219</v>
      </c>
      <c r="E30" s="91">
        <v>103.13584899902344</v>
      </c>
      <c r="F30" s="91">
        <v>0.08015046268701553</v>
      </c>
      <c r="G30" s="91">
        <v>9.363174467580393E-05</v>
      </c>
      <c r="H30" s="91"/>
      <c r="I30" s="91"/>
      <c r="J30" s="91"/>
      <c r="K30" s="91"/>
      <c r="L30" s="92"/>
      <c r="M30" s="107">
        <v>78.96773529052734</v>
      </c>
      <c r="N30" s="91">
        <v>47.81177520751953</v>
      </c>
      <c r="O30" s="91">
        <v>39.5</v>
      </c>
      <c r="P30" s="91">
        <v>22</v>
      </c>
      <c r="Q30" s="91">
        <v>3.2135417461395264</v>
      </c>
      <c r="R30" s="91">
        <v>19.41189193725586</v>
      </c>
      <c r="S30" s="108">
        <v>96.89308166503906</v>
      </c>
      <c r="T30" s="108">
        <v>0</v>
      </c>
      <c r="U30" s="108">
        <v>0</v>
      </c>
      <c r="V30" s="108">
        <v>18.76085090637207</v>
      </c>
      <c r="W30" s="108">
        <v>57.12348175048828</v>
      </c>
      <c r="X30" s="108">
        <v>25</v>
      </c>
      <c r="Y30" s="108">
        <v>69.68496704101562</v>
      </c>
      <c r="Z30" s="108">
        <v>14.239727973937988</v>
      </c>
      <c r="AA30" s="108">
        <v>18.75</v>
      </c>
      <c r="AB30" s="108"/>
      <c r="AC30" s="95"/>
      <c r="AD30" s="95">
        <v>1.54833984375</v>
      </c>
      <c r="AE30" s="95">
        <v>0.001428771996870637</v>
      </c>
      <c r="AF30" s="95">
        <v>20.894821166992188</v>
      </c>
      <c r="AG30" s="95">
        <v>18.026620864868164</v>
      </c>
      <c r="AH30" s="95"/>
      <c r="AI30" s="109"/>
      <c r="AJ30" s="109"/>
      <c r="AK30" s="109"/>
      <c r="AL30" s="109"/>
      <c r="AM30" s="109"/>
      <c r="AN30" s="95">
        <v>50.593170166015625</v>
      </c>
      <c r="AO30" s="96">
        <v>50</v>
      </c>
      <c r="AP30" s="97">
        <v>26.141130447387695</v>
      </c>
      <c r="AQ30" s="98">
        <v>39.641204833984375</v>
      </c>
      <c r="AR30" s="99">
        <v>0.075958251953125</v>
      </c>
    </row>
    <row r="31" spans="2:44" ht="13.5" customHeight="1" x14ac:dyDescent="0.25">
      <c r="B31" s="14">
        <v>0.20833333333333334</v>
      </c>
      <c r="C31" s="91">
        <v>-80.75810241699219</v>
      </c>
      <c r="D31" s="91">
        <v>-79.99131774902344</v>
      </c>
      <c r="E31" s="91">
        <v>103.12861633300781</v>
      </c>
      <c r="F31" s="91">
        <v>0.07544849812984467</v>
      </c>
      <c r="G31" s="91">
        <v>9.277724893763661E-05</v>
      </c>
      <c r="H31" s="91"/>
      <c r="I31" s="91"/>
      <c r="J31" s="91"/>
      <c r="K31" s="91"/>
      <c r="L31" s="92"/>
      <c r="M31" s="107">
        <v>77.87543487548828</v>
      </c>
      <c r="N31" s="91">
        <v>47.7430534362793</v>
      </c>
      <c r="O31" s="91">
        <v>39.5</v>
      </c>
      <c r="P31" s="91">
        <v>22</v>
      </c>
      <c r="Q31" s="91">
        <v>3.6896700859069824</v>
      </c>
      <c r="R31" s="91">
        <v>19.419126510620117</v>
      </c>
      <c r="S31" s="108">
        <v>91.95963287353516</v>
      </c>
      <c r="T31" s="108">
        <v>0</v>
      </c>
      <c r="U31" s="108">
        <v>0</v>
      </c>
      <c r="V31" s="108">
        <v>23.30186653137207</v>
      </c>
      <c r="W31" s="108">
        <v>62.87977600097656</v>
      </c>
      <c r="X31" s="108">
        <v>25.5</v>
      </c>
      <c r="Y31" s="108">
        <v>71.38925170898438</v>
      </c>
      <c r="Z31" s="108">
        <v>13.892505645751953</v>
      </c>
      <c r="AA31" s="108">
        <v>18.77170181274414</v>
      </c>
      <c r="AB31" s="108"/>
      <c r="AC31" s="95"/>
      <c r="AD31" s="95">
        <v>1.5483940839767456</v>
      </c>
      <c r="AE31" s="95">
        <v>0.0015486144693568349</v>
      </c>
      <c r="AF31" s="95">
        <v>20.84418296813965</v>
      </c>
      <c r="AG31" s="95">
        <v>21.509693145751953</v>
      </c>
      <c r="AH31" s="95"/>
      <c r="AI31" s="109"/>
      <c r="AJ31" s="109"/>
      <c r="AK31" s="109"/>
      <c r="AL31" s="109"/>
      <c r="AM31" s="109"/>
      <c r="AN31" s="95">
        <v>58.203125</v>
      </c>
      <c r="AO31" s="96">
        <v>50</v>
      </c>
      <c r="AP31" s="97">
        <v>26.005496978759766</v>
      </c>
      <c r="AQ31" s="98">
        <v>39.717159271240234</v>
      </c>
      <c r="AR31" s="99">
        <v>0.0868072509765625</v>
      </c>
    </row>
    <row r="32" spans="2:44" ht="13.5" customHeight="1" x14ac:dyDescent="0.25">
      <c r="B32" s="14">
        <v>0.25</v>
      </c>
      <c r="C32" s="91">
        <v>-80.70023345947266</v>
      </c>
      <c r="D32" s="91">
        <v>-80.01302337646484</v>
      </c>
      <c r="E32" s="91">
        <v>103.12861633300781</v>
      </c>
      <c r="F32" s="91">
        <v>0.08557581156492233</v>
      </c>
      <c r="G32" s="91">
        <v>9.797859092941508E-05</v>
      </c>
      <c r="H32" s="91"/>
      <c r="I32" s="91"/>
      <c r="J32" s="91"/>
      <c r="K32" s="91"/>
      <c r="L32" s="92"/>
      <c r="M32" s="107">
        <v>79.3438949584961</v>
      </c>
      <c r="N32" s="91">
        <v>47.71050262451172</v>
      </c>
      <c r="O32" s="91">
        <v>39.5</v>
      </c>
      <c r="P32" s="91">
        <v>22</v>
      </c>
      <c r="Q32" s="91">
        <v>3.63671875</v>
      </c>
      <c r="R32" s="91">
        <v>19.4046573638916</v>
      </c>
      <c r="S32" s="108">
        <v>94.4625244140625</v>
      </c>
      <c r="T32" s="108">
        <v>0</v>
      </c>
      <c r="U32" s="108">
        <v>0</v>
      </c>
      <c r="V32" s="108">
        <v>23.28559112548828</v>
      </c>
      <c r="W32" s="108">
        <v>61.816410064697266</v>
      </c>
      <c r="X32" s="108">
        <v>25.5</v>
      </c>
      <c r="Y32" s="108">
        <v>71.12576293945312</v>
      </c>
      <c r="Z32" s="108">
        <v>13.727936744689941</v>
      </c>
      <c r="AA32" s="108">
        <v>18.67404556274414</v>
      </c>
      <c r="AB32" s="108"/>
      <c r="AC32" s="95"/>
      <c r="AD32" s="95">
        <v>1.5482856035232544</v>
      </c>
      <c r="AE32" s="95">
        <v>0.0014879150548949838</v>
      </c>
      <c r="AF32" s="95">
        <v>21.03949546813965</v>
      </c>
      <c r="AG32" s="95">
        <v>17.097076416015625</v>
      </c>
      <c r="AH32" s="95"/>
      <c r="AI32" s="109"/>
      <c r="AJ32" s="109"/>
      <c r="AK32" s="109"/>
      <c r="AL32" s="109"/>
      <c r="AM32" s="109"/>
      <c r="AN32" s="95">
        <v>58.463539123535156</v>
      </c>
      <c r="AO32" s="96">
        <v>50</v>
      </c>
      <c r="AP32" s="97">
        <v>25.915075302124023</v>
      </c>
      <c r="AQ32" s="98">
        <v>39.67375564575195</v>
      </c>
      <c r="AR32" s="99">
        <v>0.0868072509765625</v>
      </c>
    </row>
    <row r="33" spans="2:44" ht="13.5" customHeight="1" x14ac:dyDescent="0.25">
      <c r="B33" s="14">
        <v>0.29166666666666669</v>
      </c>
      <c r="C33" s="91">
        <v>-80.59896087646484</v>
      </c>
      <c r="D33" s="91">
        <v>-79.98408508300781</v>
      </c>
      <c r="E33" s="91">
        <v>103.125</v>
      </c>
      <c r="F33" s="91">
        <v>0.07776331156492233</v>
      </c>
      <c r="G33" s="91">
        <v>0.00010086441034218296</v>
      </c>
      <c r="H33" s="91"/>
      <c r="I33" s="91"/>
      <c r="J33" s="91"/>
      <c r="K33" s="91"/>
      <c r="L33" s="92"/>
      <c r="M33" s="107">
        <v>79.86834716796875</v>
      </c>
      <c r="N33" s="91">
        <v>47.59114456176758</v>
      </c>
      <c r="O33" s="91">
        <v>39.5</v>
      </c>
      <c r="P33" s="91">
        <v>22</v>
      </c>
      <c r="Q33" s="91">
        <v>3.7018229961395264</v>
      </c>
      <c r="R33" s="91">
        <v>19.288917541503906</v>
      </c>
      <c r="S33" s="108">
        <v>92.83130645751953</v>
      </c>
      <c r="T33" s="108">
        <v>0</v>
      </c>
      <c r="U33" s="108">
        <v>0</v>
      </c>
      <c r="V33" s="108">
        <v>22.32530403137207</v>
      </c>
      <c r="W33" s="108">
        <v>60.34071350097656</v>
      </c>
      <c r="X33" s="108">
        <v>25.5</v>
      </c>
      <c r="Y33" s="108">
        <v>71.62471008300781</v>
      </c>
      <c r="Z33" s="108">
        <v>13.73155403137207</v>
      </c>
      <c r="AA33" s="108">
        <v>18.60894203186035</v>
      </c>
      <c r="AB33" s="108"/>
      <c r="AC33" s="95"/>
      <c r="AD33" s="95">
        <v>1.54833984375</v>
      </c>
      <c r="AE33" s="95">
        <v>0.001387725817039609</v>
      </c>
      <c r="AF33" s="95">
        <v>21.307146072387695</v>
      </c>
      <c r="AG33" s="95">
        <v>22.649015426635742</v>
      </c>
      <c r="AH33" s="95"/>
      <c r="AI33" s="109"/>
      <c r="AJ33" s="109"/>
      <c r="AK33" s="109"/>
      <c r="AL33" s="109"/>
      <c r="AM33" s="109"/>
      <c r="AN33" s="95">
        <v>57.43634033203125</v>
      </c>
      <c r="AO33" s="96">
        <v>50</v>
      </c>
      <c r="AP33" s="97">
        <v>25.74327278137207</v>
      </c>
      <c r="AQ33" s="98">
        <v>39.69184112548828</v>
      </c>
      <c r="AR33" s="99">
        <v>0.09766387939453125</v>
      </c>
    </row>
    <row r="34" spans="2:44" ht="13.5" customHeight="1" x14ac:dyDescent="0.25">
      <c r="B34" s="42">
        <v>0.33333333333333331</v>
      </c>
      <c r="C34" s="100">
        <v>-80.62065887451172</v>
      </c>
      <c r="D34" s="100">
        <v>-80.00578308105469</v>
      </c>
      <c r="E34" s="100">
        <v>103.12861633300781</v>
      </c>
      <c r="F34" s="100">
        <v>0.0462239570915699</v>
      </c>
      <c r="G34" s="100">
        <v>9.431457874597982E-05</v>
      </c>
      <c r="H34" s="100"/>
      <c r="I34" s="100"/>
      <c r="J34" s="100">
        <v>1544</v>
      </c>
      <c r="K34" s="100"/>
      <c r="L34" s="101"/>
      <c r="M34" s="110">
        <v>78.39264678955078</v>
      </c>
      <c r="N34" s="100">
        <v>47.79007339477539</v>
      </c>
      <c r="O34" s="100">
        <v>39.5</v>
      </c>
      <c r="P34" s="100">
        <v>22</v>
      </c>
      <c r="Q34" s="100">
        <v>3.582465410232544</v>
      </c>
      <c r="R34" s="100">
        <v>19.115306854248047</v>
      </c>
      <c r="S34" s="111">
        <v>94.28168487548828</v>
      </c>
      <c r="T34" s="111">
        <v>0</v>
      </c>
      <c r="U34" s="111">
        <v>0</v>
      </c>
      <c r="V34" s="111">
        <v>21.891277313232422</v>
      </c>
      <c r="W34" s="111">
        <v>57.329647064208984</v>
      </c>
      <c r="X34" s="111">
        <v>29</v>
      </c>
      <c r="Y34" s="111">
        <v>80.78523254394531</v>
      </c>
      <c r="Z34" s="111">
        <v>13.525390625</v>
      </c>
      <c r="AA34" s="111">
        <v>18.603515625</v>
      </c>
      <c r="AB34" s="111"/>
      <c r="AC34" s="104"/>
      <c r="AD34" s="104">
        <v>1.54833984375</v>
      </c>
      <c r="AE34" s="104">
        <v>0.0006807861500419676</v>
      </c>
      <c r="AF34" s="104">
        <v>20.847801208496094</v>
      </c>
      <c r="AG34" s="104">
        <v>42.444297790527344</v>
      </c>
      <c r="AH34" s="104"/>
      <c r="AI34" s="112"/>
      <c r="AJ34" s="112"/>
      <c r="AK34" s="112"/>
      <c r="AL34" s="112"/>
      <c r="AM34" s="112"/>
      <c r="AN34" s="104">
        <v>56.32957077026367</v>
      </c>
      <c r="AO34" s="105">
        <v>50</v>
      </c>
      <c r="AP34" s="113">
        <v>25.74327278137207</v>
      </c>
      <c r="AQ34" s="114">
        <v>39.7858772277832</v>
      </c>
      <c r="AR34" s="115">
        <v>0.09766387939453125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87">
        <v>0</v>
      </c>
      <c r="D39" s="87"/>
      <c r="E39" s="87">
        <v>39.518226623535156</v>
      </c>
      <c r="F39" s="87"/>
      <c r="G39" s="87"/>
      <c r="H39" s="87">
        <v>0</v>
      </c>
      <c r="I39" s="87"/>
      <c r="J39" s="87">
        <v>26.23155403137207</v>
      </c>
      <c r="K39" s="87">
        <v>40</v>
      </c>
      <c r="L39" s="87">
        <v>44.05381774902344</v>
      </c>
      <c r="M39" s="87">
        <v>0</v>
      </c>
      <c r="N39" s="87"/>
      <c r="O39" s="87">
        <v>29.26974868774414</v>
      </c>
      <c r="P39" s="87">
        <v>0.05000000074505806</v>
      </c>
      <c r="Q39" s="87">
        <v>0.18460647761821747</v>
      </c>
      <c r="R39" s="87"/>
      <c r="S39" s="87">
        <v>0</v>
      </c>
      <c r="T39" s="87"/>
      <c r="U39" s="88">
        <v>0</v>
      </c>
      <c r="V39" s="89"/>
      <c r="W39" s="90">
        <v>97.88410949707031</v>
      </c>
      <c r="X39" s="88">
        <v>16.388164520263672</v>
      </c>
      <c r="Y39" s="88">
        <v>30</v>
      </c>
      <c r="Z39" s="88">
        <v>0</v>
      </c>
      <c r="AA39" s="88">
        <v>16.943359375</v>
      </c>
      <c r="AB39" s="88">
        <v>62.61393356323242</v>
      </c>
      <c r="AC39" s="88">
        <v>35</v>
      </c>
      <c r="AD39" s="88">
        <v>81.87500762939453</v>
      </c>
      <c r="AE39" s="79">
        <v>16.418909072875977</v>
      </c>
      <c r="AF39" s="79">
        <v>19.569229125976562</v>
      </c>
      <c r="AG39" s="79"/>
      <c r="AH39" s="79">
        <v>0</v>
      </c>
      <c r="AI39" s="79">
        <v>0</v>
      </c>
      <c r="AJ39" s="79"/>
      <c r="AK39" s="79">
        <v>60.315391540527344</v>
      </c>
      <c r="AL39" s="81">
        <v>55.32118225097656</v>
      </c>
      <c r="AM39" s="83"/>
      <c r="AN39" s="80"/>
      <c r="AO39" s="79"/>
      <c r="AP39" s="79"/>
      <c r="AQ39" s="79"/>
      <c r="AR39" s="82"/>
    </row>
    <row r="40" spans="2:44" ht="13.5" customHeight="1" x14ac:dyDescent="0.25">
      <c r="B40" s="14">
        <v>0.875</v>
      </c>
      <c r="C40" s="91">
        <v>0</v>
      </c>
      <c r="D40" s="91">
        <v>1.1055469258280937E-05</v>
      </c>
      <c r="E40" s="91">
        <v>50.202545166015625</v>
      </c>
      <c r="F40" s="91"/>
      <c r="G40" s="91"/>
      <c r="H40" s="91">
        <v>0</v>
      </c>
      <c r="I40" s="91">
        <v>0</v>
      </c>
      <c r="J40" s="91">
        <v>26.466651916503906</v>
      </c>
      <c r="K40" s="91">
        <v>40</v>
      </c>
      <c r="L40" s="91">
        <v>44.46976089477539</v>
      </c>
      <c r="M40" s="91">
        <v>0</v>
      </c>
      <c r="N40" s="91">
        <v>0</v>
      </c>
      <c r="O40" s="91">
        <v>29.052734375</v>
      </c>
      <c r="P40" s="91">
        <v>0.05000000074505806</v>
      </c>
      <c r="Q40" s="91">
        <v>0.20175057649612427</v>
      </c>
      <c r="R40" s="91">
        <v>0.0001881217904156074</v>
      </c>
      <c r="S40" s="91">
        <v>0</v>
      </c>
      <c r="T40" s="91">
        <v>0</v>
      </c>
      <c r="U40" s="108">
        <v>0</v>
      </c>
      <c r="V40" s="116">
        <v>0</v>
      </c>
      <c r="W40" s="117">
        <v>92.8493881225586</v>
      </c>
      <c r="X40" s="108">
        <v>19.61805534362793</v>
      </c>
      <c r="Y40" s="108">
        <v>30</v>
      </c>
      <c r="Z40" s="108">
        <v>75.36024475097656</v>
      </c>
      <c r="AA40" s="108">
        <v>18.202041625976562</v>
      </c>
      <c r="AB40" s="108">
        <v>60.161678314208984</v>
      </c>
      <c r="AC40" s="108">
        <v>20</v>
      </c>
      <c r="AD40" s="108">
        <v>41.927085876464844</v>
      </c>
      <c r="AE40" s="95">
        <v>16.131364822387695</v>
      </c>
      <c r="AF40" s="95">
        <v>19.265409469604492</v>
      </c>
      <c r="AG40" s="95"/>
      <c r="AH40" s="95">
        <v>0</v>
      </c>
      <c r="AI40" s="95">
        <v>0</v>
      </c>
      <c r="AJ40" s="95">
        <v>0</v>
      </c>
      <c r="AK40" s="95">
        <v>60.304542541503906</v>
      </c>
      <c r="AL40" s="96">
        <v>54.09143829345703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41" t="s">
        <v>271</v>
      </c>
      <c r="C41" s="91">
        <v>0</v>
      </c>
      <c r="D41" s="91">
        <v>1.4030933925823774E-06</v>
      </c>
      <c r="E41" s="91">
        <v>43.1061897277832</v>
      </c>
      <c r="F41" s="91"/>
      <c r="G41" s="91"/>
      <c r="H41" s="91">
        <v>0</v>
      </c>
      <c r="I41" s="91">
        <v>0</v>
      </c>
      <c r="J41" s="91">
        <v>26.466651916503906</v>
      </c>
      <c r="K41" s="91">
        <v>40</v>
      </c>
      <c r="L41" s="91">
        <v>44.804325103759766</v>
      </c>
      <c r="M41" s="91">
        <v>0</v>
      </c>
      <c r="N41" s="91">
        <v>0</v>
      </c>
      <c r="O41" s="91">
        <v>28.799551010131836</v>
      </c>
      <c r="P41" s="91">
        <v>0.05000000074505806</v>
      </c>
      <c r="Q41" s="91">
        <v>0.1840277761220932</v>
      </c>
      <c r="R41" s="91">
        <v>0.0001898727350635454</v>
      </c>
      <c r="S41" s="91">
        <v>0</v>
      </c>
      <c r="T41" s="91">
        <v>0</v>
      </c>
      <c r="U41" s="108">
        <v>0</v>
      </c>
      <c r="V41" s="116">
        <v>0</v>
      </c>
      <c r="W41" s="117">
        <v>94.09722137451172</v>
      </c>
      <c r="X41" s="108">
        <v>19.01041603088379</v>
      </c>
      <c r="Y41" s="108">
        <v>30</v>
      </c>
      <c r="Z41" s="108">
        <v>75.28646087646484</v>
      </c>
      <c r="AA41" s="108">
        <v>18.59809112548828</v>
      </c>
      <c r="AB41" s="108">
        <v>57.861331939697266</v>
      </c>
      <c r="AC41" s="108">
        <v>11.5</v>
      </c>
      <c r="AD41" s="108">
        <v>16.805557250976562</v>
      </c>
      <c r="AE41" s="95">
        <v>15.597872734069824</v>
      </c>
      <c r="AF41" s="95">
        <v>18.84765625</v>
      </c>
      <c r="AG41" s="95"/>
      <c r="AH41" s="95">
        <v>0</v>
      </c>
      <c r="AI41" s="95">
        <v>0</v>
      </c>
      <c r="AJ41" s="95">
        <v>0</v>
      </c>
      <c r="AK41" s="95">
        <v>60.29730987548828</v>
      </c>
      <c r="AL41" s="96">
        <v>53.043983459472656</v>
      </c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0.95833333333333337</v>
      </c>
      <c r="C42" s="91">
        <v>0</v>
      </c>
      <c r="D42" s="91">
        <v>4.171609816694399E-06</v>
      </c>
      <c r="E42" s="91">
        <v>42.79513931274414</v>
      </c>
      <c r="F42" s="91"/>
      <c r="G42" s="91"/>
      <c r="H42" s="91">
        <v>0</v>
      </c>
      <c r="I42" s="91">
        <v>0</v>
      </c>
      <c r="J42" s="91">
        <v>26.520906448364258</v>
      </c>
      <c r="K42" s="91">
        <v>40</v>
      </c>
      <c r="L42" s="91">
        <v>44.858577728271484</v>
      </c>
      <c r="M42" s="91">
        <v>0</v>
      </c>
      <c r="N42" s="91">
        <v>0</v>
      </c>
      <c r="O42" s="91">
        <v>28.45594596862793</v>
      </c>
      <c r="P42" s="91">
        <v>0.05000000074505806</v>
      </c>
      <c r="Q42" s="91">
        <v>0.096571184694767</v>
      </c>
      <c r="R42" s="91">
        <v>0.0001194038413814269</v>
      </c>
      <c r="S42" s="91">
        <v>0</v>
      </c>
      <c r="T42" s="91">
        <v>0</v>
      </c>
      <c r="U42" s="108">
        <v>0</v>
      </c>
      <c r="V42" s="116">
        <v>0</v>
      </c>
      <c r="W42" s="117">
        <v>95.63078308105469</v>
      </c>
      <c r="X42" s="108">
        <v>17.12239646911621</v>
      </c>
      <c r="Y42" s="108">
        <v>50</v>
      </c>
      <c r="Z42" s="108">
        <v>123.8758773803711</v>
      </c>
      <c r="AA42" s="108">
        <v>18.46788215637207</v>
      </c>
      <c r="AB42" s="108">
        <v>55.80512237548828</v>
      </c>
      <c r="AC42" s="108">
        <v>40</v>
      </c>
      <c r="AD42" s="108">
        <v>93.64583587646484</v>
      </c>
      <c r="AE42" s="95">
        <v>15.275969505310059</v>
      </c>
      <c r="AF42" s="95">
        <v>18.603515625</v>
      </c>
      <c r="AG42" s="95"/>
      <c r="AH42" s="95">
        <v>0</v>
      </c>
      <c r="AI42" s="95">
        <v>0</v>
      </c>
      <c r="AJ42" s="95">
        <v>0</v>
      </c>
      <c r="AK42" s="95">
        <v>60.2936897277832</v>
      </c>
      <c r="AL42" s="96">
        <v>52.12095260620117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41" t="s">
        <v>272</v>
      </c>
      <c r="C43" s="91">
        <v>0</v>
      </c>
      <c r="D43" s="91">
        <v>1.4428138456423767E-05</v>
      </c>
      <c r="E43" s="91">
        <v>41.015625</v>
      </c>
      <c r="F43" s="91"/>
      <c r="G43" s="91"/>
      <c r="H43" s="91">
        <v>0</v>
      </c>
      <c r="I43" s="91">
        <v>0</v>
      </c>
      <c r="J43" s="91">
        <v>26.466651916503906</v>
      </c>
      <c r="K43" s="91">
        <v>40</v>
      </c>
      <c r="L43" s="91">
        <v>45.20218276977539</v>
      </c>
      <c r="M43" s="91">
        <v>0</v>
      </c>
      <c r="N43" s="91">
        <v>0</v>
      </c>
      <c r="O43" s="91">
        <v>28.166593551635742</v>
      </c>
      <c r="P43" s="91">
        <v>0.05000000074505806</v>
      </c>
      <c r="Q43" s="91">
        <v>0.16695602238178253</v>
      </c>
      <c r="R43" s="91">
        <v>0.0001091728190658614</v>
      </c>
      <c r="S43" s="91">
        <v>0</v>
      </c>
      <c r="T43" s="91">
        <v>0</v>
      </c>
      <c r="U43" s="108">
        <v>0</v>
      </c>
      <c r="V43" s="116">
        <v>0</v>
      </c>
      <c r="W43" s="117">
        <v>88.53081512451172</v>
      </c>
      <c r="X43" s="108">
        <v>17.433448791503906</v>
      </c>
      <c r="Y43" s="108">
        <v>20</v>
      </c>
      <c r="Z43" s="108">
        <v>48.489585876464844</v>
      </c>
      <c r="AA43" s="108">
        <v>18.337675094604492</v>
      </c>
      <c r="AB43" s="108">
        <v>53.857425689697266</v>
      </c>
      <c r="AC43" s="108">
        <v>20</v>
      </c>
      <c r="AD43" s="108">
        <v>47.97309112548828</v>
      </c>
      <c r="AE43" s="95">
        <v>14.993850708007812</v>
      </c>
      <c r="AF43" s="95">
        <v>18.52756118774414</v>
      </c>
      <c r="AG43" s="95"/>
      <c r="AH43" s="95">
        <v>0</v>
      </c>
      <c r="AI43" s="95">
        <v>0</v>
      </c>
      <c r="AJ43" s="95">
        <v>0</v>
      </c>
      <c r="AK43" s="95">
        <v>60.26475524902344</v>
      </c>
      <c r="AL43" s="96">
        <v>51.23843002319336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4.1666666666666664E-2</v>
      </c>
      <c r="C44" s="91">
        <v>0</v>
      </c>
      <c r="D44" s="91">
        <v>9.77206218522042E-06</v>
      </c>
      <c r="E44" s="91">
        <v>39.54716491699219</v>
      </c>
      <c r="F44" s="91"/>
      <c r="G44" s="91"/>
      <c r="H44" s="91">
        <v>0</v>
      </c>
      <c r="I44" s="91">
        <v>0</v>
      </c>
      <c r="J44" s="91">
        <v>26.42144012451172</v>
      </c>
      <c r="K44" s="91">
        <v>40</v>
      </c>
      <c r="L44" s="91">
        <v>45.36494445800781</v>
      </c>
      <c r="M44" s="91">
        <v>0</v>
      </c>
      <c r="N44" s="91">
        <v>0</v>
      </c>
      <c r="O44" s="91">
        <v>28.058086395263672</v>
      </c>
      <c r="P44" s="91">
        <v>0.05000000074505806</v>
      </c>
      <c r="Q44" s="91">
        <v>0.17346642911434174</v>
      </c>
      <c r="R44" s="91">
        <v>0.00015795517538208514</v>
      </c>
      <c r="S44" s="91">
        <v>0</v>
      </c>
      <c r="T44" s="91">
        <v>0</v>
      </c>
      <c r="U44" s="108">
        <v>0</v>
      </c>
      <c r="V44" s="116">
        <v>0</v>
      </c>
      <c r="W44" s="117">
        <v>90.33564758300781</v>
      </c>
      <c r="X44" s="108">
        <v>17.824073791503906</v>
      </c>
      <c r="Y44" s="108">
        <v>20</v>
      </c>
      <c r="Z44" s="108">
        <v>49.023441314697266</v>
      </c>
      <c r="AA44" s="108">
        <v>19.35763931274414</v>
      </c>
      <c r="AB44" s="108">
        <v>48.06857681274414</v>
      </c>
      <c r="AC44" s="108">
        <v>20</v>
      </c>
      <c r="AD44" s="108">
        <v>46.028648376464844</v>
      </c>
      <c r="AE44" s="95">
        <v>14.907045364379883</v>
      </c>
      <c r="AF44" s="95">
        <v>18.44075584411621</v>
      </c>
      <c r="AG44" s="95"/>
      <c r="AH44" s="95">
        <v>0</v>
      </c>
      <c r="AI44" s="95">
        <v>0</v>
      </c>
      <c r="AJ44" s="95">
        <v>0</v>
      </c>
      <c r="AK44" s="95">
        <v>60.25390625</v>
      </c>
      <c r="AL44" s="96">
        <v>50.44560241699219</v>
      </c>
      <c r="AM44" s="118"/>
      <c r="AN44" s="109"/>
      <c r="AO44" s="95"/>
      <c r="AP44" s="95"/>
      <c r="AQ44" s="95"/>
      <c r="AR44" s="99"/>
    </row>
    <row r="45" spans="2:44" ht="13.5" customHeight="1" x14ac:dyDescent="0.25">
      <c r="B45" s="41" t="s">
        <v>273</v>
      </c>
      <c r="C45" s="91">
        <v>0</v>
      </c>
      <c r="D45" s="91">
        <v>0</v>
      </c>
      <c r="E45" s="91">
        <v>43.25810241699219</v>
      </c>
      <c r="F45" s="91"/>
      <c r="G45" s="91"/>
      <c r="H45" s="91">
        <v>0</v>
      </c>
      <c r="I45" s="91">
        <v>0</v>
      </c>
      <c r="J45" s="91">
        <v>26.3671875</v>
      </c>
      <c r="K45" s="91">
        <v>40</v>
      </c>
      <c r="L45" s="91">
        <v>45.373985290527344</v>
      </c>
      <c r="M45" s="91">
        <v>0</v>
      </c>
      <c r="N45" s="91">
        <v>0</v>
      </c>
      <c r="O45" s="91">
        <v>27.895326614379883</v>
      </c>
      <c r="P45" s="91">
        <v>0.05000000074505806</v>
      </c>
      <c r="Q45" s="91">
        <v>0.15523727238178253</v>
      </c>
      <c r="R45" s="91">
        <v>0.00012717438221443444</v>
      </c>
      <c r="S45" s="91">
        <v>0</v>
      </c>
      <c r="T45" s="91">
        <v>0</v>
      </c>
      <c r="U45" s="108">
        <v>0</v>
      </c>
      <c r="V45" s="116">
        <v>0</v>
      </c>
      <c r="W45" s="117">
        <v>95.27271270751953</v>
      </c>
      <c r="X45" s="108">
        <v>16.30859375</v>
      </c>
      <c r="Y45" s="108">
        <v>35</v>
      </c>
      <c r="Z45" s="108">
        <v>86.39323425292969</v>
      </c>
      <c r="AA45" s="108">
        <v>19.63433265686035</v>
      </c>
      <c r="AB45" s="108">
        <v>46.8370246887207</v>
      </c>
      <c r="AC45" s="108">
        <v>35</v>
      </c>
      <c r="AD45" s="108">
        <v>82.00086975097656</v>
      </c>
      <c r="AE45" s="95">
        <v>14.798538208007812</v>
      </c>
      <c r="AF45" s="95">
        <v>18.63606834411621</v>
      </c>
      <c r="AG45" s="95"/>
      <c r="AH45" s="95">
        <v>0</v>
      </c>
      <c r="AI45" s="95">
        <v>0</v>
      </c>
      <c r="AJ45" s="95">
        <v>0</v>
      </c>
      <c r="AK45" s="95">
        <v>60.25390625</v>
      </c>
      <c r="AL45" s="96">
        <v>49.71354293823242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0.125</v>
      </c>
      <c r="C46" s="91">
        <v>0</v>
      </c>
      <c r="D46" s="91">
        <v>0</v>
      </c>
      <c r="E46" s="91">
        <v>54.02922439575195</v>
      </c>
      <c r="F46" s="91"/>
      <c r="G46" s="91"/>
      <c r="H46" s="91">
        <v>0</v>
      </c>
      <c r="I46" s="91">
        <v>0</v>
      </c>
      <c r="J46" s="91">
        <v>26.31293487548828</v>
      </c>
      <c r="K46" s="91">
        <v>40</v>
      </c>
      <c r="L46" s="91">
        <v>45.373985290527344</v>
      </c>
      <c r="M46" s="91">
        <v>0</v>
      </c>
      <c r="N46" s="91">
        <v>0</v>
      </c>
      <c r="O46" s="91">
        <v>27.66927146911621</v>
      </c>
      <c r="P46" s="91">
        <v>0.05000000074505806</v>
      </c>
      <c r="Q46" s="91">
        <v>0.1393229216337204</v>
      </c>
      <c r="R46" s="91">
        <v>0.00014515685325022787</v>
      </c>
      <c r="S46" s="91">
        <v>0</v>
      </c>
      <c r="T46" s="91">
        <v>0</v>
      </c>
      <c r="U46" s="108">
        <v>0</v>
      </c>
      <c r="V46" s="116">
        <v>0</v>
      </c>
      <c r="W46" s="117">
        <v>92.38642883300781</v>
      </c>
      <c r="X46" s="108">
        <v>16.442419052124023</v>
      </c>
      <c r="Y46" s="108">
        <v>35</v>
      </c>
      <c r="Z46" s="108">
        <v>85.92882537841797</v>
      </c>
      <c r="AA46" s="108">
        <v>19.216581344604492</v>
      </c>
      <c r="AB46" s="108">
        <v>46.77191925048828</v>
      </c>
      <c r="AC46" s="108">
        <v>35</v>
      </c>
      <c r="AD46" s="108">
        <v>82.6388931274414</v>
      </c>
      <c r="AE46" s="95">
        <v>14.6827974319458</v>
      </c>
      <c r="AF46" s="95">
        <v>18.679471969604492</v>
      </c>
      <c r="AG46" s="95"/>
      <c r="AH46" s="95">
        <v>0</v>
      </c>
      <c r="AI46" s="95">
        <v>0</v>
      </c>
      <c r="AJ46" s="95">
        <v>0</v>
      </c>
      <c r="AK46" s="95">
        <v>60.24666976928711</v>
      </c>
      <c r="AL46" s="96">
        <v>49.076969146728516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0.16666666666666666</v>
      </c>
      <c r="C47" s="91">
        <v>0</v>
      </c>
      <c r="D47" s="91">
        <v>4.619598257704638E-06</v>
      </c>
      <c r="E47" s="91">
        <v>51.80121612548828</v>
      </c>
      <c r="F47" s="91"/>
      <c r="G47" s="91"/>
      <c r="H47" s="91">
        <v>0</v>
      </c>
      <c r="I47" s="91">
        <v>0</v>
      </c>
      <c r="J47" s="91">
        <v>26.20442771911621</v>
      </c>
      <c r="K47" s="91">
        <v>40</v>
      </c>
      <c r="L47" s="91">
        <v>45.69950866699219</v>
      </c>
      <c r="M47" s="91">
        <v>0</v>
      </c>
      <c r="N47" s="91">
        <v>0</v>
      </c>
      <c r="O47" s="91">
        <v>27.569805145263672</v>
      </c>
      <c r="P47" s="91">
        <v>0.05000000074505806</v>
      </c>
      <c r="Q47" s="91">
        <v>0.1271701455116272</v>
      </c>
      <c r="R47" s="91">
        <v>0.00013673401554115117</v>
      </c>
      <c r="S47" s="91">
        <v>0</v>
      </c>
      <c r="T47" s="91">
        <v>0</v>
      </c>
      <c r="U47" s="108">
        <v>0</v>
      </c>
      <c r="V47" s="116">
        <v>0</v>
      </c>
      <c r="W47" s="117">
        <v>96.77734375</v>
      </c>
      <c r="X47" s="108">
        <v>15.91796875</v>
      </c>
      <c r="Y47" s="108">
        <v>35</v>
      </c>
      <c r="Z47" s="108">
        <v>85.71180725097656</v>
      </c>
      <c r="AA47" s="108">
        <v>18.76085090637207</v>
      </c>
      <c r="AB47" s="108">
        <v>57.12348175048828</v>
      </c>
      <c r="AC47" s="108">
        <v>35</v>
      </c>
      <c r="AD47" s="108">
        <v>83.61111450195312</v>
      </c>
      <c r="AE47" s="95">
        <v>14.239727973937988</v>
      </c>
      <c r="AF47" s="95">
        <v>18.75</v>
      </c>
      <c r="AG47" s="95"/>
      <c r="AH47" s="95">
        <v>0</v>
      </c>
      <c r="AI47" s="95">
        <v>0</v>
      </c>
      <c r="AJ47" s="95">
        <v>0</v>
      </c>
      <c r="AK47" s="95">
        <v>60.24666976928711</v>
      </c>
      <c r="AL47" s="96">
        <v>48.44907760620117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0.20833333333333334</v>
      </c>
      <c r="C48" s="91">
        <v>0</v>
      </c>
      <c r="D48" s="91">
        <v>8.934735888033174E-06</v>
      </c>
      <c r="E48" s="91">
        <v>45.457176208496094</v>
      </c>
      <c r="F48" s="91"/>
      <c r="G48" s="91"/>
      <c r="H48" s="91">
        <v>0</v>
      </c>
      <c r="I48" s="91">
        <v>0</v>
      </c>
      <c r="J48" s="91">
        <v>26.06879425048828</v>
      </c>
      <c r="K48" s="91">
        <v>40</v>
      </c>
      <c r="L48" s="91">
        <v>45.76280212402344</v>
      </c>
      <c r="M48" s="91">
        <v>0</v>
      </c>
      <c r="N48" s="91">
        <v>0</v>
      </c>
      <c r="O48" s="91">
        <v>27.551721572875977</v>
      </c>
      <c r="P48" s="91">
        <v>0.05000000074505806</v>
      </c>
      <c r="Q48" s="91">
        <v>0.2052951455116272</v>
      </c>
      <c r="R48" s="91">
        <v>0.00017337036842945963</v>
      </c>
      <c r="S48" s="91">
        <v>0</v>
      </c>
      <c r="T48" s="91">
        <v>0</v>
      </c>
      <c r="U48" s="108">
        <v>0</v>
      </c>
      <c r="V48" s="116">
        <v>0</v>
      </c>
      <c r="W48" s="117">
        <v>94.09722137451172</v>
      </c>
      <c r="X48" s="108">
        <v>17.65407943725586</v>
      </c>
      <c r="Y48" s="108">
        <v>25</v>
      </c>
      <c r="Z48" s="108">
        <v>61.623268127441406</v>
      </c>
      <c r="AA48" s="108">
        <v>23.30186653137207</v>
      </c>
      <c r="AB48" s="108">
        <v>62.87977600097656</v>
      </c>
      <c r="AC48" s="108">
        <v>18</v>
      </c>
      <c r="AD48" s="108">
        <v>41.44965362548828</v>
      </c>
      <c r="AE48" s="95">
        <v>13.892505645751953</v>
      </c>
      <c r="AF48" s="95">
        <v>18.77170181274414</v>
      </c>
      <c r="AG48" s="95"/>
      <c r="AH48" s="95">
        <v>0</v>
      </c>
      <c r="AI48" s="95">
        <v>0</v>
      </c>
      <c r="AJ48" s="95">
        <v>0</v>
      </c>
      <c r="AK48" s="95">
        <v>60.22858810424805</v>
      </c>
      <c r="AL48" s="96">
        <v>47.79513931274414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0.25</v>
      </c>
      <c r="C49" s="91">
        <v>0</v>
      </c>
      <c r="D49" s="91">
        <v>0</v>
      </c>
      <c r="E49" s="91">
        <v>46.686920166015625</v>
      </c>
      <c r="F49" s="91"/>
      <c r="G49" s="91"/>
      <c r="H49" s="91">
        <v>0</v>
      </c>
      <c r="I49" s="91">
        <v>0</v>
      </c>
      <c r="J49" s="91">
        <v>25.978370666503906</v>
      </c>
      <c r="K49" s="91">
        <v>40</v>
      </c>
      <c r="L49" s="91">
        <v>45.76280212402344</v>
      </c>
      <c r="M49" s="91">
        <v>0</v>
      </c>
      <c r="N49" s="91">
        <v>0</v>
      </c>
      <c r="O49" s="91">
        <v>27.325664520263672</v>
      </c>
      <c r="P49" s="91">
        <v>0.05000000074505806</v>
      </c>
      <c r="Q49" s="91">
        <v>0.12116608768701553</v>
      </c>
      <c r="R49" s="91">
        <v>0.00018790816830005497</v>
      </c>
      <c r="S49" s="91">
        <v>0</v>
      </c>
      <c r="T49" s="91">
        <v>0</v>
      </c>
      <c r="U49" s="108">
        <v>0</v>
      </c>
      <c r="V49" s="116">
        <v>0</v>
      </c>
      <c r="W49" s="117">
        <v>88.63932037353516</v>
      </c>
      <c r="X49" s="108">
        <v>18.156827926635742</v>
      </c>
      <c r="Y49" s="108">
        <v>25</v>
      </c>
      <c r="Z49" s="108">
        <v>61.115455627441406</v>
      </c>
      <c r="AA49" s="108">
        <v>23.28559112548828</v>
      </c>
      <c r="AB49" s="108">
        <v>61.816410064697266</v>
      </c>
      <c r="AC49" s="108">
        <v>18</v>
      </c>
      <c r="AD49" s="108">
        <v>40.976566314697266</v>
      </c>
      <c r="AE49" s="95">
        <v>13.727936744689941</v>
      </c>
      <c r="AF49" s="95">
        <v>18.67404556274414</v>
      </c>
      <c r="AG49" s="95"/>
      <c r="AH49" s="95">
        <v>0</v>
      </c>
      <c r="AI49" s="95">
        <v>0</v>
      </c>
      <c r="AJ49" s="95">
        <v>0</v>
      </c>
      <c r="AK49" s="95">
        <v>60.224971771240234</v>
      </c>
      <c r="AL49" s="96">
        <v>47.28588104248047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0.29166666666666669</v>
      </c>
      <c r="C50" s="91">
        <v>0</v>
      </c>
      <c r="D50" s="91">
        <v>8.7647440523142E-06</v>
      </c>
      <c r="E50" s="91">
        <v>42.758968353271484</v>
      </c>
      <c r="F50" s="91"/>
      <c r="G50" s="91"/>
      <c r="H50" s="91">
        <v>0</v>
      </c>
      <c r="I50" s="91">
        <v>0</v>
      </c>
      <c r="J50" s="91">
        <v>25.734230041503906</v>
      </c>
      <c r="K50" s="91">
        <v>40</v>
      </c>
      <c r="L50" s="91">
        <v>45.988861083984375</v>
      </c>
      <c r="M50" s="91">
        <v>0</v>
      </c>
      <c r="N50" s="91">
        <v>0</v>
      </c>
      <c r="O50" s="91">
        <v>27.000144958496094</v>
      </c>
      <c r="P50" s="91">
        <v>0.05000000074505806</v>
      </c>
      <c r="Q50" s="91">
        <v>0.104383684694767</v>
      </c>
      <c r="R50" s="91">
        <v>0.00010344696056563407</v>
      </c>
      <c r="S50" s="91">
        <v>0</v>
      </c>
      <c r="T50" s="91">
        <v>0</v>
      </c>
      <c r="U50" s="108">
        <v>0</v>
      </c>
      <c r="V50" s="116">
        <v>0</v>
      </c>
      <c r="W50" s="117">
        <v>92.74088287353516</v>
      </c>
      <c r="X50" s="108">
        <v>16.27604103088379</v>
      </c>
      <c r="Y50" s="108">
        <v>30</v>
      </c>
      <c r="Z50" s="108">
        <v>73.0859375</v>
      </c>
      <c r="AA50" s="108">
        <v>22.32530403137207</v>
      </c>
      <c r="AB50" s="108">
        <v>60.34071350097656</v>
      </c>
      <c r="AC50" s="108">
        <v>30</v>
      </c>
      <c r="AD50" s="108">
        <v>70.86805725097656</v>
      </c>
      <c r="AE50" s="95">
        <v>13.73155403137207</v>
      </c>
      <c r="AF50" s="95">
        <v>18.60894203186035</v>
      </c>
      <c r="AG50" s="95"/>
      <c r="AH50" s="95">
        <v>0</v>
      </c>
      <c r="AI50" s="95">
        <v>0</v>
      </c>
      <c r="AJ50" s="95">
        <v>0</v>
      </c>
      <c r="AK50" s="95">
        <v>60.18156814575195</v>
      </c>
      <c r="AL50" s="96">
        <v>46.672454833984375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42">
        <v>0.33333333333333331</v>
      </c>
      <c r="C51" s="100">
        <v>0</v>
      </c>
      <c r="D51" s="100">
        <v>1.9154787878505886E-05</v>
      </c>
      <c r="E51" s="100">
        <v>40.55266189575195</v>
      </c>
      <c r="F51" s="100"/>
      <c r="G51" s="100"/>
      <c r="H51" s="100">
        <v>0</v>
      </c>
      <c r="I51" s="100">
        <v>0</v>
      </c>
      <c r="J51" s="100">
        <v>25.634765625</v>
      </c>
      <c r="K51" s="100">
        <v>40</v>
      </c>
      <c r="L51" s="100">
        <v>46.106407165527344</v>
      </c>
      <c r="M51" s="100">
        <v>0</v>
      </c>
      <c r="N51" s="100">
        <v>0</v>
      </c>
      <c r="O51" s="100">
        <v>27.009187698364258</v>
      </c>
      <c r="P51" s="100">
        <v>0.05000000074505806</v>
      </c>
      <c r="Q51" s="100">
        <v>0.2131076455116272</v>
      </c>
      <c r="R51" s="100">
        <v>0.00015901183360256255</v>
      </c>
      <c r="S51" s="100">
        <v>0</v>
      </c>
      <c r="T51" s="100">
        <v>0</v>
      </c>
      <c r="U51" s="111">
        <v>0</v>
      </c>
      <c r="V51" s="119">
        <v>0</v>
      </c>
      <c r="W51" s="120">
        <v>95.27994537353516</v>
      </c>
      <c r="X51" s="111">
        <v>17.505786895751953</v>
      </c>
      <c r="Y51" s="111">
        <v>50</v>
      </c>
      <c r="Z51" s="111">
        <v>123.8758773803711</v>
      </c>
      <c r="AA51" s="111">
        <v>21.891277313232422</v>
      </c>
      <c r="AB51" s="111">
        <v>57.329647064208984</v>
      </c>
      <c r="AC51" s="111">
        <v>50</v>
      </c>
      <c r="AD51" s="111">
        <v>119.40538787841797</v>
      </c>
      <c r="AE51" s="104">
        <v>13.525390625</v>
      </c>
      <c r="AF51" s="104">
        <v>18.603515625</v>
      </c>
      <c r="AG51" s="104"/>
      <c r="AH51" s="104">
        <v>0</v>
      </c>
      <c r="AI51" s="104">
        <v>0</v>
      </c>
      <c r="AJ51" s="104">
        <v>0</v>
      </c>
      <c r="AK51" s="104">
        <v>60.224971771240234</v>
      </c>
      <c r="AL51" s="105">
        <v>46.17766571044922</v>
      </c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274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274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275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zoomScaleNormal="100" workbookViewId="0">
      <selection activeCell="S12" sqref="S12"/>
    </sheetView>
  </sheetViews>
  <sheetFormatPr defaultRowHeight="11.5" x14ac:dyDescent="0.25"/>
  <cols>
    <col min="1" max="1" width="1.54296875" style="45" customWidth="1"/>
    <col min="2" max="2" width="9" style="45" customWidth="1"/>
    <col min="3" max="3" width="2.54296875" style="45" customWidth="1"/>
    <col min="4" max="36" width="7.08984375" style="45" customWidth="1"/>
    <col min="37" max="37" width="6.453125" style="45" customWidth="1"/>
    <col min="38" max="270" width="8.81640625" style="45"/>
    <col min="271" max="271" width="2.08984375" style="45" customWidth="1"/>
    <col min="272" max="272" width="5.81640625" style="45" customWidth="1"/>
    <col min="273" max="273" width="6.81640625" style="45" customWidth="1"/>
    <col min="274" max="274" width="6.08984375" style="45" customWidth="1"/>
    <col min="275" max="275" width="6.81640625" style="45" customWidth="1"/>
    <col min="276" max="276" width="10.81640625" style="45" customWidth="1"/>
    <col min="277" max="277" width="11.54296875" style="45" customWidth="1"/>
    <col min="278" max="278" width="5.54296875" style="45" customWidth="1"/>
    <col min="279" max="279" width="6" style="45" customWidth="1"/>
    <col min="280" max="280" width="6.54296875" style="45" customWidth="1"/>
    <col min="281" max="281" width="11.08984375" style="45" customWidth="1"/>
    <col min="282" max="282" width="7.08984375" style="45" customWidth="1"/>
    <col min="283" max="284" width="5.81640625" style="45" customWidth="1"/>
    <col min="285" max="285" width="6" style="45" customWidth="1"/>
    <col min="286" max="286" width="6.81640625" style="45" customWidth="1"/>
    <col min="287" max="287" width="6" style="45" customWidth="1"/>
    <col min="288" max="288" width="18.08984375" style="45" customWidth="1"/>
    <col min="289" max="526" width="8.81640625" style="45"/>
    <col min="527" max="527" width="2.08984375" style="45" customWidth="1"/>
    <col min="528" max="528" width="5.81640625" style="45" customWidth="1"/>
    <col min="529" max="529" width="6.81640625" style="45" customWidth="1"/>
    <col min="530" max="530" width="6.08984375" style="45" customWidth="1"/>
    <col min="531" max="531" width="6.81640625" style="45" customWidth="1"/>
    <col min="532" max="532" width="10.81640625" style="45" customWidth="1"/>
    <col min="533" max="533" width="11.54296875" style="45" customWidth="1"/>
    <col min="534" max="534" width="5.54296875" style="45" customWidth="1"/>
    <col min="535" max="535" width="6" style="45" customWidth="1"/>
    <col min="536" max="536" width="6.54296875" style="45" customWidth="1"/>
    <col min="537" max="537" width="11.08984375" style="45" customWidth="1"/>
    <col min="538" max="538" width="7.08984375" style="45" customWidth="1"/>
    <col min="539" max="540" width="5.81640625" style="45" customWidth="1"/>
    <col min="541" max="541" width="6" style="45" customWidth="1"/>
    <col min="542" max="542" width="6.81640625" style="45" customWidth="1"/>
    <col min="543" max="543" width="6" style="45" customWidth="1"/>
    <col min="544" max="544" width="18.08984375" style="45" customWidth="1"/>
    <col min="545" max="782" width="8.81640625" style="45"/>
    <col min="783" max="783" width="2.08984375" style="45" customWidth="1"/>
    <col min="784" max="784" width="5.81640625" style="45" customWidth="1"/>
    <col min="785" max="785" width="6.81640625" style="45" customWidth="1"/>
    <col min="786" max="786" width="6.08984375" style="45" customWidth="1"/>
    <col min="787" max="787" width="6.81640625" style="45" customWidth="1"/>
    <col min="788" max="788" width="10.81640625" style="45" customWidth="1"/>
    <col min="789" max="789" width="11.54296875" style="45" customWidth="1"/>
    <col min="790" max="790" width="5.54296875" style="45" customWidth="1"/>
    <col min="791" max="791" width="6" style="45" customWidth="1"/>
    <col min="792" max="792" width="6.54296875" style="45" customWidth="1"/>
    <col min="793" max="793" width="11.08984375" style="45" customWidth="1"/>
    <col min="794" max="794" width="7.08984375" style="45" customWidth="1"/>
    <col min="795" max="796" width="5.81640625" style="45" customWidth="1"/>
    <col min="797" max="797" width="6" style="45" customWidth="1"/>
    <col min="798" max="798" width="6.81640625" style="45" customWidth="1"/>
    <col min="799" max="799" width="6" style="45" customWidth="1"/>
    <col min="800" max="800" width="18.08984375" style="45" customWidth="1"/>
    <col min="801" max="1038" width="8.81640625" style="45"/>
    <col min="1039" max="1039" width="2.08984375" style="45" customWidth="1"/>
    <col min="1040" max="1040" width="5.81640625" style="45" customWidth="1"/>
    <col min="1041" max="1041" width="6.81640625" style="45" customWidth="1"/>
    <col min="1042" max="1042" width="6.08984375" style="45" customWidth="1"/>
    <col min="1043" max="1043" width="6.81640625" style="45" customWidth="1"/>
    <col min="1044" max="1044" width="10.81640625" style="45" customWidth="1"/>
    <col min="1045" max="1045" width="11.54296875" style="45" customWidth="1"/>
    <col min="1046" max="1046" width="5.54296875" style="45" customWidth="1"/>
    <col min="1047" max="1047" width="6" style="45" customWidth="1"/>
    <col min="1048" max="1048" width="6.54296875" style="45" customWidth="1"/>
    <col min="1049" max="1049" width="11.08984375" style="45" customWidth="1"/>
    <col min="1050" max="1050" width="7.08984375" style="45" customWidth="1"/>
    <col min="1051" max="1052" width="5.81640625" style="45" customWidth="1"/>
    <col min="1053" max="1053" width="6" style="45" customWidth="1"/>
    <col min="1054" max="1054" width="6.81640625" style="45" customWidth="1"/>
    <col min="1055" max="1055" width="6" style="45" customWidth="1"/>
    <col min="1056" max="1056" width="18.08984375" style="45" customWidth="1"/>
    <col min="1057" max="1294" width="8.81640625" style="45"/>
    <col min="1295" max="1295" width="2.08984375" style="45" customWidth="1"/>
    <col min="1296" max="1296" width="5.81640625" style="45" customWidth="1"/>
    <col min="1297" max="1297" width="6.81640625" style="45" customWidth="1"/>
    <col min="1298" max="1298" width="6.08984375" style="45" customWidth="1"/>
    <col min="1299" max="1299" width="6.81640625" style="45" customWidth="1"/>
    <col min="1300" max="1300" width="10.81640625" style="45" customWidth="1"/>
    <col min="1301" max="1301" width="11.54296875" style="45" customWidth="1"/>
    <col min="1302" max="1302" width="5.54296875" style="45" customWidth="1"/>
    <col min="1303" max="1303" width="6" style="45" customWidth="1"/>
    <col min="1304" max="1304" width="6.54296875" style="45" customWidth="1"/>
    <col min="1305" max="1305" width="11.08984375" style="45" customWidth="1"/>
    <col min="1306" max="1306" width="7.08984375" style="45" customWidth="1"/>
    <col min="1307" max="1308" width="5.81640625" style="45" customWidth="1"/>
    <col min="1309" max="1309" width="6" style="45" customWidth="1"/>
    <col min="1310" max="1310" width="6.81640625" style="45" customWidth="1"/>
    <col min="1311" max="1311" width="6" style="45" customWidth="1"/>
    <col min="1312" max="1312" width="18.08984375" style="45" customWidth="1"/>
    <col min="1313" max="1550" width="8.81640625" style="45"/>
    <col min="1551" max="1551" width="2.08984375" style="45" customWidth="1"/>
    <col min="1552" max="1552" width="5.81640625" style="45" customWidth="1"/>
    <col min="1553" max="1553" width="6.81640625" style="45" customWidth="1"/>
    <col min="1554" max="1554" width="6.08984375" style="45" customWidth="1"/>
    <col min="1555" max="1555" width="6.81640625" style="45" customWidth="1"/>
    <col min="1556" max="1556" width="10.81640625" style="45" customWidth="1"/>
    <col min="1557" max="1557" width="11.54296875" style="45" customWidth="1"/>
    <col min="1558" max="1558" width="5.54296875" style="45" customWidth="1"/>
    <col min="1559" max="1559" width="6" style="45" customWidth="1"/>
    <col min="1560" max="1560" width="6.54296875" style="45" customWidth="1"/>
    <col min="1561" max="1561" width="11.08984375" style="45" customWidth="1"/>
    <col min="1562" max="1562" width="7.08984375" style="45" customWidth="1"/>
    <col min="1563" max="1564" width="5.81640625" style="45" customWidth="1"/>
    <col min="1565" max="1565" width="6" style="45" customWidth="1"/>
    <col min="1566" max="1566" width="6.81640625" style="45" customWidth="1"/>
    <col min="1567" max="1567" width="6" style="45" customWidth="1"/>
    <col min="1568" max="1568" width="18.08984375" style="45" customWidth="1"/>
    <col min="1569" max="1806" width="8.81640625" style="45"/>
    <col min="1807" max="1807" width="2.08984375" style="45" customWidth="1"/>
    <col min="1808" max="1808" width="5.81640625" style="45" customWidth="1"/>
    <col min="1809" max="1809" width="6.81640625" style="45" customWidth="1"/>
    <col min="1810" max="1810" width="6.08984375" style="45" customWidth="1"/>
    <col min="1811" max="1811" width="6.81640625" style="45" customWidth="1"/>
    <col min="1812" max="1812" width="10.81640625" style="45" customWidth="1"/>
    <col min="1813" max="1813" width="11.54296875" style="45" customWidth="1"/>
    <col min="1814" max="1814" width="5.54296875" style="45" customWidth="1"/>
    <col min="1815" max="1815" width="6" style="45" customWidth="1"/>
    <col min="1816" max="1816" width="6.54296875" style="45" customWidth="1"/>
    <col min="1817" max="1817" width="11.08984375" style="45" customWidth="1"/>
    <col min="1818" max="1818" width="7.08984375" style="45" customWidth="1"/>
    <col min="1819" max="1820" width="5.81640625" style="45" customWidth="1"/>
    <col min="1821" max="1821" width="6" style="45" customWidth="1"/>
    <col min="1822" max="1822" width="6.81640625" style="45" customWidth="1"/>
    <col min="1823" max="1823" width="6" style="45" customWidth="1"/>
    <col min="1824" max="1824" width="18.08984375" style="45" customWidth="1"/>
    <col min="1825" max="2062" width="8.81640625" style="45"/>
    <col min="2063" max="2063" width="2.08984375" style="45" customWidth="1"/>
    <col min="2064" max="2064" width="5.81640625" style="45" customWidth="1"/>
    <col min="2065" max="2065" width="6.81640625" style="45" customWidth="1"/>
    <col min="2066" max="2066" width="6.08984375" style="45" customWidth="1"/>
    <col min="2067" max="2067" width="6.81640625" style="45" customWidth="1"/>
    <col min="2068" max="2068" width="10.81640625" style="45" customWidth="1"/>
    <col min="2069" max="2069" width="11.54296875" style="45" customWidth="1"/>
    <col min="2070" max="2070" width="5.54296875" style="45" customWidth="1"/>
    <col min="2071" max="2071" width="6" style="45" customWidth="1"/>
    <col min="2072" max="2072" width="6.54296875" style="45" customWidth="1"/>
    <col min="2073" max="2073" width="11.08984375" style="45" customWidth="1"/>
    <col min="2074" max="2074" width="7.08984375" style="45" customWidth="1"/>
    <col min="2075" max="2076" width="5.81640625" style="45" customWidth="1"/>
    <col min="2077" max="2077" width="6" style="45" customWidth="1"/>
    <col min="2078" max="2078" width="6.81640625" style="45" customWidth="1"/>
    <col min="2079" max="2079" width="6" style="45" customWidth="1"/>
    <col min="2080" max="2080" width="18.08984375" style="45" customWidth="1"/>
    <col min="2081" max="2318" width="8.81640625" style="45"/>
    <col min="2319" max="2319" width="2.08984375" style="45" customWidth="1"/>
    <col min="2320" max="2320" width="5.81640625" style="45" customWidth="1"/>
    <col min="2321" max="2321" width="6.81640625" style="45" customWidth="1"/>
    <col min="2322" max="2322" width="6.08984375" style="45" customWidth="1"/>
    <col min="2323" max="2323" width="6.81640625" style="45" customWidth="1"/>
    <col min="2324" max="2324" width="10.81640625" style="45" customWidth="1"/>
    <col min="2325" max="2325" width="11.54296875" style="45" customWidth="1"/>
    <col min="2326" max="2326" width="5.54296875" style="45" customWidth="1"/>
    <col min="2327" max="2327" width="6" style="45" customWidth="1"/>
    <col min="2328" max="2328" width="6.54296875" style="45" customWidth="1"/>
    <col min="2329" max="2329" width="11.08984375" style="45" customWidth="1"/>
    <col min="2330" max="2330" width="7.08984375" style="45" customWidth="1"/>
    <col min="2331" max="2332" width="5.81640625" style="45" customWidth="1"/>
    <col min="2333" max="2333" width="6" style="45" customWidth="1"/>
    <col min="2334" max="2334" width="6.81640625" style="45" customWidth="1"/>
    <col min="2335" max="2335" width="6" style="45" customWidth="1"/>
    <col min="2336" max="2336" width="18.08984375" style="45" customWidth="1"/>
    <col min="2337" max="2574" width="8.81640625" style="45"/>
    <col min="2575" max="2575" width="2.08984375" style="45" customWidth="1"/>
    <col min="2576" max="2576" width="5.81640625" style="45" customWidth="1"/>
    <col min="2577" max="2577" width="6.81640625" style="45" customWidth="1"/>
    <col min="2578" max="2578" width="6.08984375" style="45" customWidth="1"/>
    <col min="2579" max="2579" width="6.81640625" style="45" customWidth="1"/>
    <col min="2580" max="2580" width="10.81640625" style="45" customWidth="1"/>
    <col min="2581" max="2581" width="11.54296875" style="45" customWidth="1"/>
    <col min="2582" max="2582" width="5.54296875" style="45" customWidth="1"/>
    <col min="2583" max="2583" width="6" style="45" customWidth="1"/>
    <col min="2584" max="2584" width="6.54296875" style="45" customWidth="1"/>
    <col min="2585" max="2585" width="11.08984375" style="45" customWidth="1"/>
    <col min="2586" max="2586" width="7.08984375" style="45" customWidth="1"/>
    <col min="2587" max="2588" width="5.81640625" style="45" customWidth="1"/>
    <col min="2589" max="2589" width="6" style="45" customWidth="1"/>
    <col min="2590" max="2590" width="6.81640625" style="45" customWidth="1"/>
    <col min="2591" max="2591" width="6" style="45" customWidth="1"/>
    <col min="2592" max="2592" width="18.08984375" style="45" customWidth="1"/>
    <col min="2593" max="2830" width="8.81640625" style="45"/>
    <col min="2831" max="2831" width="2.08984375" style="45" customWidth="1"/>
    <col min="2832" max="2832" width="5.81640625" style="45" customWidth="1"/>
    <col min="2833" max="2833" width="6.81640625" style="45" customWidth="1"/>
    <col min="2834" max="2834" width="6.08984375" style="45" customWidth="1"/>
    <col min="2835" max="2835" width="6.81640625" style="45" customWidth="1"/>
    <col min="2836" max="2836" width="10.81640625" style="45" customWidth="1"/>
    <col min="2837" max="2837" width="11.54296875" style="45" customWidth="1"/>
    <col min="2838" max="2838" width="5.54296875" style="45" customWidth="1"/>
    <col min="2839" max="2839" width="6" style="45" customWidth="1"/>
    <col min="2840" max="2840" width="6.54296875" style="45" customWidth="1"/>
    <col min="2841" max="2841" width="11.08984375" style="45" customWidth="1"/>
    <col min="2842" max="2842" width="7.08984375" style="45" customWidth="1"/>
    <col min="2843" max="2844" width="5.81640625" style="45" customWidth="1"/>
    <col min="2845" max="2845" width="6" style="45" customWidth="1"/>
    <col min="2846" max="2846" width="6.81640625" style="45" customWidth="1"/>
    <col min="2847" max="2847" width="6" style="45" customWidth="1"/>
    <col min="2848" max="2848" width="18.08984375" style="45" customWidth="1"/>
    <col min="2849" max="3086" width="8.81640625" style="45"/>
    <col min="3087" max="3087" width="2.08984375" style="45" customWidth="1"/>
    <col min="3088" max="3088" width="5.81640625" style="45" customWidth="1"/>
    <col min="3089" max="3089" width="6.81640625" style="45" customWidth="1"/>
    <col min="3090" max="3090" width="6.08984375" style="45" customWidth="1"/>
    <col min="3091" max="3091" width="6.81640625" style="45" customWidth="1"/>
    <col min="3092" max="3092" width="10.81640625" style="45" customWidth="1"/>
    <col min="3093" max="3093" width="11.54296875" style="45" customWidth="1"/>
    <col min="3094" max="3094" width="5.54296875" style="45" customWidth="1"/>
    <col min="3095" max="3095" width="6" style="45" customWidth="1"/>
    <col min="3096" max="3096" width="6.54296875" style="45" customWidth="1"/>
    <col min="3097" max="3097" width="11.08984375" style="45" customWidth="1"/>
    <col min="3098" max="3098" width="7.08984375" style="45" customWidth="1"/>
    <col min="3099" max="3100" width="5.81640625" style="45" customWidth="1"/>
    <col min="3101" max="3101" width="6" style="45" customWidth="1"/>
    <col min="3102" max="3102" width="6.81640625" style="45" customWidth="1"/>
    <col min="3103" max="3103" width="6" style="45" customWidth="1"/>
    <col min="3104" max="3104" width="18.08984375" style="45" customWidth="1"/>
    <col min="3105" max="3342" width="8.81640625" style="45"/>
    <col min="3343" max="3343" width="2.08984375" style="45" customWidth="1"/>
    <col min="3344" max="3344" width="5.81640625" style="45" customWidth="1"/>
    <col min="3345" max="3345" width="6.81640625" style="45" customWidth="1"/>
    <col min="3346" max="3346" width="6.08984375" style="45" customWidth="1"/>
    <col min="3347" max="3347" width="6.81640625" style="45" customWidth="1"/>
    <col min="3348" max="3348" width="10.81640625" style="45" customWidth="1"/>
    <col min="3349" max="3349" width="11.54296875" style="45" customWidth="1"/>
    <col min="3350" max="3350" width="5.54296875" style="45" customWidth="1"/>
    <col min="3351" max="3351" width="6" style="45" customWidth="1"/>
    <col min="3352" max="3352" width="6.54296875" style="45" customWidth="1"/>
    <col min="3353" max="3353" width="11.08984375" style="45" customWidth="1"/>
    <col min="3354" max="3354" width="7.08984375" style="45" customWidth="1"/>
    <col min="3355" max="3356" width="5.81640625" style="45" customWidth="1"/>
    <col min="3357" max="3357" width="6" style="45" customWidth="1"/>
    <col min="3358" max="3358" width="6.81640625" style="45" customWidth="1"/>
    <col min="3359" max="3359" width="6" style="45" customWidth="1"/>
    <col min="3360" max="3360" width="18.08984375" style="45" customWidth="1"/>
    <col min="3361" max="3598" width="8.81640625" style="45"/>
    <col min="3599" max="3599" width="2.08984375" style="45" customWidth="1"/>
    <col min="3600" max="3600" width="5.81640625" style="45" customWidth="1"/>
    <col min="3601" max="3601" width="6.81640625" style="45" customWidth="1"/>
    <col min="3602" max="3602" width="6.08984375" style="45" customWidth="1"/>
    <col min="3603" max="3603" width="6.81640625" style="45" customWidth="1"/>
    <col min="3604" max="3604" width="10.81640625" style="45" customWidth="1"/>
    <col min="3605" max="3605" width="11.54296875" style="45" customWidth="1"/>
    <col min="3606" max="3606" width="5.54296875" style="45" customWidth="1"/>
    <col min="3607" max="3607" width="6" style="45" customWidth="1"/>
    <col min="3608" max="3608" width="6.54296875" style="45" customWidth="1"/>
    <col min="3609" max="3609" width="11.08984375" style="45" customWidth="1"/>
    <col min="3610" max="3610" width="7.08984375" style="45" customWidth="1"/>
    <col min="3611" max="3612" width="5.81640625" style="45" customWidth="1"/>
    <col min="3613" max="3613" width="6" style="45" customWidth="1"/>
    <col min="3614" max="3614" width="6.81640625" style="45" customWidth="1"/>
    <col min="3615" max="3615" width="6" style="45" customWidth="1"/>
    <col min="3616" max="3616" width="18.08984375" style="45" customWidth="1"/>
    <col min="3617" max="3854" width="8.81640625" style="45"/>
    <col min="3855" max="3855" width="2.08984375" style="45" customWidth="1"/>
    <col min="3856" max="3856" width="5.81640625" style="45" customWidth="1"/>
    <col min="3857" max="3857" width="6.81640625" style="45" customWidth="1"/>
    <col min="3858" max="3858" width="6.08984375" style="45" customWidth="1"/>
    <col min="3859" max="3859" width="6.81640625" style="45" customWidth="1"/>
    <col min="3860" max="3860" width="10.81640625" style="45" customWidth="1"/>
    <col min="3861" max="3861" width="11.54296875" style="45" customWidth="1"/>
    <col min="3862" max="3862" width="5.54296875" style="45" customWidth="1"/>
    <col min="3863" max="3863" width="6" style="45" customWidth="1"/>
    <col min="3864" max="3864" width="6.54296875" style="45" customWidth="1"/>
    <col min="3865" max="3865" width="11.08984375" style="45" customWidth="1"/>
    <col min="3866" max="3866" width="7.08984375" style="45" customWidth="1"/>
    <col min="3867" max="3868" width="5.81640625" style="45" customWidth="1"/>
    <col min="3869" max="3869" width="6" style="45" customWidth="1"/>
    <col min="3870" max="3870" width="6.81640625" style="45" customWidth="1"/>
    <col min="3871" max="3871" width="6" style="45" customWidth="1"/>
    <col min="3872" max="3872" width="18.08984375" style="45" customWidth="1"/>
    <col min="3873" max="4110" width="8.81640625" style="45"/>
    <col min="4111" max="4111" width="2.08984375" style="45" customWidth="1"/>
    <col min="4112" max="4112" width="5.81640625" style="45" customWidth="1"/>
    <col min="4113" max="4113" width="6.81640625" style="45" customWidth="1"/>
    <col min="4114" max="4114" width="6.08984375" style="45" customWidth="1"/>
    <col min="4115" max="4115" width="6.81640625" style="45" customWidth="1"/>
    <col min="4116" max="4116" width="10.81640625" style="45" customWidth="1"/>
    <col min="4117" max="4117" width="11.54296875" style="45" customWidth="1"/>
    <col min="4118" max="4118" width="5.54296875" style="45" customWidth="1"/>
    <col min="4119" max="4119" width="6" style="45" customWidth="1"/>
    <col min="4120" max="4120" width="6.54296875" style="45" customWidth="1"/>
    <col min="4121" max="4121" width="11.08984375" style="45" customWidth="1"/>
    <col min="4122" max="4122" width="7.08984375" style="45" customWidth="1"/>
    <col min="4123" max="4124" width="5.81640625" style="45" customWidth="1"/>
    <col min="4125" max="4125" width="6" style="45" customWidth="1"/>
    <col min="4126" max="4126" width="6.81640625" style="45" customWidth="1"/>
    <col min="4127" max="4127" width="6" style="45" customWidth="1"/>
    <col min="4128" max="4128" width="18.08984375" style="45" customWidth="1"/>
    <col min="4129" max="4366" width="8.81640625" style="45"/>
    <col min="4367" max="4367" width="2.08984375" style="45" customWidth="1"/>
    <col min="4368" max="4368" width="5.81640625" style="45" customWidth="1"/>
    <col min="4369" max="4369" width="6.81640625" style="45" customWidth="1"/>
    <col min="4370" max="4370" width="6.08984375" style="45" customWidth="1"/>
    <col min="4371" max="4371" width="6.81640625" style="45" customWidth="1"/>
    <col min="4372" max="4372" width="10.81640625" style="45" customWidth="1"/>
    <col min="4373" max="4373" width="11.54296875" style="45" customWidth="1"/>
    <col min="4374" max="4374" width="5.54296875" style="45" customWidth="1"/>
    <col min="4375" max="4375" width="6" style="45" customWidth="1"/>
    <col min="4376" max="4376" width="6.54296875" style="45" customWidth="1"/>
    <col min="4377" max="4377" width="11.08984375" style="45" customWidth="1"/>
    <col min="4378" max="4378" width="7.08984375" style="45" customWidth="1"/>
    <col min="4379" max="4380" width="5.81640625" style="45" customWidth="1"/>
    <col min="4381" max="4381" width="6" style="45" customWidth="1"/>
    <col min="4382" max="4382" width="6.81640625" style="45" customWidth="1"/>
    <col min="4383" max="4383" width="6" style="45" customWidth="1"/>
    <col min="4384" max="4384" width="18.08984375" style="45" customWidth="1"/>
    <col min="4385" max="4622" width="8.81640625" style="45"/>
    <col min="4623" max="4623" width="2.08984375" style="45" customWidth="1"/>
    <col min="4624" max="4624" width="5.81640625" style="45" customWidth="1"/>
    <col min="4625" max="4625" width="6.81640625" style="45" customWidth="1"/>
    <col min="4626" max="4626" width="6.08984375" style="45" customWidth="1"/>
    <col min="4627" max="4627" width="6.81640625" style="45" customWidth="1"/>
    <col min="4628" max="4628" width="10.81640625" style="45" customWidth="1"/>
    <col min="4629" max="4629" width="11.54296875" style="45" customWidth="1"/>
    <col min="4630" max="4630" width="5.54296875" style="45" customWidth="1"/>
    <col min="4631" max="4631" width="6" style="45" customWidth="1"/>
    <col min="4632" max="4632" width="6.54296875" style="45" customWidth="1"/>
    <col min="4633" max="4633" width="11.08984375" style="45" customWidth="1"/>
    <col min="4634" max="4634" width="7.08984375" style="45" customWidth="1"/>
    <col min="4635" max="4636" width="5.81640625" style="45" customWidth="1"/>
    <col min="4637" max="4637" width="6" style="45" customWidth="1"/>
    <col min="4638" max="4638" width="6.81640625" style="45" customWidth="1"/>
    <col min="4639" max="4639" width="6" style="45" customWidth="1"/>
    <col min="4640" max="4640" width="18.08984375" style="45" customWidth="1"/>
    <col min="4641" max="4878" width="8.81640625" style="45"/>
    <col min="4879" max="4879" width="2.08984375" style="45" customWidth="1"/>
    <col min="4880" max="4880" width="5.81640625" style="45" customWidth="1"/>
    <col min="4881" max="4881" width="6.81640625" style="45" customWidth="1"/>
    <col min="4882" max="4882" width="6.08984375" style="45" customWidth="1"/>
    <col min="4883" max="4883" width="6.81640625" style="45" customWidth="1"/>
    <col min="4884" max="4884" width="10.81640625" style="45" customWidth="1"/>
    <col min="4885" max="4885" width="11.54296875" style="45" customWidth="1"/>
    <col min="4886" max="4886" width="5.54296875" style="45" customWidth="1"/>
    <col min="4887" max="4887" width="6" style="45" customWidth="1"/>
    <col min="4888" max="4888" width="6.54296875" style="45" customWidth="1"/>
    <col min="4889" max="4889" width="11.08984375" style="45" customWidth="1"/>
    <col min="4890" max="4890" width="7.08984375" style="45" customWidth="1"/>
    <col min="4891" max="4892" width="5.81640625" style="45" customWidth="1"/>
    <col min="4893" max="4893" width="6" style="45" customWidth="1"/>
    <col min="4894" max="4894" width="6.81640625" style="45" customWidth="1"/>
    <col min="4895" max="4895" width="6" style="45" customWidth="1"/>
    <col min="4896" max="4896" width="18.08984375" style="45" customWidth="1"/>
    <col min="4897" max="5134" width="8.81640625" style="45"/>
    <col min="5135" max="5135" width="2.08984375" style="45" customWidth="1"/>
    <col min="5136" max="5136" width="5.81640625" style="45" customWidth="1"/>
    <col min="5137" max="5137" width="6.81640625" style="45" customWidth="1"/>
    <col min="5138" max="5138" width="6.08984375" style="45" customWidth="1"/>
    <col min="5139" max="5139" width="6.81640625" style="45" customWidth="1"/>
    <col min="5140" max="5140" width="10.81640625" style="45" customWidth="1"/>
    <col min="5141" max="5141" width="11.54296875" style="45" customWidth="1"/>
    <col min="5142" max="5142" width="5.54296875" style="45" customWidth="1"/>
    <col min="5143" max="5143" width="6" style="45" customWidth="1"/>
    <col min="5144" max="5144" width="6.54296875" style="45" customWidth="1"/>
    <col min="5145" max="5145" width="11.08984375" style="45" customWidth="1"/>
    <col min="5146" max="5146" width="7.08984375" style="45" customWidth="1"/>
    <col min="5147" max="5148" width="5.81640625" style="45" customWidth="1"/>
    <col min="5149" max="5149" width="6" style="45" customWidth="1"/>
    <col min="5150" max="5150" width="6.81640625" style="45" customWidth="1"/>
    <col min="5151" max="5151" width="6" style="45" customWidth="1"/>
    <col min="5152" max="5152" width="18.08984375" style="45" customWidth="1"/>
    <col min="5153" max="5390" width="8.81640625" style="45"/>
    <col min="5391" max="5391" width="2.08984375" style="45" customWidth="1"/>
    <col min="5392" max="5392" width="5.81640625" style="45" customWidth="1"/>
    <col min="5393" max="5393" width="6.81640625" style="45" customWidth="1"/>
    <col min="5394" max="5394" width="6.08984375" style="45" customWidth="1"/>
    <col min="5395" max="5395" width="6.81640625" style="45" customWidth="1"/>
    <col min="5396" max="5396" width="10.81640625" style="45" customWidth="1"/>
    <col min="5397" max="5397" width="11.54296875" style="45" customWidth="1"/>
    <col min="5398" max="5398" width="5.54296875" style="45" customWidth="1"/>
    <col min="5399" max="5399" width="6" style="45" customWidth="1"/>
    <col min="5400" max="5400" width="6.54296875" style="45" customWidth="1"/>
    <col min="5401" max="5401" width="11.08984375" style="45" customWidth="1"/>
    <col min="5402" max="5402" width="7.08984375" style="45" customWidth="1"/>
    <col min="5403" max="5404" width="5.81640625" style="45" customWidth="1"/>
    <col min="5405" max="5405" width="6" style="45" customWidth="1"/>
    <col min="5406" max="5406" width="6.81640625" style="45" customWidth="1"/>
    <col min="5407" max="5407" width="6" style="45" customWidth="1"/>
    <col min="5408" max="5408" width="18.08984375" style="45" customWidth="1"/>
    <col min="5409" max="5646" width="8.81640625" style="45"/>
    <col min="5647" max="5647" width="2.08984375" style="45" customWidth="1"/>
    <col min="5648" max="5648" width="5.81640625" style="45" customWidth="1"/>
    <col min="5649" max="5649" width="6.81640625" style="45" customWidth="1"/>
    <col min="5650" max="5650" width="6.08984375" style="45" customWidth="1"/>
    <col min="5651" max="5651" width="6.81640625" style="45" customWidth="1"/>
    <col min="5652" max="5652" width="10.81640625" style="45" customWidth="1"/>
    <col min="5653" max="5653" width="11.54296875" style="45" customWidth="1"/>
    <col min="5654" max="5654" width="5.54296875" style="45" customWidth="1"/>
    <col min="5655" max="5655" width="6" style="45" customWidth="1"/>
    <col min="5656" max="5656" width="6.54296875" style="45" customWidth="1"/>
    <col min="5657" max="5657" width="11.08984375" style="45" customWidth="1"/>
    <col min="5658" max="5658" width="7.08984375" style="45" customWidth="1"/>
    <col min="5659" max="5660" width="5.81640625" style="45" customWidth="1"/>
    <col min="5661" max="5661" width="6" style="45" customWidth="1"/>
    <col min="5662" max="5662" width="6.81640625" style="45" customWidth="1"/>
    <col min="5663" max="5663" width="6" style="45" customWidth="1"/>
    <col min="5664" max="5664" width="18.08984375" style="45" customWidth="1"/>
    <col min="5665" max="5902" width="8.81640625" style="45"/>
    <col min="5903" max="5903" width="2.08984375" style="45" customWidth="1"/>
    <col min="5904" max="5904" width="5.81640625" style="45" customWidth="1"/>
    <col min="5905" max="5905" width="6.81640625" style="45" customWidth="1"/>
    <col min="5906" max="5906" width="6.08984375" style="45" customWidth="1"/>
    <col min="5907" max="5907" width="6.81640625" style="45" customWidth="1"/>
    <col min="5908" max="5908" width="10.81640625" style="45" customWidth="1"/>
    <col min="5909" max="5909" width="11.54296875" style="45" customWidth="1"/>
    <col min="5910" max="5910" width="5.54296875" style="45" customWidth="1"/>
    <col min="5911" max="5911" width="6" style="45" customWidth="1"/>
    <col min="5912" max="5912" width="6.54296875" style="45" customWidth="1"/>
    <col min="5913" max="5913" width="11.08984375" style="45" customWidth="1"/>
    <col min="5914" max="5914" width="7.08984375" style="45" customWidth="1"/>
    <col min="5915" max="5916" width="5.81640625" style="45" customWidth="1"/>
    <col min="5917" max="5917" width="6" style="45" customWidth="1"/>
    <col min="5918" max="5918" width="6.81640625" style="45" customWidth="1"/>
    <col min="5919" max="5919" width="6" style="45" customWidth="1"/>
    <col min="5920" max="5920" width="18.08984375" style="45" customWidth="1"/>
    <col min="5921" max="6158" width="8.81640625" style="45"/>
    <col min="6159" max="6159" width="2.08984375" style="45" customWidth="1"/>
    <col min="6160" max="6160" width="5.81640625" style="45" customWidth="1"/>
    <col min="6161" max="6161" width="6.81640625" style="45" customWidth="1"/>
    <col min="6162" max="6162" width="6.08984375" style="45" customWidth="1"/>
    <col min="6163" max="6163" width="6.81640625" style="45" customWidth="1"/>
    <col min="6164" max="6164" width="10.81640625" style="45" customWidth="1"/>
    <col min="6165" max="6165" width="11.54296875" style="45" customWidth="1"/>
    <col min="6166" max="6166" width="5.54296875" style="45" customWidth="1"/>
    <col min="6167" max="6167" width="6" style="45" customWidth="1"/>
    <col min="6168" max="6168" width="6.54296875" style="45" customWidth="1"/>
    <col min="6169" max="6169" width="11.08984375" style="45" customWidth="1"/>
    <col min="6170" max="6170" width="7.08984375" style="45" customWidth="1"/>
    <col min="6171" max="6172" width="5.81640625" style="45" customWidth="1"/>
    <col min="6173" max="6173" width="6" style="45" customWidth="1"/>
    <col min="6174" max="6174" width="6.81640625" style="45" customWidth="1"/>
    <col min="6175" max="6175" width="6" style="45" customWidth="1"/>
    <col min="6176" max="6176" width="18.08984375" style="45" customWidth="1"/>
    <col min="6177" max="6414" width="8.81640625" style="45"/>
    <col min="6415" max="6415" width="2.08984375" style="45" customWidth="1"/>
    <col min="6416" max="6416" width="5.81640625" style="45" customWidth="1"/>
    <col min="6417" max="6417" width="6.81640625" style="45" customWidth="1"/>
    <col min="6418" max="6418" width="6.08984375" style="45" customWidth="1"/>
    <col min="6419" max="6419" width="6.81640625" style="45" customWidth="1"/>
    <col min="6420" max="6420" width="10.81640625" style="45" customWidth="1"/>
    <col min="6421" max="6421" width="11.54296875" style="45" customWidth="1"/>
    <col min="6422" max="6422" width="5.54296875" style="45" customWidth="1"/>
    <col min="6423" max="6423" width="6" style="45" customWidth="1"/>
    <col min="6424" max="6424" width="6.54296875" style="45" customWidth="1"/>
    <col min="6425" max="6425" width="11.08984375" style="45" customWidth="1"/>
    <col min="6426" max="6426" width="7.08984375" style="45" customWidth="1"/>
    <col min="6427" max="6428" width="5.81640625" style="45" customWidth="1"/>
    <col min="6429" max="6429" width="6" style="45" customWidth="1"/>
    <col min="6430" max="6430" width="6.81640625" style="45" customWidth="1"/>
    <col min="6431" max="6431" width="6" style="45" customWidth="1"/>
    <col min="6432" max="6432" width="18.08984375" style="45" customWidth="1"/>
    <col min="6433" max="6670" width="8.81640625" style="45"/>
    <col min="6671" max="6671" width="2.08984375" style="45" customWidth="1"/>
    <col min="6672" max="6672" width="5.81640625" style="45" customWidth="1"/>
    <col min="6673" max="6673" width="6.81640625" style="45" customWidth="1"/>
    <col min="6674" max="6674" width="6.08984375" style="45" customWidth="1"/>
    <col min="6675" max="6675" width="6.81640625" style="45" customWidth="1"/>
    <col min="6676" max="6676" width="10.81640625" style="45" customWidth="1"/>
    <col min="6677" max="6677" width="11.54296875" style="45" customWidth="1"/>
    <col min="6678" max="6678" width="5.54296875" style="45" customWidth="1"/>
    <col min="6679" max="6679" width="6" style="45" customWidth="1"/>
    <col min="6680" max="6680" width="6.54296875" style="45" customWidth="1"/>
    <col min="6681" max="6681" width="11.08984375" style="45" customWidth="1"/>
    <col min="6682" max="6682" width="7.08984375" style="45" customWidth="1"/>
    <col min="6683" max="6684" width="5.81640625" style="45" customWidth="1"/>
    <col min="6685" max="6685" width="6" style="45" customWidth="1"/>
    <col min="6686" max="6686" width="6.81640625" style="45" customWidth="1"/>
    <col min="6687" max="6687" width="6" style="45" customWidth="1"/>
    <col min="6688" max="6688" width="18.08984375" style="45" customWidth="1"/>
    <col min="6689" max="6926" width="8.81640625" style="45"/>
    <col min="6927" max="6927" width="2.08984375" style="45" customWidth="1"/>
    <col min="6928" max="6928" width="5.81640625" style="45" customWidth="1"/>
    <col min="6929" max="6929" width="6.81640625" style="45" customWidth="1"/>
    <col min="6930" max="6930" width="6.08984375" style="45" customWidth="1"/>
    <col min="6931" max="6931" width="6.81640625" style="45" customWidth="1"/>
    <col min="6932" max="6932" width="10.81640625" style="45" customWidth="1"/>
    <col min="6933" max="6933" width="11.54296875" style="45" customWidth="1"/>
    <col min="6934" max="6934" width="5.54296875" style="45" customWidth="1"/>
    <col min="6935" max="6935" width="6" style="45" customWidth="1"/>
    <col min="6936" max="6936" width="6.54296875" style="45" customWidth="1"/>
    <col min="6937" max="6937" width="11.08984375" style="45" customWidth="1"/>
    <col min="6938" max="6938" width="7.08984375" style="45" customWidth="1"/>
    <col min="6939" max="6940" width="5.81640625" style="45" customWidth="1"/>
    <col min="6941" max="6941" width="6" style="45" customWidth="1"/>
    <col min="6942" max="6942" width="6.81640625" style="45" customWidth="1"/>
    <col min="6943" max="6943" width="6" style="45" customWidth="1"/>
    <col min="6944" max="6944" width="18.08984375" style="45" customWidth="1"/>
    <col min="6945" max="7182" width="8.81640625" style="45"/>
    <col min="7183" max="7183" width="2.08984375" style="45" customWidth="1"/>
    <col min="7184" max="7184" width="5.81640625" style="45" customWidth="1"/>
    <col min="7185" max="7185" width="6.81640625" style="45" customWidth="1"/>
    <col min="7186" max="7186" width="6.08984375" style="45" customWidth="1"/>
    <col min="7187" max="7187" width="6.81640625" style="45" customWidth="1"/>
    <col min="7188" max="7188" width="10.81640625" style="45" customWidth="1"/>
    <col min="7189" max="7189" width="11.54296875" style="45" customWidth="1"/>
    <col min="7190" max="7190" width="5.54296875" style="45" customWidth="1"/>
    <col min="7191" max="7191" width="6" style="45" customWidth="1"/>
    <col min="7192" max="7192" width="6.54296875" style="45" customWidth="1"/>
    <col min="7193" max="7193" width="11.08984375" style="45" customWidth="1"/>
    <col min="7194" max="7194" width="7.08984375" style="45" customWidth="1"/>
    <col min="7195" max="7196" width="5.81640625" style="45" customWidth="1"/>
    <col min="7197" max="7197" width="6" style="45" customWidth="1"/>
    <col min="7198" max="7198" width="6.81640625" style="45" customWidth="1"/>
    <col min="7199" max="7199" width="6" style="45" customWidth="1"/>
    <col min="7200" max="7200" width="18.08984375" style="45" customWidth="1"/>
    <col min="7201" max="7438" width="8.81640625" style="45"/>
    <col min="7439" max="7439" width="2.08984375" style="45" customWidth="1"/>
    <col min="7440" max="7440" width="5.81640625" style="45" customWidth="1"/>
    <col min="7441" max="7441" width="6.81640625" style="45" customWidth="1"/>
    <col min="7442" max="7442" width="6.08984375" style="45" customWidth="1"/>
    <col min="7443" max="7443" width="6.81640625" style="45" customWidth="1"/>
    <col min="7444" max="7444" width="10.81640625" style="45" customWidth="1"/>
    <col min="7445" max="7445" width="11.54296875" style="45" customWidth="1"/>
    <col min="7446" max="7446" width="5.54296875" style="45" customWidth="1"/>
    <col min="7447" max="7447" width="6" style="45" customWidth="1"/>
    <col min="7448" max="7448" width="6.54296875" style="45" customWidth="1"/>
    <col min="7449" max="7449" width="11.08984375" style="45" customWidth="1"/>
    <col min="7450" max="7450" width="7.08984375" style="45" customWidth="1"/>
    <col min="7451" max="7452" width="5.81640625" style="45" customWidth="1"/>
    <col min="7453" max="7453" width="6" style="45" customWidth="1"/>
    <col min="7454" max="7454" width="6.81640625" style="45" customWidth="1"/>
    <col min="7455" max="7455" width="6" style="45" customWidth="1"/>
    <col min="7456" max="7456" width="18.08984375" style="45" customWidth="1"/>
    <col min="7457" max="7694" width="8.81640625" style="45"/>
    <col min="7695" max="7695" width="2.08984375" style="45" customWidth="1"/>
    <col min="7696" max="7696" width="5.81640625" style="45" customWidth="1"/>
    <col min="7697" max="7697" width="6.81640625" style="45" customWidth="1"/>
    <col min="7698" max="7698" width="6.08984375" style="45" customWidth="1"/>
    <col min="7699" max="7699" width="6.81640625" style="45" customWidth="1"/>
    <col min="7700" max="7700" width="10.81640625" style="45" customWidth="1"/>
    <col min="7701" max="7701" width="11.54296875" style="45" customWidth="1"/>
    <col min="7702" max="7702" width="5.54296875" style="45" customWidth="1"/>
    <col min="7703" max="7703" width="6" style="45" customWidth="1"/>
    <col min="7704" max="7704" width="6.54296875" style="45" customWidth="1"/>
    <col min="7705" max="7705" width="11.08984375" style="45" customWidth="1"/>
    <col min="7706" max="7706" width="7.08984375" style="45" customWidth="1"/>
    <col min="7707" max="7708" width="5.81640625" style="45" customWidth="1"/>
    <col min="7709" max="7709" width="6" style="45" customWidth="1"/>
    <col min="7710" max="7710" width="6.81640625" style="45" customWidth="1"/>
    <col min="7711" max="7711" width="6" style="45" customWidth="1"/>
    <col min="7712" max="7712" width="18.08984375" style="45" customWidth="1"/>
    <col min="7713" max="7950" width="8.81640625" style="45"/>
    <col min="7951" max="7951" width="2.08984375" style="45" customWidth="1"/>
    <col min="7952" max="7952" width="5.81640625" style="45" customWidth="1"/>
    <col min="7953" max="7953" width="6.81640625" style="45" customWidth="1"/>
    <col min="7954" max="7954" width="6.08984375" style="45" customWidth="1"/>
    <col min="7955" max="7955" width="6.81640625" style="45" customWidth="1"/>
    <col min="7956" max="7956" width="10.81640625" style="45" customWidth="1"/>
    <col min="7957" max="7957" width="11.54296875" style="45" customWidth="1"/>
    <col min="7958" max="7958" width="5.54296875" style="45" customWidth="1"/>
    <col min="7959" max="7959" width="6" style="45" customWidth="1"/>
    <col min="7960" max="7960" width="6.54296875" style="45" customWidth="1"/>
    <col min="7961" max="7961" width="11.08984375" style="45" customWidth="1"/>
    <col min="7962" max="7962" width="7.08984375" style="45" customWidth="1"/>
    <col min="7963" max="7964" width="5.81640625" style="45" customWidth="1"/>
    <col min="7965" max="7965" width="6" style="45" customWidth="1"/>
    <col min="7966" max="7966" width="6.81640625" style="45" customWidth="1"/>
    <col min="7967" max="7967" width="6" style="45" customWidth="1"/>
    <col min="7968" max="7968" width="18.08984375" style="45" customWidth="1"/>
    <col min="7969" max="8206" width="8.81640625" style="45"/>
    <col min="8207" max="8207" width="2.08984375" style="45" customWidth="1"/>
    <col min="8208" max="8208" width="5.81640625" style="45" customWidth="1"/>
    <col min="8209" max="8209" width="6.81640625" style="45" customWidth="1"/>
    <col min="8210" max="8210" width="6.08984375" style="45" customWidth="1"/>
    <col min="8211" max="8211" width="6.81640625" style="45" customWidth="1"/>
    <col min="8212" max="8212" width="10.81640625" style="45" customWidth="1"/>
    <col min="8213" max="8213" width="11.54296875" style="45" customWidth="1"/>
    <col min="8214" max="8214" width="5.54296875" style="45" customWidth="1"/>
    <col min="8215" max="8215" width="6" style="45" customWidth="1"/>
    <col min="8216" max="8216" width="6.54296875" style="45" customWidth="1"/>
    <col min="8217" max="8217" width="11.08984375" style="45" customWidth="1"/>
    <col min="8218" max="8218" width="7.08984375" style="45" customWidth="1"/>
    <col min="8219" max="8220" width="5.81640625" style="45" customWidth="1"/>
    <col min="8221" max="8221" width="6" style="45" customWidth="1"/>
    <col min="8222" max="8222" width="6.81640625" style="45" customWidth="1"/>
    <col min="8223" max="8223" width="6" style="45" customWidth="1"/>
    <col min="8224" max="8224" width="18.08984375" style="45" customWidth="1"/>
    <col min="8225" max="8462" width="8.81640625" style="45"/>
    <col min="8463" max="8463" width="2.08984375" style="45" customWidth="1"/>
    <col min="8464" max="8464" width="5.81640625" style="45" customWidth="1"/>
    <col min="8465" max="8465" width="6.81640625" style="45" customWidth="1"/>
    <col min="8466" max="8466" width="6.08984375" style="45" customWidth="1"/>
    <col min="8467" max="8467" width="6.81640625" style="45" customWidth="1"/>
    <col min="8468" max="8468" width="10.81640625" style="45" customWidth="1"/>
    <col min="8469" max="8469" width="11.54296875" style="45" customWidth="1"/>
    <col min="8470" max="8470" width="5.54296875" style="45" customWidth="1"/>
    <col min="8471" max="8471" width="6" style="45" customWidth="1"/>
    <col min="8472" max="8472" width="6.54296875" style="45" customWidth="1"/>
    <col min="8473" max="8473" width="11.08984375" style="45" customWidth="1"/>
    <col min="8474" max="8474" width="7.08984375" style="45" customWidth="1"/>
    <col min="8475" max="8476" width="5.81640625" style="45" customWidth="1"/>
    <col min="8477" max="8477" width="6" style="45" customWidth="1"/>
    <col min="8478" max="8478" width="6.81640625" style="45" customWidth="1"/>
    <col min="8479" max="8479" width="6" style="45" customWidth="1"/>
    <col min="8480" max="8480" width="18.08984375" style="45" customWidth="1"/>
    <col min="8481" max="8718" width="8.81640625" style="45"/>
    <col min="8719" max="8719" width="2.08984375" style="45" customWidth="1"/>
    <col min="8720" max="8720" width="5.81640625" style="45" customWidth="1"/>
    <col min="8721" max="8721" width="6.81640625" style="45" customWidth="1"/>
    <col min="8722" max="8722" width="6.08984375" style="45" customWidth="1"/>
    <col min="8723" max="8723" width="6.81640625" style="45" customWidth="1"/>
    <col min="8724" max="8724" width="10.81640625" style="45" customWidth="1"/>
    <col min="8725" max="8725" width="11.54296875" style="45" customWidth="1"/>
    <col min="8726" max="8726" width="5.54296875" style="45" customWidth="1"/>
    <col min="8727" max="8727" width="6" style="45" customWidth="1"/>
    <col min="8728" max="8728" width="6.54296875" style="45" customWidth="1"/>
    <col min="8729" max="8729" width="11.08984375" style="45" customWidth="1"/>
    <col min="8730" max="8730" width="7.08984375" style="45" customWidth="1"/>
    <col min="8731" max="8732" width="5.81640625" style="45" customWidth="1"/>
    <col min="8733" max="8733" width="6" style="45" customWidth="1"/>
    <col min="8734" max="8734" width="6.81640625" style="45" customWidth="1"/>
    <col min="8735" max="8735" width="6" style="45" customWidth="1"/>
    <col min="8736" max="8736" width="18.08984375" style="45" customWidth="1"/>
    <col min="8737" max="8974" width="8.81640625" style="45"/>
    <col min="8975" max="8975" width="2.08984375" style="45" customWidth="1"/>
    <col min="8976" max="8976" width="5.81640625" style="45" customWidth="1"/>
    <col min="8977" max="8977" width="6.81640625" style="45" customWidth="1"/>
    <col min="8978" max="8978" width="6.08984375" style="45" customWidth="1"/>
    <col min="8979" max="8979" width="6.81640625" style="45" customWidth="1"/>
    <col min="8980" max="8980" width="10.81640625" style="45" customWidth="1"/>
    <col min="8981" max="8981" width="11.54296875" style="45" customWidth="1"/>
    <col min="8982" max="8982" width="5.54296875" style="45" customWidth="1"/>
    <col min="8983" max="8983" width="6" style="45" customWidth="1"/>
    <col min="8984" max="8984" width="6.54296875" style="45" customWidth="1"/>
    <col min="8985" max="8985" width="11.08984375" style="45" customWidth="1"/>
    <col min="8986" max="8986" width="7.08984375" style="45" customWidth="1"/>
    <col min="8987" max="8988" width="5.81640625" style="45" customWidth="1"/>
    <col min="8989" max="8989" width="6" style="45" customWidth="1"/>
    <col min="8990" max="8990" width="6.81640625" style="45" customWidth="1"/>
    <col min="8991" max="8991" width="6" style="45" customWidth="1"/>
    <col min="8992" max="8992" width="18.08984375" style="45" customWidth="1"/>
    <col min="8993" max="9230" width="8.81640625" style="45"/>
    <col min="9231" max="9231" width="2.08984375" style="45" customWidth="1"/>
    <col min="9232" max="9232" width="5.81640625" style="45" customWidth="1"/>
    <col min="9233" max="9233" width="6.81640625" style="45" customWidth="1"/>
    <col min="9234" max="9234" width="6.08984375" style="45" customWidth="1"/>
    <col min="9235" max="9235" width="6.81640625" style="45" customWidth="1"/>
    <col min="9236" max="9236" width="10.81640625" style="45" customWidth="1"/>
    <col min="9237" max="9237" width="11.54296875" style="45" customWidth="1"/>
    <col min="9238" max="9238" width="5.54296875" style="45" customWidth="1"/>
    <col min="9239" max="9239" width="6" style="45" customWidth="1"/>
    <col min="9240" max="9240" width="6.54296875" style="45" customWidth="1"/>
    <col min="9241" max="9241" width="11.08984375" style="45" customWidth="1"/>
    <col min="9242" max="9242" width="7.08984375" style="45" customWidth="1"/>
    <col min="9243" max="9244" width="5.81640625" style="45" customWidth="1"/>
    <col min="9245" max="9245" width="6" style="45" customWidth="1"/>
    <col min="9246" max="9246" width="6.81640625" style="45" customWidth="1"/>
    <col min="9247" max="9247" width="6" style="45" customWidth="1"/>
    <col min="9248" max="9248" width="18.08984375" style="45" customWidth="1"/>
    <col min="9249" max="9486" width="8.81640625" style="45"/>
    <col min="9487" max="9487" width="2.08984375" style="45" customWidth="1"/>
    <col min="9488" max="9488" width="5.81640625" style="45" customWidth="1"/>
    <col min="9489" max="9489" width="6.81640625" style="45" customWidth="1"/>
    <col min="9490" max="9490" width="6.08984375" style="45" customWidth="1"/>
    <col min="9491" max="9491" width="6.81640625" style="45" customWidth="1"/>
    <col min="9492" max="9492" width="10.81640625" style="45" customWidth="1"/>
    <col min="9493" max="9493" width="11.54296875" style="45" customWidth="1"/>
    <col min="9494" max="9494" width="5.54296875" style="45" customWidth="1"/>
    <col min="9495" max="9495" width="6" style="45" customWidth="1"/>
    <col min="9496" max="9496" width="6.54296875" style="45" customWidth="1"/>
    <col min="9497" max="9497" width="11.08984375" style="45" customWidth="1"/>
    <col min="9498" max="9498" width="7.08984375" style="45" customWidth="1"/>
    <col min="9499" max="9500" width="5.81640625" style="45" customWidth="1"/>
    <col min="9501" max="9501" width="6" style="45" customWidth="1"/>
    <col min="9502" max="9502" width="6.81640625" style="45" customWidth="1"/>
    <col min="9503" max="9503" width="6" style="45" customWidth="1"/>
    <col min="9504" max="9504" width="18.08984375" style="45" customWidth="1"/>
    <col min="9505" max="9742" width="8.81640625" style="45"/>
    <col min="9743" max="9743" width="2.08984375" style="45" customWidth="1"/>
    <col min="9744" max="9744" width="5.81640625" style="45" customWidth="1"/>
    <col min="9745" max="9745" width="6.81640625" style="45" customWidth="1"/>
    <col min="9746" max="9746" width="6.08984375" style="45" customWidth="1"/>
    <col min="9747" max="9747" width="6.81640625" style="45" customWidth="1"/>
    <col min="9748" max="9748" width="10.81640625" style="45" customWidth="1"/>
    <col min="9749" max="9749" width="11.54296875" style="45" customWidth="1"/>
    <col min="9750" max="9750" width="5.54296875" style="45" customWidth="1"/>
    <col min="9751" max="9751" width="6" style="45" customWidth="1"/>
    <col min="9752" max="9752" width="6.54296875" style="45" customWidth="1"/>
    <col min="9753" max="9753" width="11.08984375" style="45" customWidth="1"/>
    <col min="9754" max="9754" width="7.08984375" style="45" customWidth="1"/>
    <col min="9755" max="9756" width="5.81640625" style="45" customWidth="1"/>
    <col min="9757" max="9757" width="6" style="45" customWidth="1"/>
    <col min="9758" max="9758" width="6.81640625" style="45" customWidth="1"/>
    <col min="9759" max="9759" width="6" style="45" customWidth="1"/>
    <col min="9760" max="9760" width="18.08984375" style="45" customWidth="1"/>
    <col min="9761" max="9998" width="8.81640625" style="45"/>
    <col min="9999" max="9999" width="2.08984375" style="45" customWidth="1"/>
    <col min="10000" max="10000" width="5.81640625" style="45" customWidth="1"/>
    <col min="10001" max="10001" width="6.81640625" style="45" customWidth="1"/>
    <col min="10002" max="10002" width="6.08984375" style="45" customWidth="1"/>
    <col min="10003" max="10003" width="6.81640625" style="45" customWidth="1"/>
    <col min="10004" max="10004" width="10.81640625" style="45" customWidth="1"/>
    <col min="10005" max="10005" width="11.54296875" style="45" customWidth="1"/>
    <col min="10006" max="10006" width="5.54296875" style="45" customWidth="1"/>
    <col min="10007" max="10007" width="6" style="45" customWidth="1"/>
    <col min="10008" max="10008" width="6.54296875" style="45" customWidth="1"/>
    <col min="10009" max="10009" width="11.08984375" style="45" customWidth="1"/>
    <col min="10010" max="10010" width="7.08984375" style="45" customWidth="1"/>
    <col min="10011" max="10012" width="5.81640625" style="45" customWidth="1"/>
    <col min="10013" max="10013" width="6" style="45" customWidth="1"/>
    <col min="10014" max="10014" width="6.81640625" style="45" customWidth="1"/>
    <col min="10015" max="10015" width="6" style="45" customWidth="1"/>
    <col min="10016" max="10016" width="18.08984375" style="45" customWidth="1"/>
    <col min="10017" max="10254" width="8.81640625" style="45"/>
    <col min="10255" max="10255" width="2.08984375" style="45" customWidth="1"/>
    <col min="10256" max="10256" width="5.81640625" style="45" customWidth="1"/>
    <col min="10257" max="10257" width="6.81640625" style="45" customWidth="1"/>
    <col min="10258" max="10258" width="6.08984375" style="45" customWidth="1"/>
    <col min="10259" max="10259" width="6.81640625" style="45" customWidth="1"/>
    <col min="10260" max="10260" width="10.81640625" style="45" customWidth="1"/>
    <col min="10261" max="10261" width="11.54296875" style="45" customWidth="1"/>
    <col min="10262" max="10262" width="5.54296875" style="45" customWidth="1"/>
    <col min="10263" max="10263" width="6" style="45" customWidth="1"/>
    <col min="10264" max="10264" width="6.54296875" style="45" customWidth="1"/>
    <col min="10265" max="10265" width="11.08984375" style="45" customWidth="1"/>
    <col min="10266" max="10266" width="7.08984375" style="45" customWidth="1"/>
    <col min="10267" max="10268" width="5.81640625" style="45" customWidth="1"/>
    <col min="10269" max="10269" width="6" style="45" customWidth="1"/>
    <col min="10270" max="10270" width="6.81640625" style="45" customWidth="1"/>
    <col min="10271" max="10271" width="6" style="45" customWidth="1"/>
    <col min="10272" max="10272" width="18.08984375" style="45" customWidth="1"/>
    <col min="10273" max="10510" width="8.81640625" style="45"/>
    <col min="10511" max="10511" width="2.08984375" style="45" customWidth="1"/>
    <col min="10512" max="10512" width="5.81640625" style="45" customWidth="1"/>
    <col min="10513" max="10513" width="6.81640625" style="45" customWidth="1"/>
    <col min="10514" max="10514" width="6.08984375" style="45" customWidth="1"/>
    <col min="10515" max="10515" width="6.81640625" style="45" customWidth="1"/>
    <col min="10516" max="10516" width="10.81640625" style="45" customWidth="1"/>
    <col min="10517" max="10517" width="11.54296875" style="45" customWidth="1"/>
    <col min="10518" max="10518" width="5.54296875" style="45" customWidth="1"/>
    <col min="10519" max="10519" width="6" style="45" customWidth="1"/>
    <col min="10520" max="10520" width="6.54296875" style="45" customWidth="1"/>
    <col min="10521" max="10521" width="11.08984375" style="45" customWidth="1"/>
    <col min="10522" max="10522" width="7.08984375" style="45" customWidth="1"/>
    <col min="10523" max="10524" width="5.81640625" style="45" customWidth="1"/>
    <col min="10525" max="10525" width="6" style="45" customWidth="1"/>
    <col min="10526" max="10526" width="6.81640625" style="45" customWidth="1"/>
    <col min="10527" max="10527" width="6" style="45" customWidth="1"/>
    <col min="10528" max="10528" width="18.08984375" style="45" customWidth="1"/>
    <col min="10529" max="10766" width="8.81640625" style="45"/>
    <col min="10767" max="10767" width="2.08984375" style="45" customWidth="1"/>
    <col min="10768" max="10768" width="5.81640625" style="45" customWidth="1"/>
    <col min="10769" max="10769" width="6.81640625" style="45" customWidth="1"/>
    <col min="10770" max="10770" width="6.08984375" style="45" customWidth="1"/>
    <col min="10771" max="10771" width="6.81640625" style="45" customWidth="1"/>
    <col min="10772" max="10772" width="10.81640625" style="45" customWidth="1"/>
    <col min="10773" max="10773" width="11.54296875" style="45" customWidth="1"/>
    <col min="10774" max="10774" width="5.54296875" style="45" customWidth="1"/>
    <col min="10775" max="10775" width="6" style="45" customWidth="1"/>
    <col min="10776" max="10776" width="6.54296875" style="45" customWidth="1"/>
    <col min="10777" max="10777" width="11.08984375" style="45" customWidth="1"/>
    <col min="10778" max="10778" width="7.08984375" style="45" customWidth="1"/>
    <col min="10779" max="10780" width="5.81640625" style="45" customWidth="1"/>
    <col min="10781" max="10781" width="6" style="45" customWidth="1"/>
    <col min="10782" max="10782" width="6.81640625" style="45" customWidth="1"/>
    <col min="10783" max="10783" width="6" style="45" customWidth="1"/>
    <col min="10784" max="10784" width="18.08984375" style="45" customWidth="1"/>
    <col min="10785" max="11022" width="8.81640625" style="45"/>
    <col min="11023" max="11023" width="2.08984375" style="45" customWidth="1"/>
    <col min="11024" max="11024" width="5.81640625" style="45" customWidth="1"/>
    <col min="11025" max="11025" width="6.81640625" style="45" customWidth="1"/>
    <col min="11026" max="11026" width="6.08984375" style="45" customWidth="1"/>
    <col min="11027" max="11027" width="6.81640625" style="45" customWidth="1"/>
    <col min="11028" max="11028" width="10.81640625" style="45" customWidth="1"/>
    <col min="11029" max="11029" width="11.54296875" style="45" customWidth="1"/>
    <col min="11030" max="11030" width="5.54296875" style="45" customWidth="1"/>
    <col min="11031" max="11031" width="6" style="45" customWidth="1"/>
    <col min="11032" max="11032" width="6.54296875" style="45" customWidth="1"/>
    <col min="11033" max="11033" width="11.08984375" style="45" customWidth="1"/>
    <col min="11034" max="11034" width="7.08984375" style="45" customWidth="1"/>
    <col min="11035" max="11036" width="5.81640625" style="45" customWidth="1"/>
    <col min="11037" max="11037" width="6" style="45" customWidth="1"/>
    <col min="11038" max="11038" width="6.81640625" style="45" customWidth="1"/>
    <col min="11039" max="11039" width="6" style="45" customWidth="1"/>
    <col min="11040" max="11040" width="18.08984375" style="45" customWidth="1"/>
    <col min="11041" max="11278" width="8.81640625" style="45"/>
    <col min="11279" max="11279" width="2.08984375" style="45" customWidth="1"/>
    <col min="11280" max="11280" width="5.81640625" style="45" customWidth="1"/>
    <col min="11281" max="11281" width="6.81640625" style="45" customWidth="1"/>
    <col min="11282" max="11282" width="6.08984375" style="45" customWidth="1"/>
    <col min="11283" max="11283" width="6.81640625" style="45" customWidth="1"/>
    <col min="11284" max="11284" width="10.81640625" style="45" customWidth="1"/>
    <col min="11285" max="11285" width="11.54296875" style="45" customWidth="1"/>
    <col min="11286" max="11286" width="5.54296875" style="45" customWidth="1"/>
    <col min="11287" max="11287" width="6" style="45" customWidth="1"/>
    <col min="11288" max="11288" width="6.54296875" style="45" customWidth="1"/>
    <col min="11289" max="11289" width="11.08984375" style="45" customWidth="1"/>
    <col min="11290" max="11290" width="7.08984375" style="45" customWidth="1"/>
    <col min="11291" max="11292" width="5.81640625" style="45" customWidth="1"/>
    <col min="11293" max="11293" width="6" style="45" customWidth="1"/>
    <col min="11294" max="11294" width="6.81640625" style="45" customWidth="1"/>
    <col min="11295" max="11295" width="6" style="45" customWidth="1"/>
    <col min="11296" max="11296" width="18.08984375" style="45" customWidth="1"/>
    <col min="11297" max="11534" width="8.81640625" style="45"/>
    <col min="11535" max="11535" width="2.08984375" style="45" customWidth="1"/>
    <col min="11536" max="11536" width="5.81640625" style="45" customWidth="1"/>
    <col min="11537" max="11537" width="6.81640625" style="45" customWidth="1"/>
    <col min="11538" max="11538" width="6.08984375" style="45" customWidth="1"/>
    <col min="11539" max="11539" width="6.81640625" style="45" customWidth="1"/>
    <col min="11540" max="11540" width="10.81640625" style="45" customWidth="1"/>
    <col min="11541" max="11541" width="11.54296875" style="45" customWidth="1"/>
    <col min="11542" max="11542" width="5.54296875" style="45" customWidth="1"/>
    <col min="11543" max="11543" width="6" style="45" customWidth="1"/>
    <col min="11544" max="11544" width="6.54296875" style="45" customWidth="1"/>
    <col min="11545" max="11545" width="11.08984375" style="45" customWidth="1"/>
    <col min="11546" max="11546" width="7.08984375" style="45" customWidth="1"/>
    <col min="11547" max="11548" width="5.81640625" style="45" customWidth="1"/>
    <col min="11549" max="11549" width="6" style="45" customWidth="1"/>
    <col min="11550" max="11550" width="6.81640625" style="45" customWidth="1"/>
    <col min="11551" max="11551" width="6" style="45" customWidth="1"/>
    <col min="11552" max="11552" width="18.08984375" style="45" customWidth="1"/>
    <col min="11553" max="11790" width="8.81640625" style="45"/>
    <col min="11791" max="11791" width="2.08984375" style="45" customWidth="1"/>
    <col min="11792" max="11792" width="5.81640625" style="45" customWidth="1"/>
    <col min="11793" max="11793" width="6.81640625" style="45" customWidth="1"/>
    <col min="11794" max="11794" width="6.08984375" style="45" customWidth="1"/>
    <col min="11795" max="11795" width="6.81640625" style="45" customWidth="1"/>
    <col min="11796" max="11796" width="10.81640625" style="45" customWidth="1"/>
    <col min="11797" max="11797" width="11.54296875" style="45" customWidth="1"/>
    <col min="11798" max="11798" width="5.54296875" style="45" customWidth="1"/>
    <col min="11799" max="11799" width="6" style="45" customWidth="1"/>
    <col min="11800" max="11800" width="6.54296875" style="45" customWidth="1"/>
    <col min="11801" max="11801" width="11.08984375" style="45" customWidth="1"/>
    <col min="11802" max="11802" width="7.08984375" style="45" customWidth="1"/>
    <col min="11803" max="11804" width="5.81640625" style="45" customWidth="1"/>
    <col min="11805" max="11805" width="6" style="45" customWidth="1"/>
    <col min="11806" max="11806" width="6.81640625" style="45" customWidth="1"/>
    <col min="11807" max="11807" width="6" style="45" customWidth="1"/>
    <col min="11808" max="11808" width="18.08984375" style="45" customWidth="1"/>
    <col min="11809" max="12046" width="8.81640625" style="45"/>
    <col min="12047" max="12047" width="2.08984375" style="45" customWidth="1"/>
    <col min="12048" max="12048" width="5.81640625" style="45" customWidth="1"/>
    <col min="12049" max="12049" width="6.81640625" style="45" customWidth="1"/>
    <col min="12050" max="12050" width="6.08984375" style="45" customWidth="1"/>
    <col min="12051" max="12051" width="6.81640625" style="45" customWidth="1"/>
    <col min="12052" max="12052" width="10.81640625" style="45" customWidth="1"/>
    <col min="12053" max="12053" width="11.54296875" style="45" customWidth="1"/>
    <col min="12054" max="12054" width="5.54296875" style="45" customWidth="1"/>
    <col min="12055" max="12055" width="6" style="45" customWidth="1"/>
    <col min="12056" max="12056" width="6.54296875" style="45" customWidth="1"/>
    <col min="12057" max="12057" width="11.08984375" style="45" customWidth="1"/>
    <col min="12058" max="12058" width="7.08984375" style="45" customWidth="1"/>
    <col min="12059" max="12060" width="5.81640625" style="45" customWidth="1"/>
    <col min="12061" max="12061" width="6" style="45" customWidth="1"/>
    <col min="12062" max="12062" width="6.81640625" style="45" customWidth="1"/>
    <col min="12063" max="12063" width="6" style="45" customWidth="1"/>
    <col min="12064" max="12064" width="18.08984375" style="45" customWidth="1"/>
    <col min="12065" max="12302" width="8.81640625" style="45"/>
    <col min="12303" max="12303" width="2.08984375" style="45" customWidth="1"/>
    <col min="12304" max="12304" width="5.81640625" style="45" customWidth="1"/>
    <col min="12305" max="12305" width="6.81640625" style="45" customWidth="1"/>
    <col min="12306" max="12306" width="6.08984375" style="45" customWidth="1"/>
    <col min="12307" max="12307" width="6.81640625" style="45" customWidth="1"/>
    <col min="12308" max="12308" width="10.81640625" style="45" customWidth="1"/>
    <col min="12309" max="12309" width="11.54296875" style="45" customWidth="1"/>
    <col min="12310" max="12310" width="5.54296875" style="45" customWidth="1"/>
    <col min="12311" max="12311" width="6" style="45" customWidth="1"/>
    <col min="12312" max="12312" width="6.54296875" style="45" customWidth="1"/>
    <col min="12313" max="12313" width="11.08984375" style="45" customWidth="1"/>
    <col min="12314" max="12314" width="7.08984375" style="45" customWidth="1"/>
    <col min="12315" max="12316" width="5.81640625" style="45" customWidth="1"/>
    <col min="12317" max="12317" width="6" style="45" customWidth="1"/>
    <col min="12318" max="12318" width="6.81640625" style="45" customWidth="1"/>
    <col min="12319" max="12319" width="6" style="45" customWidth="1"/>
    <col min="12320" max="12320" width="18.08984375" style="45" customWidth="1"/>
    <col min="12321" max="12558" width="8.81640625" style="45"/>
    <col min="12559" max="12559" width="2.08984375" style="45" customWidth="1"/>
    <col min="12560" max="12560" width="5.81640625" style="45" customWidth="1"/>
    <col min="12561" max="12561" width="6.81640625" style="45" customWidth="1"/>
    <col min="12562" max="12562" width="6.08984375" style="45" customWidth="1"/>
    <col min="12563" max="12563" width="6.81640625" style="45" customWidth="1"/>
    <col min="12564" max="12564" width="10.81640625" style="45" customWidth="1"/>
    <col min="12565" max="12565" width="11.54296875" style="45" customWidth="1"/>
    <col min="12566" max="12566" width="5.54296875" style="45" customWidth="1"/>
    <col min="12567" max="12567" width="6" style="45" customWidth="1"/>
    <col min="12568" max="12568" width="6.54296875" style="45" customWidth="1"/>
    <col min="12569" max="12569" width="11.08984375" style="45" customWidth="1"/>
    <col min="12570" max="12570" width="7.08984375" style="45" customWidth="1"/>
    <col min="12571" max="12572" width="5.81640625" style="45" customWidth="1"/>
    <col min="12573" max="12573" width="6" style="45" customWidth="1"/>
    <col min="12574" max="12574" width="6.81640625" style="45" customWidth="1"/>
    <col min="12575" max="12575" width="6" style="45" customWidth="1"/>
    <col min="12576" max="12576" width="18.08984375" style="45" customWidth="1"/>
    <col min="12577" max="12814" width="8.81640625" style="45"/>
    <col min="12815" max="12815" width="2.08984375" style="45" customWidth="1"/>
    <col min="12816" max="12816" width="5.81640625" style="45" customWidth="1"/>
    <col min="12817" max="12817" width="6.81640625" style="45" customWidth="1"/>
    <col min="12818" max="12818" width="6.08984375" style="45" customWidth="1"/>
    <col min="12819" max="12819" width="6.81640625" style="45" customWidth="1"/>
    <col min="12820" max="12820" width="10.81640625" style="45" customWidth="1"/>
    <col min="12821" max="12821" width="11.54296875" style="45" customWidth="1"/>
    <col min="12822" max="12822" width="5.54296875" style="45" customWidth="1"/>
    <col min="12823" max="12823" width="6" style="45" customWidth="1"/>
    <col min="12824" max="12824" width="6.54296875" style="45" customWidth="1"/>
    <col min="12825" max="12825" width="11.08984375" style="45" customWidth="1"/>
    <col min="12826" max="12826" width="7.08984375" style="45" customWidth="1"/>
    <col min="12827" max="12828" width="5.81640625" style="45" customWidth="1"/>
    <col min="12829" max="12829" width="6" style="45" customWidth="1"/>
    <col min="12830" max="12830" width="6.81640625" style="45" customWidth="1"/>
    <col min="12831" max="12831" width="6" style="45" customWidth="1"/>
    <col min="12832" max="12832" width="18.08984375" style="45" customWidth="1"/>
    <col min="12833" max="13070" width="8.81640625" style="45"/>
    <col min="13071" max="13071" width="2.08984375" style="45" customWidth="1"/>
    <col min="13072" max="13072" width="5.81640625" style="45" customWidth="1"/>
    <col min="13073" max="13073" width="6.81640625" style="45" customWidth="1"/>
    <col min="13074" max="13074" width="6.08984375" style="45" customWidth="1"/>
    <col min="13075" max="13075" width="6.81640625" style="45" customWidth="1"/>
    <col min="13076" max="13076" width="10.81640625" style="45" customWidth="1"/>
    <col min="13077" max="13077" width="11.54296875" style="45" customWidth="1"/>
    <col min="13078" max="13078" width="5.54296875" style="45" customWidth="1"/>
    <col min="13079" max="13079" width="6" style="45" customWidth="1"/>
    <col min="13080" max="13080" width="6.54296875" style="45" customWidth="1"/>
    <col min="13081" max="13081" width="11.08984375" style="45" customWidth="1"/>
    <col min="13082" max="13082" width="7.08984375" style="45" customWidth="1"/>
    <col min="13083" max="13084" width="5.81640625" style="45" customWidth="1"/>
    <col min="13085" max="13085" width="6" style="45" customWidth="1"/>
    <col min="13086" max="13086" width="6.81640625" style="45" customWidth="1"/>
    <col min="13087" max="13087" width="6" style="45" customWidth="1"/>
    <col min="13088" max="13088" width="18.08984375" style="45" customWidth="1"/>
    <col min="13089" max="13326" width="8.81640625" style="45"/>
    <col min="13327" max="13327" width="2.08984375" style="45" customWidth="1"/>
    <col min="13328" max="13328" width="5.81640625" style="45" customWidth="1"/>
    <col min="13329" max="13329" width="6.81640625" style="45" customWidth="1"/>
    <col min="13330" max="13330" width="6.08984375" style="45" customWidth="1"/>
    <col min="13331" max="13331" width="6.81640625" style="45" customWidth="1"/>
    <col min="13332" max="13332" width="10.81640625" style="45" customWidth="1"/>
    <col min="13333" max="13333" width="11.54296875" style="45" customWidth="1"/>
    <col min="13334" max="13334" width="5.54296875" style="45" customWidth="1"/>
    <col min="13335" max="13335" width="6" style="45" customWidth="1"/>
    <col min="13336" max="13336" width="6.54296875" style="45" customWidth="1"/>
    <col min="13337" max="13337" width="11.08984375" style="45" customWidth="1"/>
    <col min="13338" max="13338" width="7.08984375" style="45" customWidth="1"/>
    <col min="13339" max="13340" width="5.81640625" style="45" customWidth="1"/>
    <col min="13341" max="13341" width="6" style="45" customWidth="1"/>
    <col min="13342" max="13342" width="6.81640625" style="45" customWidth="1"/>
    <col min="13343" max="13343" width="6" style="45" customWidth="1"/>
    <col min="13344" max="13344" width="18.08984375" style="45" customWidth="1"/>
    <col min="13345" max="13582" width="8.81640625" style="45"/>
    <col min="13583" max="13583" width="2.08984375" style="45" customWidth="1"/>
    <col min="13584" max="13584" width="5.81640625" style="45" customWidth="1"/>
    <col min="13585" max="13585" width="6.81640625" style="45" customWidth="1"/>
    <col min="13586" max="13586" width="6.08984375" style="45" customWidth="1"/>
    <col min="13587" max="13587" width="6.81640625" style="45" customWidth="1"/>
    <col min="13588" max="13588" width="10.81640625" style="45" customWidth="1"/>
    <col min="13589" max="13589" width="11.54296875" style="45" customWidth="1"/>
    <col min="13590" max="13590" width="5.54296875" style="45" customWidth="1"/>
    <col min="13591" max="13591" width="6" style="45" customWidth="1"/>
    <col min="13592" max="13592" width="6.54296875" style="45" customWidth="1"/>
    <col min="13593" max="13593" width="11.08984375" style="45" customWidth="1"/>
    <col min="13594" max="13594" width="7.08984375" style="45" customWidth="1"/>
    <col min="13595" max="13596" width="5.81640625" style="45" customWidth="1"/>
    <col min="13597" max="13597" width="6" style="45" customWidth="1"/>
    <col min="13598" max="13598" width="6.81640625" style="45" customWidth="1"/>
    <col min="13599" max="13599" width="6" style="45" customWidth="1"/>
    <col min="13600" max="13600" width="18.08984375" style="45" customWidth="1"/>
    <col min="13601" max="13838" width="8.81640625" style="45"/>
    <col min="13839" max="13839" width="2.08984375" style="45" customWidth="1"/>
    <col min="13840" max="13840" width="5.81640625" style="45" customWidth="1"/>
    <col min="13841" max="13841" width="6.81640625" style="45" customWidth="1"/>
    <col min="13842" max="13842" width="6.08984375" style="45" customWidth="1"/>
    <col min="13843" max="13843" width="6.81640625" style="45" customWidth="1"/>
    <col min="13844" max="13844" width="10.81640625" style="45" customWidth="1"/>
    <col min="13845" max="13845" width="11.54296875" style="45" customWidth="1"/>
    <col min="13846" max="13846" width="5.54296875" style="45" customWidth="1"/>
    <col min="13847" max="13847" width="6" style="45" customWidth="1"/>
    <col min="13848" max="13848" width="6.54296875" style="45" customWidth="1"/>
    <col min="13849" max="13849" width="11.08984375" style="45" customWidth="1"/>
    <col min="13850" max="13850" width="7.08984375" style="45" customWidth="1"/>
    <col min="13851" max="13852" width="5.81640625" style="45" customWidth="1"/>
    <col min="13853" max="13853" width="6" style="45" customWidth="1"/>
    <col min="13854" max="13854" width="6.81640625" style="45" customWidth="1"/>
    <col min="13855" max="13855" width="6" style="45" customWidth="1"/>
    <col min="13856" max="13856" width="18.08984375" style="45" customWidth="1"/>
    <col min="13857" max="14094" width="8.81640625" style="45"/>
    <col min="14095" max="14095" width="2.08984375" style="45" customWidth="1"/>
    <col min="14096" max="14096" width="5.81640625" style="45" customWidth="1"/>
    <col min="14097" max="14097" width="6.81640625" style="45" customWidth="1"/>
    <col min="14098" max="14098" width="6.08984375" style="45" customWidth="1"/>
    <col min="14099" max="14099" width="6.81640625" style="45" customWidth="1"/>
    <col min="14100" max="14100" width="10.81640625" style="45" customWidth="1"/>
    <col min="14101" max="14101" width="11.54296875" style="45" customWidth="1"/>
    <col min="14102" max="14102" width="5.54296875" style="45" customWidth="1"/>
    <col min="14103" max="14103" width="6" style="45" customWidth="1"/>
    <col min="14104" max="14104" width="6.54296875" style="45" customWidth="1"/>
    <col min="14105" max="14105" width="11.08984375" style="45" customWidth="1"/>
    <col min="14106" max="14106" width="7.08984375" style="45" customWidth="1"/>
    <col min="14107" max="14108" width="5.81640625" style="45" customWidth="1"/>
    <col min="14109" max="14109" width="6" style="45" customWidth="1"/>
    <col min="14110" max="14110" width="6.81640625" style="45" customWidth="1"/>
    <col min="14111" max="14111" width="6" style="45" customWidth="1"/>
    <col min="14112" max="14112" width="18.08984375" style="45" customWidth="1"/>
    <col min="14113" max="14350" width="8.81640625" style="45"/>
    <col min="14351" max="14351" width="2.08984375" style="45" customWidth="1"/>
    <col min="14352" max="14352" width="5.81640625" style="45" customWidth="1"/>
    <col min="14353" max="14353" width="6.81640625" style="45" customWidth="1"/>
    <col min="14354" max="14354" width="6.08984375" style="45" customWidth="1"/>
    <col min="14355" max="14355" width="6.81640625" style="45" customWidth="1"/>
    <col min="14356" max="14356" width="10.81640625" style="45" customWidth="1"/>
    <col min="14357" max="14357" width="11.54296875" style="45" customWidth="1"/>
    <col min="14358" max="14358" width="5.54296875" style="45" customWidth="1"/>
    <col min="14359" max="14359" width="6" style="45" customWidth="1"/>
    <col min="14360" max="14360" width="6.54296875" style="45" customWidth="1"/>
    <col min="14361" max="14361" width="11.08984375" style="45" customWidth="1"/>
    <col min="14362" max="14362" width="7.08984375" style="45" customWidth="1"/>
    <col min="14363" max="14364" width="5.81640625" style="45" customWidth="1"/>
    <col min="14365" max="14365" width="6" style="45" customWidth="1"/>
    <col min="14366" max="14366" width="6.81640625" style="45" customWidth="1"/>
    <col min="14367" max="14367" width="6" style="45" customWidth="1"/>
    <col min="14368" max="14368" width="18.08984375" style="45" customWidth="1"/>
    <col min="14369" max="14606" width="8.81640625" style="45"/>
    <col min="14607" max="14607" width="2.08984375" style="45" customWidth="1"/>
    <col min="14608" max="14608" width="5.81640625" style="45" customWidth="1"/>
    <col min="14609" max="14609" width="6.81640625" style="45" customWidth="1"/>
    <col min="14610" max="14610" width="6.08984375" style="45" customWidth="1"/>
    <col min="14611" max="14611" width="6.81640625" style="45" customWidth="1"/>
    <col min="14612" max="14612" width="10.81640625" style="45" customWidth="1"/>
    <col min="14613" max="14613" width="11.54296875" style="45" customWidth="1"/>
    <col min="14614" max="14614" width="5.54296875" style="45" customWidth="1"/>
    <col min="14615" max="14615" width="6" style="45" customWidth="1"/>
    <col min="14616" max="14616" width="6.54296875" style="45" customWidth="1"/>
    <col min="14617" max="14617" width="11.08984375" style="45" customWidth="1"/>
    <col min="14618" max="14618" width="7.08984375" style="45" customWidth="1"/>
    <col min="14619" max="14620" width="5.81640625" style="45" customWidth="1"/>
    <col min="14621" max="14621" width="6" style="45" customWidth="1"/>
    <col min="14622" max="14622" width="6.81640625" style="45" customWidth="1"/>
    <col min="14623" max="14623" width="6" style="45" customWidth="1"/>
    <col min="14624" max="14624" width="18.08984375" style="45" customWidth="1"/>
    <col min="14625" max="14862" width="8.81640625" style="45"/>
    <col min="14863" max="14863" width="2.08984375" style="45" customWidth="1"/>
    <col min="14864" max="14864" width="5.81640625" style="45" customWidth="1"/>
    <col min="14865" max="14865" width="6.81640625" style="45" customWidth="1"/>
    <col min="14866" max="14866" width="6.08984375" style="45" customWidth="1"/>
    <col min="14867" max="14867" width="6.81640625" style="45" customWidth="1"/>
    <col min="14868" max="14868" width="10.81640625" style="45" customWidth="1"/>
    <col min="14869" max="14869" width="11.54296875" style="45" customWidth="1"/>
    <col min="14870" max="14870" width="5.54296875" style="45" customWidth="1"/>
    <col min="14871" max="14871" width="6" style="45" customWidth="1"/>
    <col min="14872" max="14872" width="6.54296875" style="45" customWidth="1"/>
    <col min="14873" max="14873" width="11.08984375" style="45" customWidth="1"/>
    <col min="14874" max="14874" width="7.08984375" style="45" customWidth="1"/>
    <col min="14875" max="14876" width="5.81640625" style="45" customWidth="1"/>
    <col min="14877" max="14877" width="6" style="45" customWidth="1"/>
    <col min="14878" max="14878" width="6.81640625" style="45" customWidth="1"/>
    <col min="14879" max="14879" width="6" style="45" customWidth="1"/>
    <col min="14880" max="14880" width="18.08984375" style="45" customWidth="1"/>
    <col min="14881" max="15118" width="8.81640625" style="45"/>
    <col min="15119" max="15119" width="2.08984375" style="45" customWidth="1"/>
    <col min="15120" max="15120" width="5.81640625" style="45" customWidth="1"/>
    <col min="15121" max="15121" width="6.81640625" style="45" customWidth="1"/>
    <col min="15122" max="15122" width="6.08984375" style="45" customWidth="1"/>
    <col min="15123" max="15123" width="6.81640625" style="45" customWidth="1"/>
    <col min="15124" max="15124" width="10.81640625" style="45" customWidth="1"/>
    <col min="15125" max="15125" width="11.54296875" style="45" customWidth="1"/>
    <col min="15126" max="15126" width="5.54296875" style="45" customWidth="1"/>
    <col min="15127" max="15127" width="6" style="45" customWidth="1"/>
    <col min="15128" max="15128" width="6.54296875" style="45" customWidth="1"/>
    <col min="15129" max="15129" width="11.08984375" style="45" customWidth="1"/>
    <col min="15130" max="15130" width="7.08984375" style="45" customWidth="1"/>
    <col min="15131" max="15132" width="5.81640625" style="45" customWidth="1"/>
    <col min="15133" max="15133" width="6" style="45" customWidth="1"/>
    <col min="15134" max="15134" width="6.81640625" style="45" customWidth="1"/>
    <col min="15135" max="15135" width="6" style="45" customWidth="1"/>
    <col min="15136" max="15136" width="18.08984375" style="45" customWidth="1"/>
    <col min="15137" max="15374" width="8.81640625" style="45"/>
    <col min="15375" max="15375" width="2.08984375" style="45" customWidth="1"/>
    <col min="15376" max="15376" width="5.81640625" style="45" customWidth="1"/>
    <col min="15377" max="15377" width="6.81640625" style="45" customWidth="1"/>
    <col min="15378" max="15378" width="6.08984375" style="45" customWidth="1"/>
    <col min="15379" max="15379" width="6.81640625" style="45" customWidth="1"/>
    <col min="15380" max="15380" width="10.81640625" style="45" customWidth="1"/>
    <col min="15381" max="15381" width="11.54296875" style="45" customWidth="1"/>
    <col min="15382" max="15382" width="5.54296875" style="45" customWidth="1"/>
    <col min="15383" max="15383" width="6" style="45" customWidth="1"/>
    <col min="15384" max="15384" width="6.54296875" style="45" customWidth="1"/>
    <col min="15385" max="15385" width="11.08984375" style="45" customWidth="1"/>
    <col min="15386" max="15386" width="7.08984375" style="45" customWidth="1"/>
    <col min="15387" max="15388" width="5.81640625" style="45" customWidth="1"/>
    <col min="15389" max="15389" width="6" style="45" customWidth="1"/>
    <col min="15390" max="15390" width="6.81640625" style="45" customWidth="1"/>
    <col min="15391" max="15391" width="6" style="45" customWidth="1"/>
    <col min="15392" max="15392" width="18.08984375" style="45" customWidth="1"/>
    <col min="15393" max="15630" width="8.81640625" style="45"/>
    <col min="15631" max="15631" width="2.08984375" style="45" customWidth="1"/>
    <col min="15632" max="15632" width="5.81640625" style="45" customWidth="1"/>
    <col min="15633" max="15633" width="6.81640625" style="45" customWidth="1"/>
    <col min="15634" max="15634" width="6.08984375" style="45" customWidth="1"/>
    <col min="15635" max="15635" width="6.81640625" style="45" customWidth="1"/>
    <col min="15636" max="15636" width="10.81640625" style="45" customWidth="1"/>
    <col min="15637" max="15637" width="11.54296875" style="45" customWidth="1"/>
    <col min="15638" max="15638" width="5.54296875" style="45" customWidth="1"/>
    <col min="15639" max="15639" width="6" style="45" customWidth="1"/>
    <col min="15640" max="15640" width="6.54296875" style="45" customWidth="1"/>
    <col min="15641" max="15641" width="11.08984375" style="45" customWidth="1"/>
    <col min="15642" max="15642" width="7.08984375" style="45" customWidth="1"/>
    <col min="15643" max="15644" width="5.81640625" style="45" customWidth="1"/>
    <col min="15645" max="15645" width="6" style="45" customWidth="1"/>
    <col min="15646" max="15646" width="6.81640625" style="45" customWidth="1"/>
    <col min="15647" max="15647" width="6" style="45" customWidth="1"/>
    <col min="15648" max="15648" width="18.08984375" style="45" customWidth="1"/>
    <col min="15649" max="15886" width="8.81640625" style="45"/>
    <col min="15887" max="15887" width="2.08984375" style="45" customWidth="1"/>
    <col min="15888" max="15888" width="5.81640625" style="45" customWidth="1"/>
    <col min="15889" max="15889" width="6.81640625" style="45" customWidth="1"/>
    <col min="15890" max="15890" width="6.08984375" style="45" customWidth="1"/>
    <col min="15891" max="15891" width="6.81640625" style="45" customWidth="1"/>
    <col min="15892" max="15892" width="10.81640625" style="45" customWidth="1"/>
    <col min="15893" max="15893" width="11.54296875" style="45" customWidth="1"/>
    <col min="15894" max="15894" width="5.54296875" style="45" customWidth="1"/>
    <col min="15895" max="15895" width="6" style="45" customWidth="1"/>
    <col min="15896" max="15896" width="6.54296875" style="45" customWidth="1"/>
    <col min="15897" max="15897" width="11.08984375" style="45" customWidth="1"/>
    <col min="15898" max="15898" width="7.08984375" style="45" customWidth="1"/>
    <col min="15899" max="15900" width="5.81640625" style="45" customWidth="1"/>
    <col min="15901" max="15901" width="6" style="45" customWidth="1"/>
    <col min="15902" max="15902" width="6.81640625" style="45" customWidth="1"/>
    <col min="15903" max="15903" width="6" style="45" customWidth="1"/>
    <col min="15904" max="15904" width="18.08984375" style="45" customWidth="1"/>
    <col min="15905" max="16142" width="8.81640625" style="45"/>
    <col min="16143" max="16143" width="2.08984375" style="45" customWidth="1"/>
    <col min="16144" max="16144" width="5.81640625" style="45" customWidth="1"/>
    <col min="16145" max="16145" width="6.81640625" style="45" customWidth="1"/>
    <col min="16146" max="16146" width="6.08984375" style="45" customWidth="1"/>
    <col min="16147" max="16147" width="6.81640625" style="45" customWidth="1"/>
    <col min="16148" max="16148" width="10.81640625" style="45" customWidth="1"/>
    <col min="16149" max="16149" width="11.54296875" style="45" customWidth="1"/>
    <col min="16150" max="16150" width="5.54296875" style="45" customWidth="1"/>
    <col min="16151" max="16151" width="6" style="45" customWidth="1"/>
    <col min="16152" max="16152" width="6.54296875" style="45" customWidth="1"/>
    <col min="16153" max="16153" width="11.08984375" style="45" customWidth="1"/>
    <col min="16154" max="16154" width="7.08984375" style="45" customWidth="1"/>
    <col min="16155" max="16156" width="5.81640625" style="45" customWidth="1"/>
    <col min="16157" max="16157" width="6" style="45" customWidth="1"/>
    <col min="16158" max="16158" width="6.81640625" style="45" customWidth="1"/>
    <col min="16159" max="16159" width="6" style="45" customWidth="1"/>
    <col min="16160" max="16160" width="18.08984375" style="45" customWidth="1"/>
  </cols>
  <sheetData>
    <row r="1" spans="2:36" ht="10" customHeight="1" x14ac:dyDescent="0.25"/>
    <row r="2" spans="2:36" ht="35.4" customHeight="1" thickBot="1" x14ac:dyDescent="0.3">
      <c r="B2" s="253" t="s">
        <v>411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</row>
    <row r="3" spans="2:36" s="46" customFormat="1" ht="17.5" customHeight="1" x14ac:dyDescent="0.25">
      <c r="B3" s="256" t="s">
        <v>406</v>
      </c>
      <c r="C3" s="259" t="s">
        <v>405</v>
      </c>
      <c r="D3" s="262" t="s">
        <v>404</v>
      </c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3" t="s">
        <v>403</v>
      </c>
      <c r="AB3" s="264"/>
      <c r="AC3" s="264"/>
      <c r="AD3" s="264"/>
      <c r="AE3" s="264"/>
      <c r="AF3" s="264"/>
      <c r="AG3" s="264"/>
      <c r="AH3" s="264"/>
      <c r="AI3" s="264"/>
      <c r="AJ3" s="265"/>
    </row>
    <row r="4" spans="2:36" s="46" customFormat="1" ht="17.5" customHeight="1" x14ac:dyDescent="0.25">
      <c r="B4" s="257"/>
      <c r="C4" s="260"/>
      <c r="D4" s="266" t="s">
        <v>402</v>
      </c>
      <c r="E4" s="267"/>
      <c r="F4" s="267"/>
      <c r="G4" s="267"/>
      <c r="H4" s="267"/>
      <c r="I4" s="267"/>
      <c r="J4" s="268" t="s">
        <v>401</v>
      </c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71" t="s">
        <v>400</v>
      </c>
      <c r="V4" s="272"/>
      <c r="W4" s="272"/>
      <c r="X4" s="272"/>
      <c r="Y4" s="272"/>
      <c r="Z4" s="273"/>
      <c r="AA4" s="271" t="s">
        <v>399</v>
      </c>
      <c r="AB4" s="275" t="s">
        <v>398</v>
      </c>
      <c r="AC4" s="277" t="s">
        <v>397</v>
      </c>
      <c r="AD4" s="277" t="s">
        <v>306</v>
      </c>
      <c r="AE4" s="277" t="s">
        <v>396</v>
      </c>
      <c r="AF4" s="279" t="s">
        <v>395</v>
      </c>
      <c r="AG4" s="277" t="s">
        <v>394</v>
      </c>
      <c r="AH4" s="279" t="s">
        <v>393</v>
      </c>
      <c r="AI4" s="277" t="s">
        <v>392</v>
      </c>
      <c r="AJ4" s="280" t="s">
        <v>391</v>
      </c>
    </row>
    <row r="5" spans="2:36" s="46" customFormat="1" ht="37.5" customHeight="1" x14ac:dyDescent="0.25">
      <c r="B5" s="258"/>
      <c r="C5" s="261"/>
      <c r="D5" s="77" t="s">
        <v>390</v>
      </c>
      <c r="E5" s="74" t="s">
        <v>389</v>
      </c>
      <c r="F5" s="74" t="s">
        <v>388</v>
      </c>
      <c r="G5" s="74" t="s">
        <v>387</v>
      </c>
      <c r="H5" s="74" t="s">
        <v>378</v>
      </c>
      <c r="I5" s="66" t="s">
        <v>377</v>
      </c>
      <c r="J5" s="77" t="s">
        <v>381</v>
      </c>
      <c r="K5" s="74" t="s">
        <v>380</v>
      </c>
      <c r="L5" s="74" t="s">
        <v>379</v>
      </c>
      <c r="M5" s="74" t="s">
        <v>386</v>
      </c>
      <c r="N5" s="74" t="s">
        <v>386</v>
      </c>
      <c r="O5" s="74" t="s">
        <v>378</v>
      </c>
      <c r="P5" s="74" t="s">
        <v>385</v>
      </c>
      <c r="Q5" s="74" t="s">
        <v>384</v>
      </c>
      <c r="R5" s="74" t="s">
        <v>377</v>
      </c>
      <c r="S5" s="74" t="s">
        <v>383</v>
      </c>
      <c r="T5" s="76" t="s">
        <v>382</v>
      </c>
      <c r="U5" s="77" t="s">
        <v>381</v>
      </c>
      <c r="V5" s="65" t="s">
        <v>380</v>
      </c>
      <c r="W5" s="74" t="s">
        <v>379</v>
      </c>
      <c r="X5" s="74" t="s">
        <v>378</v>
      </c>
      <c r="Y5" s="74" t="s">
        <v>377</v>
      </c>
      <c r="Z5" s="76" t="s">
        <v>376</v>
      </c>
      <c r="AA5" s="274"/>
      <c r="AB5" s="276"/>
      <c r="AC5" s="278"/>
      <c r="AD5" s="278"/>
      <c r="AE5" s="278"/>
      <c r="AF5" s="278"/>
      <c r="AG5" s="278"/>
      <c r="AH5" s="278"/>
      <c r="AI5" s="278"/>
      <c r="AJ5" s="281"/>
    </row>
    <row r="6" spans="2:36" s="46" customFormat="1" ht="17.5" customHeight="1" x14ac:dyDescent="0.25">
      <c r="B6" s="282"/>
      <c r="C6" s="283" t="s">
        <v>407</v>
      </c>
      <c r="D6" s="50" t="s">
        <v>281</v>
      </c>
      <c r="E6" s="49" t="s">
        <v>281</v>
      </c>
      <c r="F6" s="49" t="s">
        <v>4</v>
      </c>
      <c r="G6" s="49" t="s">
        <v>281</v>
      </c>
      <c r="H6" s="49" t="s">
        <v>284</v>
      </c>
      <c r="I6" s="64" t="s">
        <v>284</v>
      </c>
      <c r="J6" s="50" t="s">
        <v>281</v>
      </c>
      <c r="K6" s="49" t="s">
        <v>281</v>
      </c>
      <c r="L6" s="49" t="s">
        <v>284</v>
      </c>
      <c r="M6" s="49" t="s">
        <v>284</v>
      </c>
      <c r="N6" s="49" t="s">
        <v>284</v>
      </c>
      <c r="O6" s="49" t="s">
        <v>284</v>
      </c>
      <c r="P6" s="49" t="s">
        <v>284</v>
      </c>
      <c r="Q6" s="49" t="s">
        <v>284</v>
      </c>
      <c r="R6" s="49" t="s">
        <v>284</v>
      </c>
      <c r="S6" s="49" t="s">
        <v>284</v>
      </c>
      <c r="T6" s="57" t="s">
        <v>284</v>
      </c>
      <c r="U6" s="50" t="s">
        <v>281</v>
      </c>
      <c r="V6" s="63" t="s">
        <v>281</v>
      </c>
      <c r="W6" s="49" t="s">
        <v>284</v>
      </c>
      <c r="X6" s="49" t="s">
        <v>284</v>
      </c>
      <c r="Y6" s="49" t="s">
        <v>284</v>
      </c>
      <c r="Z6" s="57" t="s">
        <v>284</v>
      </c>
      <c r="AA6" s="50" t="s">
        <v>297</v>
      </c>
      <c r="AB6" s="49" t="s">
        <v>297</v>
      </c>
      <c r="AC6" s="49" t="s">
        <v>372</v>
      </c>
      <c r="AD6" s="49" t="s">
        <v>297</v>
      </c>
      <c r="AE6" s="48" t="s">
        <v>372</v>
      </c>
      <c r="AF6" s="47" t="s">
        <v>374</v>
      </c>
      <c r="AG6" s="49" t="s">
        <v>297</v>
      </c>
      <c r="AH6" s="47" t="s">
        <v>373</v>
      </c>
      <c r="AI6" s="48" t="s">
        <v>372</v>
      </c>
      <c r="AJ6" s="61" t="s">
        <v>372</v>
      </c>
    </row>
    <row r="7" spans="2:36" s="133" customFormat="1" ht="24" customHeight="1" x14ac:dyDescent="0.25">
      <c r="B7" s="257"/>
      <c r="C7" s="260"/>
      <c r="D7" s="122"/>
      <c r="E7" s="123">
        <f>K7+V7</f>
        <v>0</v>
      </c>
      <c r="F7" s="140" t="str">
        <f>IF(D7="","",IF(D28="","",IF(D7=(D7+D28)/2,"--",IF(D7&gt;=(D7+D28)/2,"↑","↓"))))</f>
        <v/>
      </c>
      <c r="G7" s="123"/>
      <c r="H7" s="123"/>
      <c r="I7" s="124"/>
      <c r="J7" s="125"/>
      <c r="K7" s="126"/>
      <c r="L7" s="126"/>
      <c r="M7" s="126"/>
      <c r="N7" s="126"/>
      <c r="O7" s="126"/>
      <c r="P7" s="126"/>
      <c r="Q7" s="126"/>
      <c r="R7" s="126"/>
      <c r="S7" s="126"/>
      <c r="T7" s="127"/>
      <c r="U7" s="125"/>
      <c r="V7" s="128"/>
      <c r="W7" s="123"/>
      <c r="X7" s="123"/>
      <c r="Y7" s="123"/>
      <c r="Z7" s="129" t="e">
        <f>U7/D7</f>
        <v>#DIV/0!</v>
      </c>
      <c r="AA7" s="130"/>
      <c r="AB7" s="123"/>
      <c r="AC7" s="123"/>
      <c r="AD7" s="123"/>
      <c r="AE7" s="131"/>
      <c r="AF7" s="131"/>
      <c r="AG7" s="131"/>
      <c r="AH7" s="131"/>
      <c r="AI7" s="131"/>
      <c r="AJ7" s="132"/>
    </row>
    <row r="8" spans="2:36" s="46" customFormat="1" ht="17.5" customHeight="1" x14ac:dyDescent="0.25">
      <c r="B8" s="257"/>
      <c r="C8" s="260"/>
      <c r="D8" s="271" t="s">
        <v>371</v>
      </c>
      <c r="E8" s="272"/>
      <c r="F8" s="273"/>
      <c r="G8" s="271" t="s">
        <v>370</v>
      </c>
      <c r="H8" s="272"/>
      <c r="I8" s="272"/>
      <c r="J8" s="272"/>
      <c r="K8" s="272"/>
      <c r="L8" s="272"/>
      <c r="M8" s="272"/>
      <c r="N8" s="272"/>
      <c r="O8" s="273"/>
      <c r="P8" s="271" t="s">
        <v>369</v>
      </c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3"/>
      <c r="AE8" s="284" t="s">
        <v>336</v>
      </c>
      <c r="AF8" s="272"/>
      <c r="AG8" s="272"/>
      <c r="AH8" s="272"/>
      <c r="AI8" s="272"/>
      <c r="AJ8" s="273"/>
    </row>
    <row r="9" spans="2:36" s="46" customFormat="1" ht="15" customHeight="1" x14ac:dyDescent="0.25">
      <c r="B9" s="257"/>
      <c r="C9" s="260"/>
      <c r="D9" s="285" t="s">
        <v>368</v>
      </c>
      <c r="E9" s="286" t="s">
        <v>367</v>
      </c>
      <c r="F9" s="287" t="s">
        <v>366</v>
      </c>
      <c r="G9" s="285" t="s">
        <v>365</v>
      </c>
      <c r="H9" s="278"/>
      <c r="I9" s="288" t="s">
        <v>364</v>
      </c>
      <c r="J9" s="288" t="s">
        <v>363</v>
      </c>
      <c r="K9" s="288" t="s">
        <v>362</v>
      </c>
      <c r="L9" s="288" t="s">
        <v>361</v>
      </c>
      <c r="M9" s="288" t="s">
        <v>360</v>
      </c>
      <c r="N9" s="288" t="s">
        <v>359</v>
      </c>
      <c r="O9" s="290" t="s">
        <v>358</v>
      </c>
      <c r="P9" s="285" t="s">
        <v>357</v>
      </c>
      <c r="Q9" s="278"/>
      <c r="R9" s="286" t="s">
        <v>356</v>
      </c>
      <c r="S9" s="278"/>
      <c r="T9" s="278"/>
      <c r="U9" s="286" t="s">
        <v>355</v>
      </c>
      <c r="V9" s="292" t="s">
        <v>354</v>
      </c>
      <c r="W9" s="278"/>
      <c r="X9" s="292" t="s">
        <v>353</v>
      </c>
      <c r="Y9" s="278"/>
      <c r="Z9" s="278"/>
      <c r="AA9" s="292" t="s">
        <v>352</v>
      </c>
      <c r="AB9" s="286" t="s">
        <v>351</v>
      </c>
      <c r="AC9" s="289" t="s">
        <v>350</v>
      </c>
      <c r="AD9" s="287" t="s">
        <v>349</v>
      </c>
      <c r="AE9" s="291" t="s">
        <v>348</v>
      </c>
      <c r="AF9" s="278"/>
      <c r="AG9" s="278"/>
      <c r="AH9" s="288" t="s">
        <v>332</v>
      </c>
      <c r="AI9" s="278"/>
      <c r="AJ9" s="281"/>
    </row>
    <row r="10" spans="2:36" s="46" customFormat="1" ht="15" customHeight="1" x14ac:dyDescent="0.25">
      <c r="B10" s="257"/>
      <c r="C10" s="260"/>
      <c r="D10" s="274"/>
      <c r="E10" s="278"/>
      <c r="F10" s="281"/>
      <c r="G10" s="75" t="s">
        <v>347</v>
      </c>
      <c r="H10" s="72" t="s">
        <v>346</v>
      </c>
      <c r="I10" s="278"/>
      <c r="J10" s="278"/>
      <c r="K10" s="278"/>
      <c r="L10" s="278"/>
      <c r="M10" s="278"/>
      <c r="N10" s="278"/>
      <c r="O10" s="281"/>
      <c r="P10" s="75" t="s">
        <v>345</v>
      </c>
      <c r="Q10" s="72" t="s">
        <v>344</v>
      </c>
      <c r="R10" s="72" t="s">
        <v>344</v>
      </c>
      <c r="S10" s="72" t="s">
        <v>343</v>
      </c>
      <c r="T10" s="71" t="s">
        <v>342</v>
      </c>
      <c r="U10" s="278"/>
      <c r="V10" s="71" t="s">
        <v>345</v>
      </c>
      <c r="W10" s="72" t="s">
        <v>344</v>
      </c>
      <c r="X10" s="71" t="s">
        <v>344</v>
      </c>
      <c r="Y10" s="72" t="s">
        <v>343</v>
      </c>
      <c r="Z10" s="71" t="s">
        <v>342</v>
      </c>
      <c r="AA10" s="278"/>
      <c r="AB10" s="278"/>
      <c r="AC10" s="278"/>
      <c r="AD10" s="281"/>
      <c r="AE10" s="77" t="s">
        <v>1</v>
      </c>
      <c r="AF10" s="74" t="s">
        <v>12</v>
      </c>
      <c r="AG10" s="74" t="s">
        <v>15</v>
      </c>
      <c r="AH10" s="52" t="s">
        <v>103</v>
      </c>
      <c r="AI10" s="74" t="s">
        <v>341</v>
      </c>
      <c r="AJ10" s="73" t="s">
        <v>340</v>
      </c>
    </row>
    <row r="11" spans="2:36" s="46" customFormat="1" ht="17.5" customHeight="1" x14ac:dyDescent="0.25">
      <c r="B11" s="257"/>
      <c r="C11" s="260"/>
      <c r="D11" s="75" t="s">
        <v>4</v>
      </c>
      <c r="E11" s="72" t="s">
        <v>4</v>
      </c>
      <c r="F11" s="73" t="s">
        <v>4</v>
      </c>
      <c r="G11" s="50" t="s">
        <v>299</v>
      </c>
      <c r="H11" s="49" t="s">
        <v>283</v>
      </c>
      <c r="I11" s="49" t="s">
        <v>339</v>
      </c>
      <c r="J11" s="49" t="s">
        <v>299</v>
      </c>
      <c r="K11" s="58" t="s">
        <v>302</v>
      </c>
      <c r="L11" s="49" t="s">
        <v>301</v>
      </c>
      <c r="M11" s="58" t="s">
        <v>302</v>
      </c>
      <c r="N11" s="58" t="s">
        <v>302</v>
      </c>
      <c r="O11" s="57" t="s">
        <v>301</v>
      </c>
      <c r="P11" s="50" t="s">
        <v>284</v>
      </c>
      <c r="Q11" s="48" t="s">
        <v>284</v>
      </c>
      <c r="R11" s="49" t="s">
        <v>284</v>
      </c>
      <c r="S11" s="48" t="s">
        <v>284</v>
      </c>
      <c r="T11" s="47" t="s">
        <v>4</v>
      </c>
      <c r="U11" s="48" t="s">
        <v>283</v>
      </c>
      <c r="V11" s="47" t="s">
        <v>284</v>
      </c>
      <c r="W11" s="48" t="s">
        <v>283</v>
      </c>
      <c r="X11" s="47" t="s">
        <v>283</v>
      </c>
      <c r="Y11" s="48" t="s">
        <v>283</v>
      </c>
      <c r="Z11" s="62" t="s">
        <v>4</v>
      </c>
      <c r="AA11" s="62" t="s">
        <v>339</v>
      </c>
      <c r="AB11" s="58" t="s">
        <v>338</v>
      </c>
      <c r="AC11" s="58" t="s">
        <v>338</v>
      </c>
      <c r="AD11" s="61" t="s">
        <v>4</v>
      </c>
      <c r="AE11" s="60" t="s">
        <v>301</v>
      </c>
      <c r="AF11" s="53" t="s">
        <v>302</v>
      </c>
      <c r="AG11" s="52" t="s">
        <v>284</v>
      </c>
      <c r="AH11" s="52" t="s">
        <v>303</v>
      </c>
      <c r="AI11" s="52" t="s">
        <v>303</v>
      </c>
      <c r="AJ11" s="51" t="s">
        <v>303</v>
      </c>
    </row>
    <row r="12" spans="2:36" s="133" customFormat="1" ht="24" customHeight="1" x14ac:dyDescent="0.25">
      <c r="B12" s="257"/>
      <c r="C12" s="260"/>
      <c r="D12" s="141">
        <v>0.53</v>
      </c>
      <c r="E12" s="134"/>
      <c r="F12" s="146" t="str">
        <f>IF(E12="","",IF(AND(E12&gt;=0.525,E12&lt;=0.53),"合格","不合格"))</f>
        <v/>
      </c>
      <c r="G12" s="122"/>
      <c r="H12" s="123"/>
      <c r="I12" s="123"/>
      <c r="J12" s="123"/>
      <c r="K12" s="123"/>
      <c r="L12" s="123"/>
      <c r="M12" s="123"/>
      <c r="N12" s="123"/>
      <c r="O12" s="129"/>
      <c r="P12" s="142">
        <v>29.1</v>
      </c>
      <c r="Q12" s="143" t="s">
        <v>337</v>
      </c>
      <c r="R12" s="123"/>
      <c r="S12" s="123">
        <f>R12-Q12</f>
        <v>-33.1</v>
      </c>
      <c r="T12" s="140" t="str">
        <f>IF(S12&gt;=0,"↑","↓")</f>
        <v>↓</v>
      </c>
      <c r="U12" s="131" t="s">
        <v>82</v>
      </c>
      <c r="V12" s="143">
        <v>1.6</v>
      </c>
      <c r="W12" s="143">
        <v>17.600000000000001</v>
      </c>
      <c r="X12" s="123"/>
      <c r="Y12" s="123">
        <f>X12-W12</f>
        <v>-17.600000000000001</v>
      </c>
      <c r="Z12" s="140" t="str">
        <f>IF(Y12&gt;=0,"↑","↓")</f>
        <v>↓</v>
      </c>
      <c r="AA12" s="143">
        <v>6.28</v>
      </c>
      <c r="AB12" s="123"/>
      <c r="AC12" s="123">
        <f>AB12-AA12</f>
        <v>-6.28</v>
      </c>
      <c r="AD12" s="140" t="str">
        <f>IF(AC12&gt;=0,"↑","↓")</f>
        <v>↓</v>
      </c>
      <c r="AE12" s="135"/>
      <c r="AF12" s="123"/>
      <c r="AG12" s="131"/>
      <c r="AH12" s="131"/>
      <c r="AI12" s="131"/>
      <c r="AJ12" s="132"/>
    </row>
    <row r="13" spans="2:36" s="46" customFormat="1" ht="15" customHeight="1" x14ac:dyDescent="0.25">
      <c r="B13" s="257"/>
      <c r="C13" s="260"/>
      <c r="D13" s="271" t="s">
        <v>336</v>
      </c>
      <c r="E13" s="273"/>
      <c r="F13" s="271" t="s">
        <v>335</v>
      </c>
      <c r="G13" s="272"/>
      <c r="H13" s="272"/>
      <c r="I13" s="272"/>
      <c r="J13" s="272"/>
      <c r="K13" s="272"/>
      <c r="L13" s="272"/>
      <c r="M13" s="273"/>
      <c r="N13" s="271" t="s">
        <v>334</v>
      </c>
      <c r="O13" s="272"/>
      <c r="P13" s="272"/>
      <c r="Q13" s="272"/>
      <c r="R13" s="272"/>
      <c r="S13" s="272"/>
      <c r="T13" s="272"/>
      <c r="U13" s="273"/>
      <c r="V13" s="284" t="s">
        <v>333</v>
      </c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3"/>
    </row>
    <row r="14" spans="2:36" s="46" customFormat="1" ht="15" customHeight="1" x14ac:dyDescent="0.25">
      <c r="B14" s="257"/>
      <c r="C14" s="260"/>
      <c r="D14" s="285" t="s">
        <v>332</v>
      </c>
      <c r="E14" s="281"/>
      <c r="F14" s="285" t="s">
        <v>331</v>
      </c>
      <c r="G14" s="278"/>
      <c r="H14" s="278"/>
      <c r="I14" s="278"/>
      <c r="J14" s="278"/>
      <c r="K14" s="288" t="s">
        <v>330</v>
      </c>
      <c r="L14" s="278"/>
      <c r="M14" s="281"/>
      <c r="N14" s="285" t="s">
        <v>329</v>
      </c>
      <c r="O14" s="278"/>
      <c r="P14" s="278"/>
      <c r="Q14" s="278"/>
      <c r="R14" s="278"/>
      <c r="S14" s="286" t="s">
        <v>328</v>
      </c>
      <c r="T14" s="278"/>
      <c r="U14" s="281"/>
      <c r="V14" s="291" t="s">
        <v>327</v>
      </c>
      <c r="W14" s="278"/>
      <c r="X14" s="278"/>
      <c r="Y14" s="278"/>
      <c r="Z14" s="288" t="s">
        <v>326</v>
      </c>
      <c r="AA14" s="278"/>
      <c r="AB14" s="278"/>
      <c r="AC14" s="278"/>
      <c r="AD14" s="278"/>
      <c r="AE14" s="278"/>
      <c r="AF14" s="278"/>
      <c r="AG14" s="278"/>
      <c r="AH14" s="278"/>
      <c r="AI14" s="278"/>
      <c r="AJ14" s="281"/>
    </row>
    <row r="15" spans="2:36" s="46" customFormat="1" ht="25" customHeight="1" x14ac:dyDescent="0.25">
      <c r="B15" s="257"/>
      <c r="C15" s="260"/>
      <c r="D15" s="75" t="s">
        <v>325</v>
      </c>
      <c r="E15" s="73" t="s">
        <v>322</v>
      </c>
      <c r="F15" s="75" t="s">
        <v>324</v>
      </c>
      <c r="G15" s="72" t="s">
        <v>317</v>
      </c>
      <c r="H15" s="72" t="s">
        <v>323</v>
      </c>
      <c r="I15" s="74" t="s">
        <v>15</v>
      </c>
      <c r="J15" s="52" t="s">
        <v>322</v>
      </c>
      <c r="K15" s="74" t="s">
        <v>321</v>
      </c>
      <c r="L15" s="74" t="s">
        <v>320</v>
      </c>
      <c r="M15" s="73" t="s">
        <v>319</v>
      </c>
      <c r="N15" s="75" t="s">
        <v>324</v>
      </c>
      <c r="O15" s="72" t="s">
        <v>317</v>
      </c>
      <c r="P15" s="72" t="s">
        <v>323</v>
      </c>
      <c r="Q15" s="72" t="s">
        <v>15</v>
      </c>
      <c r="R15" s="71" t="s">
        <v>322</v>
      </c>
      <c r="S15" s="74" t="s">
        <v>321</v>
      </c>
      <c r="T15" s="74" t="s">
        <v>320</v>
      </c>
      <c r="U15" s="73" t="s">
        <v>319</v>
      </c>
      <c r="V15" s="77" t="s">
        <v>318</v>
      </c>
      <c r="W15" s="74" t="s">
        <v>317</v>
      </c>
      <c r="X15" s="74" t="s">
        <v>316</v>
      </c>
      <c r="Y15" s="74" t="s">
        <v>315</v>
      </c>
      <c r="Z15" s="74" t="s">
        <v>314</v>
      </c>
      <c r="AA15" s="74" t="s">
        <v>313</v>
      </c>
      <c r="AB15" s="74" t="s">
        <v>312</v>
      </c>
      <c r="AC15" s="74" t="s">
        <v>311</v>
      </c>
      <c r="AD15" s="74" t="s">
        <v>310</v>
      </c>
      <c r="AE15" s="74" t="s">
        <v>309</v>
      </c>
      <c r="AF15" s="74" t="s">
        <v>308</v>
      </c>
      <c r="AG15" s="74" t="s">
        <v>307</v>
      </c>
      <c r="AH15" s="74" t="s">
        <v>306</v>
      </c>
      <c r="AI15" s="74" t="s">
        <v>305</v>
      </c>
      <c r="AJ15" s="76" t="s">
        <v>304</v>
      </c>
    </row>
    <row r="16" spans="2:36" s="46" customFormat="1" ht="15" customHeight="1" x14ac:dyDescent="0.25">
      <c r="B16" s="257"/>
      <c r="C16" s="260"/>
      <c r="D16" s="60" t="s">
        <v>303</v>
      </c>
      <c r="E16" s="51" t="s">
        <v>4</v>
      </c>
      <c r="F16" s="54" t="s">
        <v>302</v>
      </c>
      <c r="G16" s="53" t="s">
        <v>302</v>
      </c>
      <c r="H16" s="53" t="s">
        <v>302</v>
      </c>
      <c r="I16" s="52" t="s">
        <v>284</v>
      </c>
      <c r="J16" s="52" t="s">
        <v>4</v>
      </c>
      <c r="K16" s="52" t="s">
        <v>284</v>
      </c>
      <c r="L16" s="52" t="s">
        <v>284</v>
      </c>
      <c r="M16" s="57" t="s">
        <v>284</v>
      </c>
      <c r="N16" s="59" t="s">
        <v>302</v>
      </c>
      <c r="O16" s="72" t="s">
        <v>302</v>
      </c>
      <c r="P16" s="58" t="s">
        <v>302</v>
      </c>
      <c r="Q16" s="49" t="s">
        <v>284</v>
      </c>
      <c r="R16" s="49" t="s">
        <v>4</v>
      </c>
      <c r="S16" s="52" t="s">
        <v>284</v>
      </c>
      <c r="T16" s="52" t="s">
        <v>284</v>
      </c>
      <c r="U16" s="57" t="s">
        <v>284</v>
      </c>
      <c r="V16" s="54" t="s">
        <v>302</v>
      </c>
      <c r="W16" s="53" t="s">
        <v>302</v>
      </c>
      <c r="X16" s="52" t="s">
        <v>301</v>
      </c>
      <c r="Y16" s="52" t="s">
        <v>284</v>
      </c>
      <c r="Z16" s="52" t="s">
        <v>300</v>
      </c>
      <c r="AA16" s="52" t="s">
        <v>299</v>
      </c>
      <c r="AB16" s="52" t="s">
        <v>300</v>
      </c>
      <c r="AC16" s="53" t="s">
        <v>299</v>
      </c>
      <c r="AD16" s="53" t="s">
        <v>283</v>
      </c>
      <c r="AE16" s="53" t="s">
        <v>4</v>
      </c>
      <c r="AF16" s="52" t="s">
        <v>282</v>
      </c>
      <c r="AG16" s="52" t="s">
        <v>298</v>
      </c>
      <c r="AH16" s="52" t="s">
        <v>297</v>
      </c>
      <c r="AI16" s="52" t="s">
        <v>297</v>
      </c>
      <c r="AJ16" s="51" t="s">
        <v>4</v>
      </c>
    </row>
    <row r="17" spans="2:36" s="133" customFormat="1" ht="24" customHeight="1" x14ac:dyDescent="0.25">
      <c r="B17" s="257"/>
      <c r="C17" s="260"/>
      <c r="D17" s="135"/>
      <c r="E17" s="129"/>
      <c r="F17" s="135"/>
      <c r="G17" s="131"/>
      <c r="H17" s="131"/>
      <c r="I17" s="123"/>
      <c r="J17" s="123"/>
      <c r="K17" s="123"/>
      <c r="L17" s="123"/>
      <c r="M17" s="129"/>
      <c r="N17" s="122"/>
      <c r="O17" s="123"/>
      <c r="P17" s="123"/>
      <c r="Q17" s="123"/>
      <c r="R17" s="123"/>
      <c r="S17" s="123"/>
      <c r="T17" s="123"/>
      <c r="U17" s="129"/>
      <c r="V17" s="122"/>
      <c r="W17" s="123"/>
      <c r="X17" s="123"/>
      <c r="Y17" s="123"/>
      <c r="Z17" s="123"/>
      <c r="AA17" s="123"/>
      <c r="AB17" s="123"/>
      <c r="AC17" s="123"/>
      <c r="AD17" s="123"/>
      <c r="AE17" s="123" t="e">
        <f>Z17/AB17</f>
        <v>#DIV/0!</v>
      </c>
      <c r="AF17" s="123"/>
      <c r="AG17" s="123"/>
      <c r="AH17" s="123" t="e">
        <f>AF17/(Z17-AB17)</f>
        <v>#DIV/0!</v>
      </c>
      <c r="AI17" s="143" t="s">
        <v>296</v>
      </c>
      <c r="AJ17" s="140" t="e">
        <f>IF((AH17-AI17)&gt;=0,"↑","↓")</f>
        <v>#DIV/0!</v>
      </c>
    </row>
    <row r="18" spans="2:36" s="46" customFormat="1" ht="15" customHeight="1" x14ac:dyDescent="0.25">
      <c r="B18" s="257"/>
      <c r="C18" s="260"/>
      <c r="D18" s="284" t="s">
        <v>295</v>
      </c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3"/>
      <c r="R18" s="78" t="s">
        <v>4</v>
      </c>
      <c r="S18" s="56" t="s">
        <v>4</v>
      </c>
      <c r="T18" s="56" t="s">
        <v>4</v>
      </c>
      <c r="U18" s="56" t="s">
        <v>4</v>
      </c>
      <c r="V18" s="56" t="s">
        <v>82</v>
      </c>
      <c r="W18" s="56" t="s">
        <v>82</v>
      </c>
      <c r="X18" s="56" t="s">
        <v>82</v>
      </c>
      <c r="Y18" s="56" t="s">
        <v>82</v>
      </c>
      <c r="Z18" s="56" t="s">
        <v>82</v>
      </c>
      <c r="AA18" s="56" t="s">
        <v>82</v>
      </c>
      <c r="AB18" s="56" t="s">
        <v>82</v>
      </c>
      <c r="AC18" s="56" t="s">
        <v>82</v>
      </c>
      <c r="AD18" s="56" t="s">
        <v>82</v>
      </c>
      <c r="AE18" s="56" t="s">
        <v>82</v>
      </c>
      <c r="AF18" s="55" t="s">
        <v>82</v>
      </c>
      <c r="AG18" s="55" t="s">
        <v>82</v>
      </c>
      <c r="AH18" s="55" t="s">
        <v>82</v>
      </c>
      <c r="AI18" s="55" t="s">
        <v>82</v>
      </c>
      <c r="AJ18" s="84" t="s">
        <v>82</v>
      </c>
    </row>
    <row r="19" spans="2:36" s="46" customFormat="1" ht="15" customHeight="1" x14ac:dyDescent="0.25">
      <c r="B19" s="257"/>
      <c r="C19" s="260"/>
      <c r="D19" s="291" t="s">
        <v>294</v>
      </c>
      <c r="E19" s="278"/>
      <c r="F19" s="278"/>
      <c r="G19" s="288" t="s">
        <v>293</v>
      </c>
      <c r="H19" s="278"/>
      <c r="I19" s="278"/>
      <c r="J19" s="288" t="s">
        <v>292</v>
      </c>
      <c r="K19" s="278"/>
      <c r="L19" s="278"/>
      <c r="M19" s="288" t="s">
        <v>291</v>
      </c>
      <c r="N19" s="288" t="s">
        <v>290</v>
      </c>
      <c r="O19" s="288" t="s">
        <v>289</v>
      </c>
      <c r="P19" s="288" t="s">
        <v>225</v>
      </c>
      <c r="Q19" s="290" t="s">
        <v>288</v>
      </c>
      <c r="R19" s="50" t="s">
        <v>4</v>
      </c>
      <c r="S19" s="49" t="s">
        <v>4</v>
      </c>
      <c r="T19" s="49" t="s">
        <v>4</v>
      </c>
      <c r="U19" s="49" t="s">
        <v>82</v>
      </c>
      <c r="V19" s="49" t="s">
        <v>82</v>
      </c>
      <c r="W19" s="49" t="s">
        <v>82</v>
      </c>
      <c r="X19" s="49" t="s">
        <v>82</v>
      </c>
      <c r="Y19" s="49" t="s">
        <v>82</v>
      </c>
      <c r="Z19" s="49" t="s">
        <v>82</v>
      </c>
      <c r="AA19" s="49" t="s">
        <v>82</v>
      </c>
      <c r="AB19" s="49" t="s">
        <v>82</v>
      </c>
      <c r="AC19" s="49" t="s">
        <v>412</v>
      </c>
      <c r="AD19" s="49" t="s">
        <v>82</v>
      </c>
      <c r="AE19" s="49" t="s">
        <v>82</v>
      </c>
      <c r="AF19" s="47" t="s">
        <v>82</v>
      </c>
      <c r="AG19" s="47" t="s">
        <v>82</v>
      </c>
      <c r="AH19" s="47" t="s">
        <v>82</v>
      </c>
      <c r="AI19" s="47" t="s">
        <v>82</v>
      </c>
      <c r="AJ19" s="61" t="s">
        <v>82</v>
      </c>
    </row>
    <row r="20" spans="2:36" s="46" customFormat="1" ht="25" customHeight="1" x14ac:dyDescent="0.25">
      <c r="B20" s="257"/>
      <c r="C20" s="260"/>
      <c r="D20" s="77" t="s">
        <v>287</v>
      </c>
      <c r="E20" s="74" t="s">
        <v>286</v>
      </c>
      <c r="F20" s="74" t="s">
        <v>285</v>
      </c>
      <c r="G20" s="74" t="s">
        <v>287</v>
      </c>
      <c r="H20" s="74" t="s">
        <v>286</v>
      </c>
      <c r="I20" s="74" t="s">
        <v>285</v>
      </c>
      <c r="J20" s="74" t="s">
        <v>287</v>
      </c>
      <c r="K20" s="74" t="s">
        <v>286</v>
      </c>
      <c r="L20" s="74" t="s">
        <v>285</v>
      </c>
      <c r="M20" s="278"/>
      <c r="N20" s="278"/>
      <c r="O20" s="278"/>
      <c r="P20" s="278"/>
      <c r="Q20" s="281"/>
      <c r="R20" s="75" t="s">
        <v>4</v>
      </c>
      <c r="S20" s="72" t="s">
        <v>4</v>
      </c>
      <c r="T20" s="72" t="s">
        <v>4</v>
      </c>
      <c r="U20" s="72" t="s">
        <v>82</v>
      </c>
      <c r="V20" s="72" t="s">
        <v>82</v>
      </c>
      <c r="W20" s="74" t="s">
        <v>82</v>
      </c>
      <c r="X20" s="72" t="s">
        <v>82</v>
      </c>
      <c r="Y20" s="72" t="s">
        <v>82</v>
      </c>
      <c r="Z20" s="74" t="s">
        <v>82</v>
      </c>
      <c r="AA20" s="49" t="s">
        <v>82</v>
      </c>
      <c r="AB20" s="49" t="s">
        <v>82</v>
      </c>
      <c r="AC20" s="49" t="s">
        <v>82</v>
      </c>
      <c r="AD20" s="49" t="s">
        <v>82</v>
      </c>
      <c r="AE20" s="49" t="s">
        <v>82</v>
      </c>
      <c r="AF20" s="47" t="s">
        <v>82</v>
      </c>
      <c r="AG20" s="47" t="s">
        <v>82</v>
      </c>
      <c r="AH20" s="47" t="s">
        <v>82</v>
      </c>
      <c r="AI20" s="47" t="s">
        <v>82</v>
      </c>
      <c r="AJ20" s="61" t="s">
        <v>82</v>
      </c>
    </row>
    <row r="21" spans="2:36" s="46" customFormat="1" ht="15" customHeight="1" x14ac:dyDescent="0.25">
      <c r="B21" s="257"/>
      <c r="C21" s="260"/>
      <c r="D21" s="54" t="s">
        <v>284</v>
      </c>
      <c r="E21" s="53" t="s">
        <v>284</v>
      </c>
      <c r="F21" s="52" t="s">
        <v>284</v>
      </c>
      <c r="G21" s="52" t="s">
        <v>283</v>
      </c>
      <c r="H21" s="49" t="s">
        <v>283</v>
      </c>
      <c r="I21" s="49" t="s">
        <v>283</v>
      </c>
      <c r="J21" s="52" t="s">
        <v>283</v>
      </c>
      <c r="K21" s="49" t="s">
        <v>283</v>
      </c>
      <c r="L21" s="49" t="s">
        <v>283</v>
      </c>
      <c r="M21" s="49" t="s">
        <v>282</v>
      </c>
      <c r="N21" s="49" t="s">
        <v>281</v>
      </c>
      <c r="O21" s="52" t="s">
        <v>280</v>
      </c>
      <c r="P21" s="52" t="s">
        <v>4</v>
      </c>
      <c r="Q21" s="51" t="s">
        <v>4</v>
      </c>
      <c r="R21" s="50" t="s">
        <v>4</v>
      </c>
      <c r="S21" s="49" t="s">
        <v>4</v>
      </c>
      <c r="T21" s="49" t="s">
        <v>4</v>
      </c>
      <c r="U21" s="49" t="s">
        <v>82</v>
      </c>
      <c r="V21" s="49" t="s">
        <v>82</v>
      </c>
      <c r="W21" s="49" t="s">
        <v>82</v>
      </c>
      <c r="X21" s="49" t="s">
        <v>82</v>
      </c>
      <c r="Y21" s="49" t="s">
        <v>82</v>
      </c>
      <c r="Z21" s="49" t="s">
        <v>82</v>
      </c>
      <c r="AA21" s="49" t="s">
        <v>82</v>
      </c>
      <c r="AB21" s="49" t="s">
        <v>82</v>
      </c>
      <c r="AC21" s="49" t="s">
        <v>82</v>
      </c>
      <c r="AD21" s="49" t="s">
        <v>82</v>
      </c>
      <c r="AE21" s="48" t="s">
        <v>82</v>
      </c>
      <c r="AF21" s="47" t="s">
        <v>82</v>
      </c>
      <c r="AG21" s="47" t="s">
        <v>82</v>
      </c>
      <c r="AH21" s="47" t="s">
        <v>82</v>
      </c>
      <c r="AI21" s="47" t="s">
        <v>82</v>
      </c>
      <c r="AJ21" s="61" t="s">
        <v>82</v>
      </c>
    </row>
    <row r="22" spans="2:36" s="133" customFormat="1" ht="24" customHeight="1" x14ac:dyDescent="0.25">
      <c r="B22" s="257"/>
      <c r="C22" s="260"/>
      <c r="D22" s="136"/>
      <c r="E22" s="137"/>
      <c r="F22" s="137">
        <f>D22-E22</f>
        <v>0</v>
      </c>
      <c r="G22" s="137"/>
      <c r="H22" s="137"/>
      <c r="I22" s="137">
        <f>G22-H22</f>
        <v>0</v>
      </c>
      <c r="J22" s="137"/>
      <c r="K22" s="137"/>
      <c r="L22" s="137">
        <f>J22-K22</f>
        <v>0</v>
      </c>
      <c r="M22" s="137"/>
      <c r="N22" s="137"/>
      <c r="O22" s="137" t="e">
        <f>N22/M22</f>
        <v>#DIV/0!</v>
      </c>
      <c r="P22" s="137"/>
      <c r="Q22" s="144">
        <v>301</v>
      </c>
      <c r="R22" s="136" t="s">
        <v>4</v>
      </c>
      <c r="S22" s="137" t="s">
        <v>4</v>
      </c>
      <c r="T22" s="137" t="s">
        <v>4</v>
      </c>
      <c r="U22" s="137" t="s">
        <v>82</v>
      </c>
      <c r="V22" s="137" t="s">
        <v>82</v>
      </c>
      <c r="W22" s="137" t="s">
        <v>82</v>
      </c>
      <c r="X22" s="137" t="s">
        <v>82</v>
      </c>
      <c r="Y22" s="137" t="s">
        <v>82</v>
      </c>
      <c r="Z22" s="137" t="s">
        <v>82</v>
      </c>
      <c r="AA22" s="137" t="s">
        <v>82</v>
      </c>
      <c r="AB22" s="137" t="s">
        <v>82</v>
      </c>
      <c r="AC22" s="137" t="s">
        <v>82</v>
      </c>
      <c r="AD22" s="137" t="s">
        <v>82</v>
      </c>
      <c r="AE22" s="138" t="s">
        <v>82</v>
      </c>
      <c r="AF22" s="138" t="s">
        <v>82</v>
      </c>
      <c r="AG22" s="138" t="s">
        <v>82</v>
      </c>
      <c r="AH22" s="138" t="s">
        <v>82</v>
      </c>
      <c r="AI22" s="138" t="s">
        <v>82</v>
      </c>
      <c r="AJ22" s="139" t="s">
        <v>82</v>
      </c>
    </row>
    <row r="23" spans="2:36" s="46" customFormat="1" ht="7.5" customHeight="1" x14ac:dyDescent="0.25">
      <c r="B23" s="85"/>
      <c r="C23" s="70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8"/>
      <c r="AF23" s="67"/>
      <c r="AG23" s="68"/>
      <c r="AH23" s="67"/>
      <c r="AI23" s="67"/>
      <c r="AJ23" s="86"/>
    </row>
    <row r="24" spans="2:36" s="46" customFormat="1" ht="17.5" customHeight="1" x14ac:dyDescent="0.25">
      <c r="B24" s="293" t="s">
        <v>406</v>
      </c>
      <c r="C24" s="294" t="s">
        <v>405</v>
      </c>
      <c r="D24" s="295" t="s">
        <v>404</v>
      </c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7"/>
      <c r="AA24" s="298" t="s">
        <v>403</v>
      </c>
      <c r="AB24" s="299"/>
      <c r="AC24" s="299"/>
      <c r="AD24" s="299"/>
      <c r="AE24" s="299"/>
      <c r="AF24" s="299"/>
      <c r="AG24" s="299"/>
      <c r="AH24" s="299"/>
      <c r="AI24" s="299"/>
      <c r="AJ24" s="300"/>
    </row>
    <row r="25" spans="2:36" s="46" customFormat="1" ht="17.5" customHeight="1" x14ac:dyDescent="0.25">
      <c r="B25" s="257"/>
      <c r="C25" s="260"/>
      <c r="D25" s="266" t="s">
        <v>402</v>
      </c>
      <c r="E25" s="267"/>
      <c r="F25" s="267"/>
      <c r="G25" s="267"/>
      <c r="H25" s="267"/>
      <c r="I25" s="267"/>
      <c r="J25" s="268" t="s">
        <v>401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70"/>
      <c r="U25" s="271" t="s">
        <v>400</v>
      </c>
      <c r="V25" s="272"/>
      <c r="W25" s="272"/>
      <c r="X25" s="272"/>
      <c r="Y25" s="272"/>
      <c r="Z25" s="273"/>
      <c r="AA25" s="271" t="s">
        <v>399</v>
      </c>
      <c r="AB25" s="275" t="s">
        <v>398</v>
      </c>
      <c r="AC25" s="277" t="s">
        <v>397</v>
      </c>
      <c r="AD25" s="277" t="s">
        <v>306</v>
      </c>
      <c r="AE25" s="277" t="s">
        <v>396</v>
      </c>
      <c r="AF25" s="279" t="s">
        <v>395</v>
      </c>
      <c r="AG25" s="277" t="s">
        <v>394</v>
      </c>
      <c r="AH25" s="279" t="s">
        <v>393</v>
      </c>
      <c r="AI25" s="277" t="s">
        <v>392</v>
      </c>
      <c r="AJ25" s="280" t="s">
        <v>391</v>
      </c>
    </row>
    <row r="26" spans="2:36" s="46" customFormat="1" ht="37.5" customHeight="1" x14ac:dyDescent="0.25">
      <c r="B26" s="258"/>
      <c r="C26" s="261"/>
      <c r="D26" s="77" t="s">
        <v>390</v>
      </c>
      <c r="E26" s="74" t="s">
        <v>389</v>
      </c>
      <c r="F26" s="74" t="s">
        <v>388</v>
      </c>
      <c r="G26" s="74" t="s">
        <v>387</v>
      </c>
      <c r="H26" s="74" t="s">
        <v>378</v>
      </c>
      <c r="I26" s="66" t="s">
        <v>377</v>
      </c>
      <c r="J26" s="77" t="s">
        <v>381</v>
      </c>
      <c r="K26" s="74" t="s">
        <v>380</v>
      </c>
      <c r="L26" s="74" t="s">
        <v>379</v>
      </c>
      <c r="M26" s="74" t="s">
        <v>386</v>
      </c>
      <c r="N26" s="74" t="s">
        <v>386</v>
      </c>
      <c r="O26" s="74" t="s">
        <v>378</v>
      </c>
      <c r="P26" s="74" t="s">
        <v>385</v>
      </c>
      <c r="Q26" s="74" t="s">
        <v>384</v>
      </c>
      <c r="R26" s="74" t="s">
        <v>377</v>
      </c>
      <c r="S26" s="74" t="s">
        <v>383</v>
      </c>
      <c r="T26" s="76" t="s">
        <v>382</v>
      </c>
      <c r="U26" s="77" t="s">
        <v>381</v>
      </c>
      <c r="V26" s="65" t="s">
        <v>380</v>
      </c>
      <c r="W26" s="74" t="s">
        <v>379</v>
      </c>
      <c r="X26" s="74" t="s">
        <v>378</v>
      </c>
      <c r="Y26" s="74" t="s">
        <v>377</v>
      </c>
      <c r="Z26" s="76" t="s">
        <v>376</v>
      </c>
      <c r="AA26" s="274"/>
      <c r="AB26" s="276"/>
      <c r="AC26" s="278"/>
      <c r="AD26" s="278"/>
      <c r="AE26" s="278"/>
      <c r="AF26" s="278"/>
      <c r="AG26" s="278"/>
      <c r="AH26" s="278"/>
      <c r="AI26" s="278"/>
      <c r="AJ26" s="281"/>
    </row>
    <row r="27" spans="2:36" s="46" customFormat="1" ht="17.5" customHeight="1" x14ac:dyDescent="0.25">
      <c r="B27" s="282"/>
      <c r="C27" s="283" t="s">
        <v>375</v>
      </c>
      <c r="D27" s="50" t="s">
        <v>281</v>
      </c>
      <c r="E27" s="49" t="s">
        <v>281</v>
      </c>
      <c r="F27" s="49" t="s">
        <v>4</v>
      </c>
      <c r="G27" s="49" t="s">
        <v>281</v>
      </c>
      <c r="H27" s="49" t="s">
        <v>284</v>
      </c>
      <c r="I27" s="64" t="s">
        <v>284</v>
      </c>
      <c r="J27" s="50" t="s">
        <v>281</v>
      </c>
      <c r="K27" s="49" t="s">
        <v>281</v>
      </c>
      <c r="L27" s="49" t="s">
        <v>284</v>
      </c>
      <c r="M27" s="49" t="s">
        <v>284</v>
      </c>
      <c r="N27" s="49" t="s">
        <v>284</v>
      </c>
      <c r="O27" s="49" t="s">
        <v>284</v>
      </c>
      <c r="P27" s="49" t="s">
        <v>284</v>
      </c>
      <c r="Q27" s="49" t="s">
        <v>284</v>
      </c>
      <c r="R27" s="49" t="s">
        <v>284</v>
      </c>
      <c r="S27" s="49" t="s">
        <v>284</v>
      </c>
      <c r="T27" s="57" t="s">
        <v>284</v>
      </c>
      <c r="U27" s="50" t="s">
        <v>281</v>
      </c>
      <c r="V27" s="63" t="s">
        <v>281</v>
      </c>
      <c r="W27" s="49" t="s">
        <v>284</v>
      </c>
      <c r="X27" s="49" t="s">
        <v>284</v>
      </c>
      <c r="Y27" s="49" t="s">
        <v>284</v>
      </c>
      <c r="Z27" s="57" t="s">
        <v>284</v>
      </c>
      <c r="AA27" s="50" t="s">
        <v>297</v>
      </c>
      <c r="AB27" s="49" t="s">
        <v>297</v>
      </c>
      <c r="AC27" s="49" t="s">
        <v>372</v>
      </c>
      <c r="AD27" s="49" t="s">
        <v>297</v>
      </c>
      <c r="AE27" s="48" t="s">
        <v>372</v>
      </c>
      <c r="AF27" s="47" t="s">
        <v>374</v>
      </c>
      <c r="AG27" s="49" t="s">
        <v>297</v>
      </c>
      <c r="AH27" s="47" t="s">
        <v>373</v>
      </c>
      <c r="AI27" s="48" t="s">
        <v>372</v>
      </c>
      <c r="AJ27" s="61" t="s">
        <v>372</v>
      </c>
    </row>
    <row r="28" spans="2:36" s="133" customFormat="1" ht="24" customHeight="1" x14ac:dyDescent="0.25">
      <c r="B28" s="257"/>
      <c r="C28" s="260"/>
      <c r="D28" s="122"/>
      <c r="E28" s="123">
        <f>K28+V28</f>
        <v>0</v>
      </c>
      <c r="F28" s="140" t="str">
        <f>IF(D28="","",IF(D7="","",IF(D28=(D7+D28)/2,"--",IF(D28&gt;=(D7+D28)/2,"↑","↓"))))</f>
        <v/>
      </c>
      <c r="G28" s="123"/>
      <c r="H28" s="123"/>
      <c r="I28" s="124"/>
      <c r="J28" s="125"/>
      <c r="K28" s="126"/>
      <c r="L28" s="126"/>
      <c r="M28" s="126"/>
      <c r="N28" s="126"/>
      <c r="O28" s="126"/>
      <c r="P28" s="126"/>
      <c r="Q28" s="126"/>
      <c r="R28" s="126"/>
      <c r="S28" s="126"/>
      <c r="T28" s="127"/>
      <c r="U28" s="125"/>
      <c r="V28" s="128"/>
      <c r="W28" s="123"/>
      <c r="X28" s="123"/>
      <c r="Y28" s="123"/>
      <c r="Z28" s="129" t="e">
        <f>U28/D28</f>
        <v>#DIV/0!</v>
      </c>
      <c r="AA28" s="130"/>
      <c r="AB28" s="123"/>
      <c r="AC28" s="123"/>
      <c r="AD28" s="123"/>
      <c r="AE28" s="131"/>
      <c r="AF28" s="131"/>
      <c r="AG28" s="131"/>
      <c r="AH28" s="131"/>
      <c r="AI28" s="131"/>
      <c r="AJ28" s="132"/>
    </row>
    <row r="29" spans="2:36" s="46" customFormat="1" ht="17.5" customHeight="1" x14ac:dyDescent="0.25">
      <c r="B29" s="257"/>
      <c r="C29" s="260"/>
      <c r="D29" s="271" t="s">
        <v>371</v>
      </c>
      <c r="E29" s="272"/>
      <c r="F29" s="273"/>
      <c r="G29" s="271" t="s">
        <v>370</v>
      </c>
      <c r="H29" s="272"/>
      <c r="I29" s="272"/>
      <c r="J29" s="272"/>
      <c r="K29" s="272"/>
      <c r="L29" s="272"/>
      <c r="M29" s="272"/>
      <c r="N29" s="272"/>
      <c r="O29" s="273"/>
      <c r="P29" s="271" t="s">
        <v>369</v>
      </c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3"/>
      <c r="AE29" s="284" t="s">
        <v>336</v>
      </c>
      <c r="AF29" s="272"/>
      <c r="AG29" s="272"/>
      <c r="AH29" s="272"/>
      <c r="AI29" s="272"/>
      <c r="AJ29" s="273"/>
    </row>
    <row r="30" spans="2:36" s="46" customFormat="1" ht="15" customHeight="1" x14ac:dyDescent="0.25">
      <c r="B30" s="257"/>
      <c r="C30" s="260"/>
      <c r="D30" s="285" t="s">
        <v>368</v>
      </c>
      <c r="E30" s="286" t="s">
        <v>367</v>
      </c>
      <c r="F30" s="287" t="s">
        <v>366</v>
      </c>
      <c r="G30" s="285" t="s">
        <v>365</v>
      </c>
      <c r="H30" s="278"/>
      <c r="I30" s="288" t="s">
        <v>364</v>
      </c>
      <c r="J30" s="288" t="s">
        <v>363</v>
      </c>
      <c r="K30" s="288" t="s">
        <v>362</v>
      </c>
      <c r="L30" s="288" t="s">
        <v>361</v>
      </c>
      <c r="M30" s="288" t="s">
        <v>360</v>
      </c>
      <c r="N30" s="288" t="s">
        <v>359</v>
      </c>
      <c r="O30" s="290" t="s">
        <v>358</v>
      </c>
      <c r="P30" s="285" t="s">
        <v>357</v>
      </c>
      <c r="Q30" s="278"/>
      <c r="R30" s="286" t="s">
        <v>356</v>
      </c>
      <c r="S30" s="278"/>
      <c r="T30" s="278"/>
      <c r="U30" s="286" t="s">
        <v>355</v>
      </c>
      <c r="V30" s="292" t="s">
        <v>354</v>
      </c>
      <c r="W30" s="278"/>
      <c r="X30" s="292" t="s">
        <v>353</v>
      </c>
      <c r="Y30" s="278"/>
      <c r="Z30" s="278"/>
      <c r="AA30" s="292" t="s">
        <v>352</v>
      </c>
      <c r="AB30" s="286" t="s">
        <v>351</v>
      </c>
      <c r="AC30" s="289" t="s">
        <v>350</v>
      </c>
      <c r="AD30" s="287" t="s">
        <v>349</v>
      </c>
      <c r="AE30" s="291" t="s">
        <v>348</v>
      </c>
      <c r="AF30" s="278"/>
      <c r="AG30" s="278"/>
      <c r="AH30" s="288" t="s">
        <v>332</v>
      </c>
      <c r="AI30" s="278"/>
      <c r="AJ30" s="281"/>
    </row>
    <row r="31" spans="2:36" s="46" customFormat="1" ht="15" customHeight="1" x14ac:dyDescent="0.25">
      <c r="B31" s="257"/>
      <c r="C31" s="260"/>
      <c r="D31" s="274"/>
      <c r="E31" s="278"/>
      <c r="F31" s="281"/>
      <c r="G31" s="75" t="s">
        <v>347</v>
      </c>
      <c r="H31" s="72" t="s">
        <v>346</v>
      </c>
      <c r="I31" s="278"/>
      <c r="J31" s="278"/>
      <c r="K31" s="278"/>
      <c r="L31" s="278"/>
      <c r="M31" s="278"/>
      <c r="N31" s="278"/>
      <c r="O31" s="281"/>
      <c r="P31" s="75" t="s">
        <v>345</v>
      </c>
      <c r="Q31" s="72" t="s">
        <v>344</v>
      </c>
      <c r="R31" s="72" t="s">
        <v>344</v>
      </c>
      <c r="S31" s="72" t="s">
        <v>343</v>
      </c>
      <c r="T31" s="71" t="s">
        <v>342</v>
      </c>
      <c r="U31" s="278"/>
      <c r="V31" s="71" t="s">
        <v>345</v>
      </c>
      <c r="W31" s="72" t="s">
        <v>344</v>
      </c>
      <c r="X31" s="71" t="s">
        <v>344</v>
      </c>
      <c r="Y31" s="72" t="s">
        <v>343</v>
      </c>
      <c r="Z31" s="71" t="s">
        <v>342</v>
      </c>
      <c r="AA31" s="278"/>
      <c r="AB31" s="278"/>
      <c r="AC31" s="278"/>
      <c r="AD31" s="281"/>
      <c r="AE31" s="77" t="s">
        <v>1</v>
      </c>
      <c r="AF31" s="74" t="s">
        <v>12</v>
      </c>
      <c r="AG31" s="74" t="s">
        <v>15</v>
      </c>
      <c r="AH31" s="52" t="s">
        <v>103</v>
      </c>
      <c r="AI31" s="74" t="s">
        <v>341</v>
      </c>
      <c r="AJ31" s="73" t="s">
        <v>340</v>
      </c>
    </row>
    <row r="32" spans="2:36" s="46" customFormat="1" ht="17.5" customHeight="1" x14ac:dyDescent="0.25">
      <c r="B32" s="257"/>
      <c r="C32" s="260"/>
      <c r="D32" s="75" t="s">
        <v>4</v>
      </c>
      <c r="E32" s="72" t="s">
        <v>4</v>
      </c>
      <c r="F32" s="73" t="s">
        <v>4</v>
      </c>
      <c r="G32" s="50" t="s">
        <v>299</v>
      </c>
      <c r="H32" s="49" t="s">
        <v>283</v>
      </c>
      <c r="I32" s="49" t="s">
        <v>339</v>
      </c>
      <c r="J32" s="49" t="s">
        <v>299</v>
      </c>
      <c r="K32" s="58" t="s">
        <v>302</v>
      </c>
      <c r="L32" s="49" t="s">
        <v>301</v>
      </c>
      <c r="M32" s="58" t="s">
        <v>302</v>
      </c>
      <c r="N32" s="58" t="s">
        <v>302</v>
      </c>
      <c r="O32" s="57" t="s">
        <v>301</v>
      </c>
      <c r="P32" s="50" t="s">
        <v>284</v>
      </c>
      <c r="Q32" s="48" t="s">
        <v>284</v>
      </c>
      <c r="R32" s="49" t="s">
        <v>284</v>
      </c>
      <c r="S32" s="48" t="s">
        <v>284</v>
      </c>
      <c r="T32" s="47" t="s">
        <v>4</v>
      </c>
      <c r="U32" s="48" t="s">
        <v>283</v>
      </c>
      <c r="V32" s="47" t="s">
        <v>284</v>
      </c>
      <c r="W32" s="48" t="s">
        <v>283</v>
      </c>
      <c r="X32" s="47" t="s">
        <v>283</v>
      </c>
      <c r="Y32" s="48" t="s">
        <v>283</v>
      </c>
      <c r="Z32" s="62" t="s">
        <v>4</v>
      </c>
      <c r="AA32" s="62" t="s">
        <v>339</v>
      </c>
      <c r="AB32" s="58" t="s">
        <v>338</v>
      </c>
      <c r="AC32" s="58" t="s">
        <v>338</v>
      </c>
      <c r="AD32" s="61" t="s">
        <v>4</v>
      </c>
      <c r="AE32" s="60" t="s">
        <v>301</v>
      </c>
      <c r="AF32" s="53" t="s">
        <v>302</v>
      </c>
      <c r="AG32" s="52" t="s">
        <v>284</v>
      </c>
      <c r="AH32" s="52" t="s">
        <v>303</v>
      </c>
      <c r="AI32" s="52" t="s">
        <v>303</v>
      </c>
      <c r="AJ32" s="51" t="s">
        <v>303</v>
      </c>
    </row>
    <row r="33" spans="2:36" s="133" customFormat="1" ht="24" customHeight="1" x14ac:dyDescent="0.25">
      <c r="B33" s="257"/>
      <c r="C33" s="260"/>
      <c r="D33" s="141">
        <v>0.53</v>
      </c>
      <c r="E33" s="134"/>
      <c r="F33" s="146" t="str">
        <f>IF(E33="","",IF(AND(E33&gt;=0.525,E33&lt;=0.53),"合格","不合格"))</f>
        <v/>
      </c>
      <c r="G33" s="122"/>
      <c r="H33" s="123"/>
      <c r="I33" s="123"/>
      <c r="J33" s="123"/>
      <c r="K33" s="123"/>
      <c r="L33" s="123"/>
      <c r="M33" s="123"/>
      <c r="N33" s="123"/>
      <c r="O33" s="129"/>
      <c r="P33" s="142">
        <v>29.1</v>
      </c>
      <c r="Q33" s="143" t="s">
        <v>337</v>
      </c>
      <c r="R33" s="123"/>
      <c r="S33" s="123">
        <f>R33-33.1</f>
        <v>-33.1</v>
      </c>
      <c r="T33" s="140" t="str">
        <f>IF(S33&gt;=0,"↑","↓")</f>
        <v>↓</v>
      </c>
      <c r="U33" s="131" t="s">
        <v>82</v>
      </c>
      <c r="V33" s="143">
        <v>1.6</v>
      </c>
      <c r="W33" s="143">
        <v>17.600000000000001</v>
      </c>
      <c r="X33" s="123"/>
      <c r="Y33" s="123">
        <f>X33-W33</f>
        <v>-17.600000000000001</v>
      </c>
      <c r="Z33" s="140" t="str">
        <f>IF(Y33&gt;=0,"↑","↓")</f>
        <v>↓</v>
      </c>
      <c r="AA33" s="143">
        <v>6.28</v>
      </c>
      <c r="AB33" s="123"/>
      <c r="AC33" s="123">
        <f>AB33-AA33</f>
        <v>-6.28</v>
      </c>
      <c r="AD33" s="140" t="str">
        <f>IF(AC33&gt;=0,"↑","↓")</f>
        <v>↓</v>
      </c>
      <c r="AE33" s="135"/>
      <c r="AF33" s="123"/>
      <c r="AG33" s="131"/>
      <c r="AH33" s="131"/>
      <c r="AI33" s="131"/>
      <c r="AJ33" s="132"/>
    </row>
    <row r="34" spans="2:36" s="46" customFormat="1" ht="15" customHeight="1" x14ac:dyDescent="0.25">
      <c r="B34" s="257"/>
      <c r="C34" s="260"/>
      <c r="D34" s="271" t="s">
        <v>336</v>
      </c>
      <c r="E34" s="273"/>
      <c r="F34" s="271" t="s">
        <v>335</v>
      </c>
      <c r="G34" s="272"/>
      <c r="H34" s="272"/>
      <c r="I34" s="272"/>
      <c r="J34" s="272"/>
      <c r="K34" s="272"/>
      <c r="L34" s="272"/>
      <c r="M34" s="273"/>
      <c r="N34" s="271" t="s">
        <v>334</v>
      </c>
      <c r="O34" s="272"/>
      <c r="P34" s="272"/>
      <c r="Q34" s="272"/>
      <c r="R34" s="272"/>
      <c r="S34" s="272"/>
      <c r="T34" s="272"/>
      <c r="U34" s="273"/>
      <c r="V34" s="284" t="s">
        <v>333</v>
      </c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3"/>
    </row>
    <row r="35" spans="2:36" s="46" customFormat="1" ht="15" customHeight="1" x14ac:dyDescent="0.25">
      <c r="B35" s="257"/>
      <c r="C35" s="260"/>
      <c r="D35" s="285" t="s">
        <v>332</v>
      </c>
      <c r="E35" s="281"/>
      <c r="F35" s="285" t="s">
        <v>331</v>
      </c>
      <c r="G35" s="278"/>
      <c r="H35" s="278"/>
      <c r="I35" s="278"/>
      <c r="J35" s="278"/>
      <c r="K35" s="288" t="s">
        <v>330</v>
      </c>
      <c r="L35" s="278"/>
      <c r="M35" s="281"/>
      <c r="N35" s="285" t="s">
        <v>329</v>
      </c>
      <c r="O35" s="278"/>
      <c r="P35" s="278"/>
      <c r="Q35" s="278"/>
      <c r="R35" s="278"/>
      <c r="S35" s="286" t="s">
        <v>328</v>
      </c>
      <c r="T35" s="278"/>
      <c r="U35" s="281"/>
      <c r="V35" s="291" t="s">
        <v>327</v>
      </c>
      <c r="W35" s="278"/>
      <c r="X35" s="278"/>
      <c r="Y35" s="278"/>
      <c r="Z35" s="288" t="s">
        <v>326</v>
      </c>
      <c r="AA35" s="278"/>
      <c r="AB35" s="278"/>
      <c r="AC35" s="278"/>
      <c r="AD35" s="278"/>
      <c r="AE35" s="278"/>
      <c r="AF35" s="278"/>
      <c r="AG35" s="278"/>
      <c r="AH35" s="278"/>
      <c r="AI35" s="278"/>
      <c r="AJ35" s="281"/>
    </row>
    <row r="36" spans="2:36" s="46" customFormat="1" ht="25" customHeight="1" x14ac:dyDescent="0.25">
      <c r="B36" s="257"/>
      <c r="C36" s="260"/>
      <c r="D36" s="75" t="s">
        <v>325</v>
      </c>
      <c r="E36" s="73" t="s">
        <v>322</v>
      </c>
      <c r="F36" s="75" t="s">
        <v>324</v>
      </c>
      <c r="G36" s="72" t="s">
        <v>317</v>
      </c>
      <c r="H36" s="72" t="s">
        <v>323</v>
      </c>
      <c r="I36" s="74" t="s">
        <v>15</v>
      </c>
      <c r="J36" s="52" t="s">
        <v>322</v>
      </c>
      <c r="K36" s="74" t="s">
        <v>321</v>
      </c>
      <c r="L36" s="74" t="s">
        <v>320</v>
      </c>
      <c r="M36" s="73" t="s">
        <v>319</v>
      </c>
      <c r="N36" s="75" t="s">
        <v>324</v>
      </c>
      <c r="O36" s="72" t="s">
        <v>317</v>
      </c>
      <c r="P36" s="72" t="s">
        <v>323</v>
      </c>
      <c r="Q36" s="72" t="s">
        <v>15</v>
      </c>
      <c r="R36" s="71" t="s">
        <v>322</v>
      </c>
      <c r="S36" s="74" t="s">
        <v>321</v>
      </c>
      <c r="T36" s="74" t="s">
        <v>320</v>
      </c>
      <c r="U36" s="73" t="s">
        <v>319</v>
      </c>
      <c r="V36" s="77" t="s">
        <v>318</v>
      </c>
      <c r="W36" s="74" t="s">
        <v>317</v>
      </c>
      <c r="X36" s="74" t="s">
        <v>316</v>
      </c>
      <c r="Y36" s="74" t="s">
        <v>315</v>
      </c>
      <c r="Z36" s="74" t="s">
        <v>314</v>
      </c>
      <c r="AA36" s="74" t="s">
        <v>313</v>
      </c>
      <c r="AB36" s="74" t="s">
        <v>312</v>
      </c>
      <c r="AC36" s="74" t="s">
        <v>311</v>
      </c>
      <c r="AD36" s="74" t="s">
        <v>310</v>
      </c>
      <c r="AE36" s="74" t="s">
        <v>309</v>
      </c>
      <c r="AF36" s="74" t="s">
        <v>308</v>
      </c>
      <c r="AG36" s="74" t="s">
        <v>307</v>
      </c>
      <c r="AH36" s="74" t="s">
        <v>306</v>
      </c>
      <c r="AI36" s="74" t="s">
        <v>305</v>
      </c>
      <c r="AJ36" s="76" t="s">
        <v>304</v>
      </c>
    </row>
    <row r="37" spans="2:36" s="46" customFormat="1" ht="15" customHeight="1" x14ac:dyDescent="0.25">
      <c r="B37" s="257"/>
      <c r="C37" s="260"/>
      <c r="D37" s="60" t="s">
        <v>303</v>
      </c>
      <c r="E37" s="51" t="s">
        <v>4</v>
      </c>
      <c r="F37" s="54" t="s">
        <v>302</v>
      </c>
      <c r="G37" s="53" t="s">
        <v>302</v>
      </c>
      <c r="H37" s="53" t="s">
        <v>302</v>
      </c>
      <c r="I37" s="52" t="s">
        <v>284</v>
      </c>
      <c r="J37" s="52" t="s">
        <v>4</v>
      </c>
      <c r="K37" s="52" t="s">
        <v>284</v>
      </c>
      <c r="L37" s="52" t="s">
        <v>284</v>
      </c>
      <c r="M37" s="57" t="s">
        <v>284</v>
      </c>
      <c r="N37" s="59" t="s">
        <v>302</v>
      </c>
      <c r="O37" s="72" t="s">
        <v>302</v>
      </c>
      <c r="P37" s="58" t="s">
        <v>302</v>
      </c>
      <c r="Q37" s="49" t="s">
        <v>284</v>
      </c>
      <c r="R37" s="49" t="s">
        <v>4</v>
      </c>
      <c r="S37" s="52" t="s">
        <v>284</v>
      </c>
      <c r="T37" s="52" t="s">
        <v>284</v>
      </c>
      <c r="U37" s="57" t="s">
        <v>284</v>
      </c>
      <c r="V37" s="54" t="s">
        <v>302</v>
      </c>
      <c r="W37" s="53" t="s">
        <v>302</v>
      </c>
      <c r="X37" s="52" t="s">
        <v>301</v>
      </c>
      <c r="Y37" s="52" t="s">
        <v>284</v>
      </c>
      <c r="Z37" s="52" t="s">
        <v>300</v>
      </c>
      <c r="AA37" s="52" t="s">
        <v>299</v>
      </c>
      <c r="AB37" s="52" t="s">
        <v>300</v>
      </c>
      <c r="AC37" s="53" t="s">
        <v>299</v>
      </c>
      <c r="AD37" s="53" t="s">
        <v>283</v>
      </c>
      <c r="AE37" s="53" t="s">
        <v>4</v>
      </c>
      <c r="AF37" s="52" t="s">
        <v>282</v>
      </c>
      <c r="AG37" s="52" t="s">
        <v>298</v>
      </c>
      <c r="AH37" s="52" t="s">
        <v>297</v>
      </c>
      <c r="AI37" s="52" t="s">
        <v>297</v>
      </c>
      <c r="AJ37" s="51" t="s">
        <v>4</v>
      </c>
    </row>
    <row r="38" spans="2:36" s="133" customFormat="1" ht="24" customHeight="1" x14ac:dyDescent="0.25">
      <c r="B38" s="257"/>
      <c r="C38" s="260"/>
      <c r="D38" s="135"/>
      <c r="E38" s="129"/>
      <c r="F38" s="135"/>
      <c r="G38" s="131"/>
      <c r="H38" s="131"/>
      <c r="I38" s="123"/>
      <c r="J38" s="123"/>
      <c r="K38" s="123"/>
      <c r="L38" s="123"/>
      <c r="M38" s="129"/>
      <c r="N38" s="122"/>
      <c r="O38" s="123"/>
      <c r="P38" s="123"/>
      <c r="Q38" s="123"/>
      <c r="R38" s="123"/>
      <c r="S38" s="123"/>
      <c r="T38" s="123"/>
      <c r="U38" s="129"/>
      <c r="V38" s="122"/>
      <c r="W38" s="123"/>
      <c r="X38" s="123"/>
      <c r="Y38" s="123"/>
      <c r="Z38" s="123"/>
      <c r="AA38" s="123"/>
      <c r="AB38" s="123"/>
      <c r="AC38" s="123"/>
      <c r="AD38" s="123"/>
      <c r="AE38" s="123" t="e">
        <f>Z38/AB38</f>
        <v>#DIV/0!</v>
      </c>
      <c r="AF38" s="123"/>
      <c r="AG38" s="123"/>
      <c r="AH38" s="123" t="e">
        <f>AF38/(Z38-AB38)</f>
        <v>#DIV/0!</v>
      </c>
      <c r="AI38" s="143" t="s">
        <v>296</v>
      </c>
      <c r="AJ38" s="140" t="e">
        <f>IF((AH38-AI38)&gt;=0,"↑","↓")</f>
        <v>#DIV/0!</v>
      </c>
    </row>
    <row r="39" spans="2:36" s="46" customFormat="1" ht="15" customHeight="1" x14ac:dyDescent="0.25">
      <c r="B39" s="257"/>
      <c r="C39" s="260"/>
      <c r="D39" s="284" t="s">
        <v>295</v>
      </c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3"/>
      <c r="R39" s="78" t="s">
        <v>4</v>
      </c>
      <c r="S39" s="56" t="s">
        <v>4</v>
      </c>
      <c r="T39" s="56" t="s">
        <v>4</v>
      </c>
      <c r="U39" s="56" t="s">
        <v>82</v>
      </c>
      <c r="V39" s="56" t="s">
        <v>82</v>
      </c>
      <c r="W39" s="56" t="s">
        <v>82</v>
      </c>
      <c r="X39" s="56" t="s">
        <v>82</v>
      </c>
      <c r="Y39" s="56" t="s">
        <v>82</v>
      </c>
      <c r="Z39" s="56" t="s">
        <v>82</v>
      </c>
      <c r="AA39" s="56" t="s">
        <v>82</v>
      </c>
      <c r="AB39" s="56" t="s">
        <v>82</v>
      </c>
      <c r="AC39" s="56" t="s">
        <v>82</v>
      </c>
      <c r="AD39" s="56" t="s">
        <v>82</v>
      </c>
      <c r="AE39" s="56" t="s">
        <v>82</v>
      </c>
      <c r="AF39" s="55" t="s">
        <v>82</v>
      </c>
      <c r="AG39" s="55" t="s">
        <v>82</v>
      </c>
      <c r="AH39" s="55" t="s">
        <v>82</v>
      </c>
      <c r="AI39" s="55" t="s">
        <v>82</v>
      </c>
      <c r="AJ39" s="84" t="s">
        <v>82</v>
      </c>
    </row>
    <row r="40" spans="2:36" s="46" customFormat="1" ht="15" customHeight="1" x14ac:dyDescent="0.25">
      <c r="B40" s="257"/>
      <c r="C40" s="260"/>
      <c r="D40" s="291" t="s">
        <v>294</v>
      </c>
      <c r="E40" s="278"/>
      <c r="F40" s="278"/>
      <c r="G40" s="288" t="s">
        <v>293</v>
      </c>
      <c r="H40" s="278"/>
      <c r="I40" s="278"/>
      <c r="J40" s="288" t="s">
        <v>292</v>
      </c>
      <c r="K40" s="278"/>
      <c r="L40" s="278"/>
      <c r="M40" s="288" t="s">
        <v>291</v>
      </c>
      <c r="N40" s="288" t="s">
        <v>290</v>
      </c>
      <c r="O40" s="288" t="s">
        <v>289</v>
      </c>
      <c r="P40" s="288" t="s">
        <v>225</v>
      </c>
      <c r="Q40" s="290" t="s">
        <v>288</v>
      </c>
      <c r="R40" s="50" t="s">
        <v>4</v>
      </c>
      <c r="S40" s="49" t="s">
        <v>4</v>
      </c>
      <c r="T40" s="49" t="s">
        <v>4</v>
      </c>
      <c r="U40" s="49" t="s">
        <v>82</v>
      </c>
      <c r="V40" s="49" t="s">
        <v>82</v>
      </c>
      <c r="W40" s="49" t="s">
        <v>82</v>
      </c>
      <c r="X40" s="49" t="s">
        <v>82</v>
      </c>
      <c r="Y40" s="49" t="s">
        <v>82</v>
      </c>
      <c r="Z40" s="49" t="s">
        <v>82</v>
      </c>
      <c r="AA40" s="49" t="s">
        <v>82</v>
      </c>
      <c r="AB40" s="49" t="s">
        <v>82</v>
      </c>
      <c r="AC40" s="49" t="s">
        <v>82</v>
      </c>
      <c r="AD40" s="49" t="s">
        <v>82</v>
      </c>
      <c r="AE40" s="49" t="s">
        <v>82</v>
      </c>
      <c r="AF40" s="47" t="s">
        <v>82</v>
      </c>
      <c r="AG40" s="47" t="s">
        <v>82</v>
      </c>
      <c r="AH40" s="47" t="s">
        <v>82</v>
      </c>
      <c r="AI40" s="47" t="s">
        <v>82</v>
      </c>
      <c r="AJ40" s="61" t="s">
        <v>82</v>
      </c>
    </row>
    <row r="41" spans="2:36" s="46" customFormat="1" ht="25" customHeight="1" x14ac:dyDescent="0.25">
      <c r="B41" s="257"/>
      <c r="C41" s="260"/>
      <c r="D41" s="77" t="s">
        <v>287</v>
      </c>
      <c r="E41" s="74" t="s">
        <v>286</v>
      </c>
      <c r="F41" s="74" t="s">
        <v>285</v>
      </c>
      <c r="G41" s="74" t="s">
        <v>287</v>
      </c>
      <c r="H41" s="74" t="s">
        <v>286</v>
      </c>
      <c r="I41" s="74" t="s">
        <v>285</v>
      </c>
      <c r="J41" s="74" t="s">
        <v>287</v>
      </c>
      <c r="K41" s="74" t="s">
        <v>286</v>
      </c>
      <c r="L41" s="74" t="s">
        <v>285</v>
      </c>
      <c r="M41" s="278"/>
      <c r="N41" s="278"/>
      <c r="O41" s="278"/>
      <c r="P41" s="278"/>
      <c r="Q41" s="281"/>
      <c r="R41" s="75" t="s">
        <v>4</v>
      </c>
      <c r="S41" s="72" t="s">
        <v>4</v>
      </c>
      <c r="T41" s="72" t="s">
        <v>4</v>
      </c>
      <c r="U41" s="72" t="s">
        <v>82</v>
      </c>
      <c r="V41" s="72" t="s">
        <v>82</v>
      </c>
      <c r="W41" s="74" t="s">
        <v>82</v>
      </c>
      <c r="X41" s="72" t="s">
        <v>82</v>
      </c>
      <c r="Y41" s="72" t="s">
        <v>82</v>
      </c>
      <c r="Z41" s="74" t="s">
        <v>82</v>
      </c>
      <c r="AA41" s="49" t="s">
        <v>82</v>
      </c>
      <c r="AB41" s="49" t="s">
        <v>82</v>
      </c>
      <c r="AC41" s="49" t="s">
        <v>82</v>
      </c>
      <c r="AD41" s="49" t="s">
        <v>82</v>
      </c>
      <c r="AE41" s="49" t="s">
        <v>82</v>
      </c>
      <c r="AF41" s="47" t="s">
        <v>82</v>
      </c>
      <c r="AG41" s="47" t="s">
        <v>82</v>
      </c>
      <c r="AH41" s="47" t="s">
        <v>82</v>
      </c>
      <c r="AI41" s="47" t="s">
        <v>82</v>
      </c>
      <c r="AJ41" s="61" t="s">
        <v>82</v>
      </c>
    </row>
    <row r="42" spans="2:36" s="46" customFormat="1" ht="22.5" customHeight="1" x14ac:dyDescent="0.25">
      <c r="B42" s="257"/>
      <c r="C42" s="260"/>
      <c r="D42" s="54" t="s">
        <v>284</v>
      </c>
      <c r="E42" s="53" t="s">
        <v>284</v>
      </c>
      <c r="F42" s="52" t="s">
        <v>284</v>
      </c>
      <c r="G42" s="52" t="s">
        <v>283</v>
      </c>
      <c r="H42" s="49" t="s">
        <v>283</v>
      </c>
      <c r="I42" s="49" t="s">
        <v>283</v>
      </c>
      <c r="J42" s="52" t="s">
        <v>283</v>
      </c>
      <c r="K42" s="49" t="s">
        <v>283</v>
      </c>
      <c r="L42" s="49" t="s">
        <v>283</v>
      </c>
      <c r="M42" s="49" t="s">
        <v>282</v>
      </c>
      <c r="N42" s="49" t="s">
        <v>281</v>
      </c>
      <c r="O42" s="52" t="s">
        <v>280</v>
      </c>
      <c r="P42" s="52" t="s">
        <v>4</v>
      </c>
      <c r="Q42" s="51" t="s">
        <v>4</v>
      </c>
      <c r="R42" s="50" t="s">
        <v>4</v>
      </c>
      <c r="S42" s="49" t="s">
        <v>4</v>
      </c>
      <c r="T42" s="49" t="s">
        <v>4</v>
      </c>
      <c r="U42" s="49" t="s">
        <v>82</v>
      </c>
      <c r="V42" s="49" t="s">
        <v>82</v>
      </c>
      <c r="W42" s="49" t="s">
        <v>82</v>
      </c>
      <c r="X42" s="49" t="s">
        <v>82</v>
      </c>
      <c r="Y42" s="49" t="s">
        <v>82</v>
      </c>
      <c r="Z42" s="49" t="s">
        <v>82</v>
      </c>
      <c r="AA42" s="49" t="s">
        <v>82</v>
      </c>
      <c r="AB42" s="49" t="s">
        <v>82</v>
      </c>
      <c r="AC42" s="49" t="s">
        <v>82</v>
      </c>
      <c r="AD42" s="49" t="s">
        <v>82</v>
      </c>
      <c r="AE42" s="48" t="s">
        <v>82</v>
      </c>
      <c r="AF42" s="47" t="s">
        <v>82</v>
      </c>
      <c r="AG42" s="47" t="s">
        <v>82</v>
      </c>
      <c r="AH42" s="47" t="s">
        <v>82</v>
      </c>
      <c r="AI42" s="47" t="s">
        <v>82</v>
      </c>
      <c r="AJ42" s="61" t="s">
        <v>82</v>
      </c>
    </row>
    <row r="43" spans="2:36" s="133" customFormat="1" ht="24" customHeight="1" x14ac:dyDescent="0.25">
      <c r="B43" s="301"/>
      <c r="C43" s="302"/>
      <c r="D43" s="122"/>
      <c r="E43" s="123"/>
      <c r="F43" s="123">
        <f>D43-E43</f>
        <v>0</v>
      </c>
      <c r="G43" s="123"/>
      <c r="H43" s="123"/>
      <c r="I43" s="123">
        <f>G43-H43</f>
        <v>0</v>
      </c>
      <c r="J43" s="123"/>
      <c r="K43" s="123"/>
      <c r="L43" s="123">
        <f>J43-K43</f>
        <v>0</v>
      </c>
      <c r="M43" s="123"/>
      <c r="N43" s="123"/>
      <c r="O43" s="123" t="e">
        <f>N43/M43</f>
        <v>#DIV/0!</v>
      </c>
      <c r="P43" s="123"/>
      <c r="Q43" s="145">
        <v>301</v>
      </c>
      <c r="R43" s="122" t="s">
        <v>4</v>
      </c>
      <c r="S43" s="123" t="s">
        <v>4</v>
      </c>
      <c r="T43" s="123" t="s">
        <v>4</v>
      </c>
      <c r="U43" s="123" t="s">
        <v>82</v>
      </c>
      <c r="V43" s="123" t="s">
        <v>82</v>
      </c>
      <c r="W43" s="123" t="s">
        <v>82</v>
      </c>
      <c r="X43" s="123" t="s">
        <v>82</v>
      </c>
      <c r="Y43" s="123" t="s">
        <v>82</v>
      </c>
      <c r="Z43" s="123" t="s">
        <v>82</v>
      </c>
      <c r="AA43" s="123" t="s">
        <v>82</v>
      </c>
      <c r="AB43" s="123" t="s">
        <v>82</v>
      </c>
      <c r="AC43" s="123" t="s">
        <v>82</v>
      </c>
      <c r="AD43" s="123" t="s">
        <v>82</v>
      </c>
      <c r="AE43" s="131" t="s">
        <v>82</v>
      </c>
      <c r="AF43" s="131" t="s">
        <v>82</v>
      </c>
      <c r="AG43" s="131" t="s">
        <v>82</v>
      </c>
      <c r="AH43" s="131" t="s">
        <v>82</v>
      </c>
      <c r="AI43" s="131" t="s">
        <v>82</v>
      </c>
      <c r="AJ43" s="132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F7">
    <cfRule type="cellIs" dxfId="39" priority="25" aboveAverage="1" operator="equal">
      <formula>"↓"</formula>
    </cfRule>
    <cfRule type="cellIs" dxfId="38" priority="26" aboveAverage="1" operator="equal">
      <formula>"↑"</formula>
    </cfRule>
  </conditionalFormatting>
  <conditionalFormatting sqref="F12">
    <cfRule type="cellIs" dxfId="37" priority="5" aboveAverage="1" operator="equal">
      <formula>"↓"</formula>
    </cfRule>
    <cfRule type="cellIs" dxfId="36" priority="6" aboveAverage="1" operator="equal">
      <formula>"↑"</formula>
    </cfRule>
  </conditionalFormatting>
  <conditionalFormatting sqref="F28">
    <cfRule type="cellIs" dxfId="35" priority="23" aboveAverage="1" operator="equal">
      <formula>"↓"</formula>
    </cfRule>
    <cfRule type="cellIs" dxfId="34" priority="24" aboveAverage="1" operator="equal">
      <formula>"↑"</formula>
    </cfRule>
  </conditionalFormatting>
  <conditionalFormatting sqref="F33">
    <cfRule type="cellIs" dxfId="33" priority="1" aboveAverage="1" operator="equal">
      <formula>"↓"</formula>
    </cfRule>
    <cfRule type="cellIs" dxfId="32" priority="2" aboveAverage="1" operator="equal">
      <formula>"↑"</formula>
    </cfRule>
  </conditionalFormatting>
  <conditionalFormatting sqref="T12">
    <cfRule type="cellIs" dxfId="31" priority="21" aboveAverage="1" operator="equal">
      <formula>"↓"</formula>
    </cfRule>
    <cfRule type="cellIs" dxfId="30" priority="22" aboveAverage="1" operator="equal">
      <formula>"↑"</formula>
    </cfRule>
  </conditionalFormatting>
  <conditionalFormatting sqref="T33">
    <cfRule type="cellIs" dxfId="29" priority="19" aboveAverage="1" operator="equal">
      <formula>"↓"</formula>
    </cfRule>
    <cfRule type="cellIs" dxfId="28" priority="20" aboveAverage="1" operator="equal">
      <formula>"↑"</formula>
    </cfRule>
  </conditionalFormatting>
  <conditionalFormatting sqref="Z12">
    <cfRule type="cellIs" dxfId="27" priority="17" aboveAverage="1" operator="equal">
      <formula>"↓"</formula>
    </cfRule>
    <cfRule type="cellIs" dxfId="26" priority="18" aboveAverage="1" operator="equal">
      <formula>"↑"</formula>
    </cfRule>
  </conditionalFormatting>
  <conditionalFormatting sqref="Z33">
    <cfRule type="cellIs" dxfId="25" priority="15" aboveAverage="1" operator="equal">
      <formula>"↓"</formula>
    </cfRule>
    <cfRule type="cellIs" dxfId="24" priority="16" aboveAverage="1" operator="equal">
      <formula>"↑"</formula>
    </cfRule>
  </conditionalFormatting>
  <conditionalFormatting sqref="AD12">
    <cfRule type="cellIs" dxfId="23" priority="13" aboveAverage="1" operator="equal">
      <formula>"↓"</formula>
    </cfRule>
    <cfRule type="cellIs" dxfId="22" priority="14" aboveAverage="1" operator="equal">
      <formula>"↑"</formula>
    </cfRule>
  </conditionalFormatting>
  <conditionalFormatting sqref="AD33">
    <cfRule type="cellIs" dxfId="21" priority="11" aboveAverage="1" operator="equal">
      <formula>"↓"</formula>
    </cfRule>
    <cfRule type="cellIs" dxfId="20" priority="12" aboveAverage="1" operator="equal">
      <formula>"↑"</formula>
    </cfRule>
  </conditionalFormatting>
  <conditionalFormatting sqref="AJ17">
    <cfRule type="cellIs" dxfId="19" priority="9" aboveAverage="1" operator="equal">
      <formula>"↓"</formula>
    </cfRule>
    <cfRule type="cellIs" dxfId="18" priority="10" aboveAverage="1" operator="equal">
      <formula>"↑"</formula>
    </cfRule>
  </conditionalFormatting>
  <conditionalFormatting sqref="AJ38">
    <cfRule type="cellIs" dxfId="17" priority="7" aboveAverage="1" operator="equal">
      <formula>"↓"</formula>
    </cfRule>
    <cfRule type="cellIs" dxfId="16" priority="8" aboveAverage="1" operator="equal">
      <formula>"↑"</formula>
    </cfRule>
  </conditionalFormatting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N6" sqref="N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03" t="s">
        <v>470</v>
      </c>
      <c r="C2" s="304"/>
      <c r="D2" s="304"/>
      <c r="E2" s="304"/>
      <c r="F2" s="304"/>
      <c r="G2" s="304"/>
      <c r="H2" s="304"/>
      <c r="I2" s="304"/>
      <c r="J2" s="305"/>
    </row>
    <row r="3" spans="2:10" ht="20.15" customHeight="1" x14ac:dyDescent="0.25">
      <c r="B3" s="306"/>
      <c r="C3" s="307"/>
      <c r="D3" s="307"/>
      <c r="E3" s="307"/>
      <c r="F3" s="307"/>
      <c r="G3" s="308"/>
      <c r="H3" s="309"/>
      <c r="I3" s="309"/>
      <c r="J3" s="310"/>
    </row>
    <row r="4" spans="2:10" ht="21" x14ac:dyDescent="0.25">
      <c r="B4" s="311" t="s">
        <v>413</v>
      </c>
      <c r="C4" s="312"/>
      <c r="D4" s="313"/>
      <c r="E4" s="314" t="s">
        <v>414</v>
      </c>
      <c r="F4" s="314" t="s">
        <v>415</v>
      </c>
      <c r="G4" s="314" t="s">
        <v>416</v>
      </c>
      <c r="H4" s="315" t="s">
        <v>417</v>
      </c>
      <c r="I4" s="313"/>
      <c r="J4" s="316" t="s">
        <v>418</v>
      </c>
    </row>
    <row r="5" spans="2:10" x14ac:dyDescent="0.25">
      <c r="B5" s="317" t="s">
        <v>419</v>
      </c>
      <c r="C5" s="318" t="s">
        <v>420</v>
      </c>
      <c r="D5" s="318"/>
      <c r="E5" s="319" t="s">
        <v>284</v>
      </c>
      <c r="F5" s="320">
        <v>90</v>
      </c>
      <c r="G5" s="321">
        <v>0</v>
      </c>
      <c r="H5" s="322">
        <f>(G5-F5)/F5*100</f>
        <v>-100</v>
      </c>
      <c r="I5" s="323" t="s">
        <v>284</v>
      </c>
      <c r="J5" s="324"/>
    </row>
    <row r="6" spans="2:10" x14ac:dyDescent="0.25">
      <c r="B6" s="325" t="s">
        <v>421</v>
      </c>
      <c r="C6" s="318" t="s">
        <v>422</v>
      </c>
      <c r="D6" s="318"/>
      <c r="E6" s="319" t="s">
        <v>280</v>
      </c>
      <c r="F6" s="320" t="s">
        <v>423</v>
      </c>
      <c r="G6" s="321">
        <v>0</v>
      </c>
      <c r="H6" s="326" t="str">
        <f>IF($G6="","",IF(AND($G6&gt;=0,$G6&lt;=1427),"合格","不合格"))</f>
        <v/>
      </c>
      <c r="I6" s="327" t="s">
        <v>4</v>
      </c>
      <c r="J6" s="324"/>
    </row>
    <row r="7" spans="2:10" x14ac:dyDescent="0.25">
      <c r="B7" s="328"/>
      <c r="C7" s="318" t="s">
        <v>424</v>
      </c>
      <c r="D7" s="318"/>
      <c r="E7" s="319" t="s">
        <v>280</v>
      </c>
      <c r="F7" s="320" t="s">
        <v>425</v>
      </c>
      <c r="G7" s="321">
        <v>0</v>
      </c>
      <c r="H7" s="326" t="str">
        <f>IF($G7="","",IF(AND($G7&gt;=210,$G7&lt;=220),"合格","不合格"))</f>
        <v/>
      </c>
      <c r="I7" s="327" t="s">
        <v>4</v>
      </c>
      <c r="J7" s="324"/>
    </row>
    <row r="8" spans="2:10" x14ac:dyDescent="0.25">
      <c r="B8" s="329"/>
      <c r="C8" s="318" t="s">
        <v>426</v>
      </c>
      <c r="D8" s="318"/>
      <c r="E8" s="319" t="s">
        <v>280</v>
      </c>
      <c r="F8" s="320" t="s">
        <v>427</v>
      </c>
      <c r="G8" s="321">
        <v>0</v>
      </c>
      <c r="H8" s="326" t="str">
        <f>IF($G8="","",IF(AND($G8&gt;=190,$G8&lt;=210),"合格","不合格"))</f>
        <v/>
      </c>
      <c r="I8" s="327" t="s">
        <v>4</v>
      </c>
      <c r="J8" s="324"/>
    </row>
    <row r="9" spans="2:10" x14ac:dyDescent="0.25">
      <c r="B9" s="325" t="s">
        <v>428</v>
      </c>
      <c r="C9" s="319" t="s">
        <v>429</v>
      </c>
      <c r="D9" s="319" t="s">
        <v>430</v>
      </c>
      <c r="E9" s="319" t="s">
        <v>431</v>
      </c>
      <c r="F9" s="320" t="s">
        <v>432</v>
      </c>
      <c r="G9" s="321">
        <v>419.1732177734375</v>
      </c>
      <c r="H9" s="326" t="str">
        <f>IF($G9="","",IF(AND($G9&gt;=412,$G9&lt;=422),"合格","不合格"))</f>
        <v/>
      </c>
      <c r="I9" s="327" t="s">
        <v>4</v>
      </c>
      <c r="J9" s="324"/>
    </row>
    <row r="10" spans="2:10" x14ac:dyDescent="0.25">
      <c r="B10" s="328"/>
      <c r="C10" s="318" t="s">
        <v>433</v>
      </c>
      <c r="D10" s="319" t="s">
        <v>434</v>
      </c>
      <c r="E10" s="327" t="s">
        <v>4</v>
      </c>
      <c r="F10" s="320" t="s">
        <v>435</v>
      </c>
      <c r="G10" s="321">
        <v>0.5303236246109009</v>
      </c>
      <c r="H10" s="326" t="str">
        <f>IF($G10="","",IF(AND($G10&gt;=0.525,$G10&lt;=0.5357),"合格","不合格"))</f>
        <v/>
      </c>
      <c r="I10" s="327" t="s">
        <v>4</v>
      </c>
      <c r="J10" s="324"/>
    </row>
    <row r="11" spans="2:10" x14ac:dyDescent="0.25">
      <c r="B11" s="328"/>
      <c r="C11" s="318"/>
      <c r="D11" s="319" t="s">
        <v>436</v>
      </c>
      <c r="E11" s="319" t="s">
        <v>437</v>
      </c>
      <c r="F11" s="320">
        <v>46.63</v>
      </c>
      <c r="G11" s="321">
        <v>46.65299987792969</v>
      </c>
      <c r="H11" s="326" t="s">
        <v>438</v>
      </c>
      <c r="I11" s="327" t="s">
        <v>4</v>
      </c>
      <c r="J11" s="324"/>
    </row>
    <row r="12" spans="2:10" x14ac:dyDescent="0.25">
      <c r="B12" s="328"/>
      <c r="C12" s="318"/>
      <c r="D12" s="319" t="s">
        <v>439</v>
      </c>
      <c r="E12" s="319" t="s">
        <v>301</v>
      </c>
      <c r="F12" s="320" t="s">
        <v>440</v>
      </c>
      <c r="G12" s="321">
        <v>0.7331758737564087</v>
      </c>
      <c r="H12" s="326" t="str">
        <f>IF($G12="","",IF(AND($G12&gt;=0.745,$G12&lt;=0.755),"合格","不合格"))</f>
        <v/>
      </c>
      <c r="I12" s="327" t="s">
        <v>4</v>
      </c>
      <c r="J12" s="324"/>
    </row>
    <row r="13" spans="2:10" x14ac:dyDescent="0.25">
      <c r="B13" s="328"/>
      <c r="C13" s="318"/>
      <c r="D13" s="319" t="s">
        <v>441</v>
      </c>
      <c r="E13" s="319" t="s">
        <v>302</v>
      </c>
      <c r="F13" s="320" t="s">
        <v>442</v>
      </c>
      <c r="G13" s="321">
        <v>90.41320037841797</v>
      </c>
      <c r="H13" s="326" t="str">
        <f>IF($G13="","",IF(AND($G13&gt;=88,$G13&lt;=92),"合格","不合格"))</f>
        <v/>
      </c>
      <c r="I13" s="327" t="s">
        <v>4</v>
      </c>
      <c r="J13" s="324"/>
    </row>
    <row r="14" spans="2:10" x14ac:dyDescent="0.25">
      <c r="B14" s="328"/>
      <c r="C14" s="318"/>
      <c r="D14" s="319" t="s">
        <v>443</v>
      </c>
      <c r="E14" s="319" t="s">
        <v>302</v>
      </c>
      <c r="F14" s="320" t="s">
        <v>444</v>
      </c>
      <c r="G14" s="321">
        <v>139.52951049804688</v>
      </c>
      <c r="H14" s="326" t="str">
        <f>IF($G14="","",IF(AND($G14&gt;=143,$G14&lt;=147),"合格","不合格"))</f>
        <v/>
      </c>
      <c r="I14" s="327" t="s">
        <v>4</v>
      </c>
      <c r="J14" s="324"/>
    </row>
    <row r="15" spans="2:10" x14ac:dyDescent="0.25">
      <c r="B15" s="328"/>
      <c r="C15" s="318"/>
      <c r="D15" s="319" t="s">
        <v>445</v>
      </c>
      <c r="E15" s="319" t="s">
        <v>302</v>
      </c>
      <c r="F15" s="320" t="s">
        <v>446</v>
      </c>
      <c r="G15" s="321">
        <v>162.7939910888672</v>
      </c>
      <c r="H15" s="326" t="str">
        <f>IF($G15="","",IF(AND($G15&gt;=166,$G15&lt;=170),"合格","不合格"))</f>
        <v/>
      </c>
      <c r="I15" s="327" t="s">
        <v>4</v>
      </c>
      <c r="J15" s="324"/>
    </row>
    <row r="16" spans="2:10" x14ac:dyDescent="0.25">
      <c r="B16" s="328"/>
      <c r="C16" s="318" t="s">
        <v>447</v>
      </c>
      <c r="D16" s="319" t="s">
        <v>448</v>
      </c>
      <c r="E16" s="319" t="s">
        <v>302</v>
      </c>
      <c r="F16" s="320" t="s">
        <v>449</v>
      </c>
      <c r="G16" s="321">
        <v>47.64365768432617</v>
      </c>
      <c r="H16" s="326" t="str">
        <f>IF($G16="","",IF(AND($G16&gt;=0,$G16&lt;=45),"合格","不合格"))</f>
        <v/>
      </c>
      <c r="I16" s="327" t="s">
        <v>4</v>
      </c>
      <c r="J16" s="324"/>
    </row>
    <row r="17" spans="2:10" x14ac:dyDescent="0.25">
      <c r="B17" s="328"/>
      <c r="C17" s="318"/>
      <c r="D17" s="319" t="s">
        <v>450</v>
      </c>
      <c r="E17" s="319" t="s">
        <v>302</v>
      </c>
      <c r="F17" s="320" t="s">
        <v>451</v>
      </c>
      <c r="G17" s="321">
        <v>20.123117446899414</v>
      </c>
      <c r="H17" s="326" t="str">
        <f>IF($G17="","",IF(AND($G17&gt;=0,$G17&lt;=20),"合格","不合格"))</f>
        <v/>
      </c>
      <c r="I17" s="327" t="s">
        <v>4</v>
      </c>
      <c r="J17" s="324"/>
    </row>
    <row r="18" spans="2:10" x14ac:dyDescent="0.25">
      <c r="B18" s="328"/>
      <c r="C18" s="318"/>
      <c r="D18" s="319" t="s">
        <v>452</v>
      </c>
      <c r="E18" s="319" t="s">
        <v>302</v>
      </c>
      <c r="F18" s="320" t="s">
        <v>453</v>
      </c>
      <c r="G18" s="321">
        <v>0</v>
      </c>
      <c r="H18" s="326" t="str">
        <f>IF($G18="","",IF(AND($G18&gt;=46,$G18&lt;=50),"合格","不合格"))</f>
        <v/>
      </c>
      <c r="I18" s="327" t="s">
        <v>4</v>
      </c>
      <c r="J18" s="324"/>
    </row>
    <row r="19" spans="2:10" x14ac:dyDescent="0.25">
      <c r="B19" s="328"/>
      <c r="C19" s="318"/>
      <c r="D19" s="319" t="s">
        <v>454</v>
      </c>
      <c r="E19" s="319" t="s">
        <v>302</v>
      </c>
      <c r="F19" s="320" t="s">
        <v>455</v>
      </c>
      <c r="G19" s="321">
        <v>17.258390426635742</v>
      </c>
      <c r="H19" s="326" t="str">
        <f>IF($G19="","",IF(AND($G19&gt;=0,$G19&lt;=20),"合格","不合格"))</f>
        <v/>
      </c>
      <c r="I19" s="327" t="s">
        <v>4</v>
      </c>
      <c r="J19" s="324"/>
    </row>
    <row r="20" spans="2:10" x14ac:dyDescent="0.25">
      <c r="B20" s="328"/>
      <c r="C20" s="318" t="s">
        <v>456</v>
      </c>
      <c r="D20" s="319" t="s">
        <v>89</v>
      </c>
      <c r="E20" s="319" t="s">
        <v>284</v>
      </c>
      <c r="F20" s="330" t="s">
        <v>82</v>
      </c>
      <c r="G20" s="321">
        <v>33.61333465576172</v>
      </c>
      <c r="H20" s="331" t="s">
        <v>457</v>
      </c>
      <c r="I20" s="327" t="s">
        <v>4</v>
      </c>
      <c r="J20" s="324"/>
    </row>
    <row r="21" spans="2:10" x14ac:dyDescent="0.25">
      <c r="B21" s="328"/>
      <c r="C21" s="318"/>
      <c r="D21" s="319" t="s">
        <v>92</v>
      </c>
      <c r="E21" s="319" t="s">
        <v>284</v>
      </c>
      <c r="F21" s="330" t="s">
        <v>82</v>
      </c>
      <c r="G21" s="321"/>
      <c r="H21" s="331" t="s">
        <v>457</v>
      </c>
      <c r="I21" s="327" t="s">
        <v>4</v>
      </c>
      <c r="J21" s="324"/>
    </row>
    <row r="22" spans="2:10" x14ac:dyDescent="0.25">
      <c r="B22" s="328"/>
      <c r="C22" s="318"/>
      <c r="D22" s="319" t="s">
        <v>458</v>
      </c>
      <c r="E22" s="327" t="s">
        <v>4</v>
      </c>
      <c r="F22" s="330" t="s">
        <v>82</v>
      </c>
      <c r="G22" s="321">
        <v>6.923333644866943</v>
      </c>
      <c r="H22" s="331" t="s">
        <v>457</v>
      </c>
      <c r="I22" s="327" t="s">
        <v>4</v>
      </c>
      <c r="J22" s="324"/>
    </row>
    <row r="23" spans="2:10" x14ac:dyDescent="0.25">
      <c r="B23" s="328"/>
      <c r="C23" s="318"/>
      <c r="D23" s="319" t="s">
        <v>166</v>
      </c>
      <c r="E23" s="319" t="s">
        <v>431</v>
      </c>
      <c r="F23" s="330" t="s">
        <v>82</v>
      </c>
      <c r="G23" s="321">
        <v>28.829999923706055</v>
      </c>
      <c r="H23" s="331" t="s">
        <v>457</v>
      </c>
      <c r="I23" s="327" t="s">
        <v>4</v>
      </c>
      <c r="J23" s="324"/>
    </row>
    <row r="24" spans="2:10" x14ac:dyDescent="0.25">
      <c r="B24" s="329"/>
      <c r="C24" s="318"/>
      <c r="D24" s="319" t="s">
        <v>167</v>
      </c>
      <c r="E24" s="319" t="s">
        <v>431</v>
      </c>
      <c r="F24" s="330" t="s">
        <v>82</v>
      </c>
      <c r="G24" s="321">
        <v>8.600000381469727</v>
      </c>
      <c r="H24" s="331" t="s">
        <v>457</v>
      </c>
      <c r="I24" s="327" t="s">
        <v>4</v>
      </c>
      <c r="J24" s="324"/>
    </row>
    <row r="25" spans="2:10" x14ac:dyDescent="0.25">
      <c r="B25" s="332" t="s">
        <v>459</v>
      </c>
      <c r="C25" s="319" t="s">
        <v>460</v>
      </c>
      <c r="D25" s="319" t="s">
        <v>461</v>
      </c>
      <c r="E25" s="319" t="s">
        <v>462</v>
      </c>
      <c r="F25" s="320" t="s">
        <v>463</v>
      </c>
      <c r="G25" s="321">
        <v>0</v>
      </c>
      <c r="H25" s="326" t="str">
        <f>IF($G25="","",IF(AND($G25&gt;=0,$G25&lt;=0.38),"合格","不合格"))</f>
        <v/>
      </c>
      <c r="I25" s="327" t="s">
        <v>4</v>
      </c>
      <c r="J25" s="324"/>
    </row>
    <row r="26" spans="2:10" x14ac:dyDescent="0.25">
      <c r="B26" s="332"/>
      <c r="C26" s="318" t="s">
        <v>464</v>
      </c>
      <c r="D26" s="319" t="s">
        <v>10</v>
      </c>
      <c r="E26" s="319" t="s">
        <v>284</v>
      </c>
      <c r="F26" s="320">
        <v>7</v>
      </c>
      <c r="G26" s="321"/>
      <c r="H26" s="322">
        <f>(G26-F26)</f>
        <v>-7</v>
      </c>
      <c r="I26" s="327" t="s">
        <v>284</v>
      </c>
      <c r="J26" s="324"/>
    </row>
    <row r="27" spans="2:10" x14ac:dyDescent="0.25">
      <c r="B27" s="332"/>
      <c r="C27" s="318"/>
      <c r="D27" s="319" t="s">
        <v>465</v>
      </c>
      <c r="E27" s="319" t="s">
        <v>284</v>
      </c>
      <c r="F27" s="320">
        <v>15</v>
      </c>
      <c r="G27" s="321"/>
      <c r="H27" s="322">
        <f t="shared" ref="H27:H31" si="0">(G27-F27)</f>
        <v>-15</v>
      </c>
      <c r="I27" s="327" t="s">
        <v>284</v>
      </c>
      <c r="J27" s="324"/>
    </row>
    <row r="28" spans="2:10" x14ac:dyDescent="0.25">
      <c r="B28" s="332"/>
      <c r="C28" s="318"/>
      <c r="D28" s="319" t="s">
        <v>466</v>
      </c>
      <c r="E28" s="319" t="s">
        <v>284</v>
      </c>
      <c r="F28" s="320">
        <v>4</v>
      </c>
      <c r="G28" s="321"/>
      <c r="H28" s="322">
        <f t="shared" si="0"/>
        <v>-4</v>
      </c>
      <c r="I28" s="327" t="s">
        <v>284</v>
      </c>
      <c r="J28" s="324"/>
    </row>
    <row r="29" spans="2:10" x14ac:dyDescent="0.25">
      <c r="B29" s="332"/>
      <c r="C29" s="318"/>
      <c r="D29" s="319" t="s">
        <v>166</v>
      </c>
      <c r="E29" s="319" t="s">
        <v>284</v>
      </c>
      <c r="F29" s="320">
        <v>7</v>
      </c>
      <c r="G29" s="321"/>
      <c r="H29" s="322">
        <f t="shared" si="0"/>
        <v>-7</v>
      </c>
      <c r="I29" s="327" t="s">
        <v>284</v>
      </c>
      <c r="J29" s="324"/>
    </row>
    <row r="30" spans="2:10" x14ac:dyDescent="0.25">
      <c r="B30" s="332"/>
      <c r="C30" s="318"/>
      <c r="D30" s="319" t="s">
        <v>167</v>
      </c>
      <c r="E30" s="319" t="s">
        <v>284</v>
      </c>
      <c r="F30" s="320">
        <v>7</v>
      </c>
      <c r="G30" s="321"/>
      <c r="H30" s="322">
        <f t="shared" si="0"/>
        <v>-7</v>
      </c>
      <c r="I30" s="327" t="s">
        <v>284</v>
      </c>
      <c r="J30" s="324"/>
    </row>
    <row r="31" spans="2:10" x14ac:dyDescent="0.25">
      <c r="B31" s="332"/>
      <c r="C31" s="318"/>
      <c r="D31" s="319" t="s">
        <v>467</v>
      </c>
      <c r="E31" s="319" t="s">
        <v>468</v>
      </c>
      <c r="F31" s="320">
        <v>10</v>
      </c>
      <c r="G31" s="321"/>
      <c r="H31" s="322">
        <f t="shared" si="0"/>
        <v>-10</v>
      </c>
      <c r="I31" s="327" t="s">
        <v>284</v>
      </c>
      <c r="J31" s="324"/>
    </row>
    <row r="32" spans="2:10" ht="14.5" thickBot="1" x14ac:dyDescent="0.3">
      <c r="B32" s="325"/>
      <c r="C32" s="333"/>
      <c r="D32" s="334" t="s">
        <v>320</v>
      </c>
      <c r="E32" s="334" t="s">
        <v>284</v>
      </c>
      <c r="F32" s="335">
        <v>50</v>
      </c>
      <c r="G32" s="336"/>
      <c r="H32" s="322">
        <f>(G32-F32)</f>
        <v>-50</v>
      </c>
      <c r="I32" s="327" t="s">
        <v>284</v>
      </c>
      <c r="J32" s="337"/>
    </row>
    <row r="33" spans="2:10" x14ac:dyDescent="0.25">
      <c r="B33" s="338" t="s">
        <v>469</v>
      </c>
      <c r="C33" s="339"/>
      <c r="D33" s="340"/>
      <c r="E33" s="340"/>
      <c r="F33" s="340"/>
      <c r="G33" s="340"/>
      <c r="H33" s="340"/>
      <c r="I33" s="340"/>
      <c r="J33" s="341"/>
    </row>
    <row r="34" spans="2:10" x14ac:dyDescent="0.25">
      <c r="B34" s="342"/>
      <c r="C34" s="343"/>
      <c r="D34" s="344"/>
      <c r="E34" s="344"/>
      <c r="F34" s="344"/>
      <c r="G34" s="344"/>
      <c r="H34" s="344"/>
      <c r="I34" s="344"/>
      <c r="J34" s="345"/>
    </row>
    <row r="35" spans="2:10" ht="14.5" thickBot="1" x14ac:dyDescent="0.3">
      <c r="B35" s="346"/>
      <c r="C35" s="347"/>
      <c r="D35" s="348"/>
      <c r="E35" s="348"/>
      <c r="F35" s="348"/>
      <c r="G35" s="348"/>
      <c r="H35" s="348"/>
      <c r="I35" s="348"/>
      <c r="J35" s="349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2026-05-27T10:43:07Z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