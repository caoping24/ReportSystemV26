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<sst xmlns="http://schemas.openxmlformats.org/spreadsheetml/2006/main" count="884" uniqueCount="373">
  <si>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</si>
  <si>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</si>
  <si>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</si>
  <si>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</si>
  <si>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</si>
  <si>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</si>
  <si>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</si>
  <si>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</si>
  <si>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</si>
  <si>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</si>
  <si>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</si>
  <si>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</si>
  <si>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</si>
  <si>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</si>
  <si>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</si>
  <si>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</si>
  <si>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</si>
  <si>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</si>
  <si>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</si>
  <si>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</si>
  <si>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</si>
  <si>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</si>
  <si>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</si>
  <si>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</si>
  <si>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</si>
  <si>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</si>
  <si>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</si>
  <si>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</si>
  <si>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</si>
  <si>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</si>
  <si>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</si>
  <si>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</si>
  <si>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</si>
  <si>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</si>
  <si>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</si>
  <si>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</si>
  <si>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</si>
  <si>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</si>
  <si>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</si>
  <si>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</si>
  <si>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</si>
  <si>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</si>
  <si>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</si>
  <si>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</si>
  <si>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</si>
  <si>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</si>
  <si>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</si>
  <si>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</si>
  <si>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</si>
  <si>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</si>
  <si>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</si>
  <si>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</si>
  <si>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</si>
  <si>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</si>
  <si>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</si>
  <si>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</si>
  <si>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</si>
  <si>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</si>
  <si>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</si>
  <si>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</si>
  <si>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</si>
  <si>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</si>
  <si>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</si>
  <si>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</si>
  <si>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</si>
  <si>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</si>
  <si>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</si>
  <si>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</si>
  <si>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</si>
  <si>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</si>
  <si>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</si>
  <si>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</si>
  <si>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</si>
  <si>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</si>
  <si>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</si>
  <si>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</si>
  <si>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</si>
  <si>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</si>
  <si>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</si>
  <si>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</si>
  <si>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</si>
  <si>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</si>
  <si>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</si>
  <si>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</si>
  <si>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</si>
  <si>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</si>
  <si>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</si>
  <si>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</si>
  <si>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</si>
  <si>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</si>
  <si>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</si>
  <si>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</si>
  <si>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</si>
  <si>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</si>
  <si>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</si>
  <si>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</si>
  <si>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</si>
  <si>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</si>
  <si>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</si>
  <si>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</si>
  <si>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</si>
  <si>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</si>
  <si>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</si>
  <si>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</si>
  <si>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</si>
  <si>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</si>
  <si>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</si>
  <si>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</si>
  <si>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</si>
  <si>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</si>
  <si>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</si>
  <si>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</si>
  <si>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</si>
  <si>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</si>
  <si>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</si>
  <si>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</si>
  <si>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</si>
  <si>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</si>
  <si>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</si>
  <si>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</si>
  <si>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</si>
  <si>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</si>
  <si>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</si>
  <si>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</si>
  <si>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</si>
  <si>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</si>
  <si>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</si>
  <si>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</si>
  <si>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</si>
  <si>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</si>
  <si>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</si>
  <si>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</si>
  <si>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</si>
  <si>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</si>
  <si>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</si>
  <si>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</si>
  <si>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</si>
  <si>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</si>
  <si>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</si>
  <si>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</si>
  <si>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</si>
  <si>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</si>
  <si>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</si>
  <si>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</si>
  <si>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</si>
  <si>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</si>
  <si>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</si>
  <si>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</si>
  <si>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</si>
  <si>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</si>
  <si>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</si>
  <si>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</si>
  <si>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</si>
  <si>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</si>
  <si>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</si>
  <si>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</si>
  <si>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</si>
  <si>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</si>
  <si>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</si>
  <si>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</si>
  <si>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</si>
  <si>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</si>
  <si>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</si>
  <si>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</si>
  <si>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</si>
  <si>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</si>
  <si>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</si>
  <si>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</si>
  <si>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</si>
  <si>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</si>
  <si>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</si>
  <si>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</si>
  <si>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</si>
  <si>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</si>
  <si>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</si>
  <si>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</si>
  <si>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</si>
  <si>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</si>
  <si>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</si>
  <si>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</si>
  <si>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</si>
  <si>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</si>
  <si>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</si>
  <si>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</si>
  <si>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</si>
  <si>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</si>
  <si>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</si>
  <si>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</si>
  <si>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</si>
  <si>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</si>
  <si>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</si>
  <si>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</si>
  <si>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</si>
  <si>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</si>
  <si>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</si>
  <si>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</si>
  <si>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</si>
  <si>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</si>
  <si>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</si>
  <si>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</si>
  <si>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</si>
  <si>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</si>
  <si>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</si>
  <si>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</si>
  <si>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</si>
  <si>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</si>
  <si>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</si>
  <si>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</si>
  <si>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</si>
  <si>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</si>
  <si>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</si>
  <si>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</si>
  <si>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</si>
  <si>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</si>
  <si>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</si>
  <si>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</si>
  <si>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</si>
  <si>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</si>
  <si>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</si>
  <si>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</si>
  <si>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</si>
  <si>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</si>
  <si>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</si>
  <si>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</si>
  <si>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</si>
  <si>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</si>
  <si>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</si>
  <si>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</si>
  <si>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</si>
  <si>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</si>
  <si>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</si>
  <si>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</si>
  <si>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</si>
  <si>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</si>
  <si>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</si>
  <si>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</si>
  <si>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</si>
  <si>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</si>
  <si>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</si>
  <si>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</si>
  <si>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</si>
  <si>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</si>
  <si>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</si>
  <si>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</si>
  <si>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</si>
  <si>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</si>
  <si>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</si>
  <si>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</si>
  <si>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</si>
  <si>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</si>
  <si>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</si>
  <si>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</si>
  <si>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</si>
  <si>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</si>
  <si>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</si>
  <si>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</si>
  <si>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</si>
  <si>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</si>
  <si>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</si>
  <si>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</si>
  <si>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</si>
  <si>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</si>
  <si>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</si>
  <si>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</si>
  <si>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</si>
  <si>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</si>
  <si>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</si>
  <si>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</si>
  <si>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</si>
  <si>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</si>
  <si>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</si>
  <si>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</si>
  <si>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</si>
  <si>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</si>
  <si>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</si>
  <si>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</si>
  <si>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</si>
  <si>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</si>
  <si>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</si>
  <si>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</si>
  <si>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</si>
  <si>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</si>
  <si>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</si>
  <si>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</si>
  <si>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</si>
  <si>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</si>
  <si>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</si>
  <si>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</si>
  <si>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</si>
  <si>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</si>
  <si>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</si>
  <si>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</si>
  <si>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</si>
  <si>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</si>
  <si>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</si>
  <si>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</si>
  <si>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</si>
  <si>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</si>
  <si>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</si>
  <si>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</si>
  <si>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</si>
  <si>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</si>
  <si>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</si>
  <si>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</si>
  <si>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</si>
  <si>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</si>
  <si>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</si>
  <si>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</si>
  <si>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</si>
  <si>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</si>
  <si>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</si>
  <si>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</si>
  <si>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</si>
  <si>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</si>
  <si>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</si>
  <si>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</si>
  <si>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</si>
  <si>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</si>
  <si>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</si>
  <si>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</si>
  <si>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</si>
  <si>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</si>
  <si>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</si>
  <si>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</si>
  <si>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</si>
  <si>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</si>
  <si>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</si>
  <si>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</si>
  <si>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</si>
  <si>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</si>
  <si>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</si>
  <si>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</si>
  <si>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</si>
  <si>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</si>
  <si>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</si>
  <si>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</si>
  <si>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</si>
  <si>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</si>
  <si>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</si>
  <si>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</si>
  <si>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</si>
  <si>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</si>
  <si>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</si>
  <si>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</si>
  <si>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</si>
  <si>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</si>
  <si>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</si>
  <si>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</si>
  <si>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</si>
  <si>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</si>
  <si>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</si>
  <si>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</si>
  <si>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</si>
  <si>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</si>
  <si>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</si>
  <si>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</si>
  <si>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</si>
  <si>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</si>
  <si>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</si>
  <si>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</si>
  <si>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</si>
  <si>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</si>
  <si>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</si>
  <si>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</si>
  <si>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</si>
  <si>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</si>
  <si>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</si>
  <si>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</si>
  <si>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</si>
  <si>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</si>
  <si>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</si>
  <si>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</si>
  <si>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2026-05-14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</si>
</sst>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  <xf numFmtId="180" fontId="21" fillId="5" borderId="75" xfId="0" applyNumberFormat="1" applyFont="1" applyFill="1" applyBorder="1" applyAlignment="1">
      <alignment horizontal="center"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0" t="s">
        <v>227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</row>
    <row r="3" spans="2:47" ht="20.15" customHeight="1" x14ac:dyDescent="0.25">
      <c r="B3" s="152" t="s">
        <v>181</v>
      </c>
      <c r="C3" s="110" t="s">
        <v>163</v>
      </c>
      <c r="D3" s="160"/>
      <c r="E3" s="160"/>
      <c r="F3" s="160"/>
      <c r="G3" s="160"/>
      <c r="H3" s="161"/>
      <c r="I3" s="164" t="s">
        <v>8</v>
      </c>
      <c r="J3" s="160"/>
      <c r="K3" s="160"/>
      <c r="L3" s="160"/>
      <c r="M3" s="160"/>
      <c r="N3" s="160"/>
      <c r="O3" s="160"/>
      <c r="P3" s="165"/>
      <c r="Q3" s="110" t="s">
        <v>77</v>
      </c>
      <c r="R3" s="160"/>
      <c r="S3" s="165"/>
      <c r="T3" s="110" t="s">
        <v>10</v>
      </c>
      <c r="U3" s="160"/>
      <c r="V3" s="160"/>
      <c r="W3" s="165"/>
      <c r="X3" s="110" t="s">
        <v>80</v>
      </c>
      <c r="Y3" s="111"/>
      <c r="Z3" s="110" t="s">
        <v>11</v>
      </c>
      <c r="AA3" s="111"/>
      <c r="AB3" s="13" t="s">
        <v>13</v>
      </c>
      <c r="AC3" s="110" t="s">
        <v>14</v>
      </c>
      <c r="AD3" s="111"/>
      <c r="AE3" s="114" t="s">
        <v>88</v>
      </c>
      <c r="AF3" s="115"/>
      <c r="AG3" s="115"/>
      <c r="AH3" s="115"/>
      <c r="AI3" s="115"/>
      <c r="AJ3" s="115"/>
      <c r="AK3" s="116"/>
      <c r="AL3" s="110" t="s">
        <v>18</v>
      </c>
      <c r="AM3" s="156"/>
      <c r="AN3" s="157"/>
      <c r="AO3" s="156" t="s">
        <v>16</v>
      </c>
      <c r="AP3" s="156"/>
      <c r="AQ3" s="156"/>
      <c r="AR3" s="159"/>
    </row>
    <row r="4" spans="2:47" ht="30" customHeight="1" x14ac:dyDescent="0.25">
      <c r="B4" s="153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2" t="s">
        <v>62</v>
      </c>
      <c r="J4" s="163"/>
      <c r="K4" s="3" t="s">
        <v>6</v>
      </c>
      <c r="L4" s="3" t="s">
        <v>66</v>
      </c>
      <c r="M4" s="3" t="s">
        <v>164</v>
      </c>
      <c r="N4" s="3" t="s">
        <v>165</v>
      </c>
      <c r="O4" s="117" t="s">
        <v>7</v>
      </c>
      <c r="P4" s="118"/>
      <c r="Q4" s="155" t="s">
        <v>71</v>
      </c>
      <c r="R4" s="118"/>
      <c r="S4" s="3" t="s">
        <v>51</v>
      </c>
      <c r="T4" s="3" t="s">
        <v>75</v>
      </c>
      <c r="U4" s="155" t="s">
        <v>78</v>
      </c>
      <c r="V4" s="11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2" t="s">
        <v>89</v>
      </c>
      <c r="AF4" s="113"/>
      <c r="AG4" s="112" t="s">
        <v>92</v>
      </c>
      <c r="AH4" s="113"/>
      <c r="AI4" s="10" t="s">
        <v>166</v>
      </c>
      <c r="AJ4" s="10" t="s">
        <v>167</v>
      </c>
      <c r="AK4" s="11" t="s">
        <v>115</v>
      </c>
      <c r="AL4" s="155" t="s">
        <v>110</v>
      </c>
      <c r="AM4" s="118"/>
      <c r="AN4" s="29" t="s">
        <v>111</v>
      </c>
      <c r="AO4" s="26" t="s">
        <v>12</v>
      </c>
      <c r="AP4" s="3" t="s">
        <v>1</v>
      </c>
      <c r="AQ4" s="131" t="s">
        <v>161</v>
      </c>
      <c r="AR4" s="158"/>
      <c r="AU4" s="20"/>
    </row>
    <row r="5" spans="2:47" ht="20.15" customHeight="1" x14ac:dyDescent="0.25">
      <c r="B5" s="154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5.65321159362793</v>
      </c>
      <c r="D6" s="54">
        <v>18.40277862548828</v>
      </c>
      <c r="E6" s="54">
        <v>418.324951171875</v>
      </c>
      <c r="F6" s="54"/>
      <c r="G6" s="54"/>
      <c r="H6" s="55">
        <v>423.17803955078125</v>
      </c>
      <c r="I6" s="56">
        <v>0</v>
      </c>
      <c r="J6" s="54"/>
      <c r="K6" s="54">
        <v>43.95977783203125</v>
      </c>
      <c r="L6" s="54">
        <v>1.3931387662887573</v>
      </c>
      <c r="M6" s="54">
        <v>111.23047637939453</v>
      </c>
      <c r="N6" s="54">
        <v>112.46382904052734</v>
      </c>
      <c r="O6" s="54">
        <v>20.087291717529297</v>
      </c>
      <c r="P6" s="54"/>
      <c r="Q6" s="54"/>
      <c r="R6" s="54"/>
      <c r="S6" s="54">
        <v>139.26504516601562</v>
      </c>
      <c r="T6" s="54">
        <v>1.6100000143051147</v>
      </c>
      <c r="U6" s="54">
        <v>0.296278178691864</v>
      </c>
      <c r="V6" s="54"/>
      <c r="W6" s="54">
        <v>90.51649475097656</v>
      </c>
      <c r="X6" s="54">
        <v>0.5305678248405457</v>
      </c>
      <c r="Y6" s="54"/>
      <c r="Z6" s="54">
        <v>0.7468750476837158</v>
      </c>
      <c r="AA6" s="54">
        <v>150.24594116210938</v>
      </c>
      <c r="AB6" s="54">
        <v>163.10040283203125</v>
      </c>
      <c r="AC6" s="54">
        <v>0.5190972089767456</v>
      </c>
      <c r="AD6" s="54">
        <v>155.2010955810547</v>
      </c>
      <c r="AE6" s="57">
        <v>34.47999954223633</v>
      </c>
      <c r="AF6" s="57"/>
      <c r="AG6" s="57"/>
      <c r="AH6" s="57">
        <v>16.09000015258789</v>
      </c>
      <c r="AI6" s="57">
        <v>15.5600004196167</v>
      </c>
      <c r="AJ6" s="57">
        <v>9.40999984741211</v>
      </c>
      <c r="AK6" s="57">
        <v>6.699999809265137</v>
      </c>
      <c r="AL6" s="54">
        <v>8.48524284362793</v>
      </c>
      <c r="AM6" s="58"/>
      <c r="AN6" s="59">
        <v>60.608360290527344</v>
      </c>
      <c r="AO6" s="60"/>
      <c r="AP6" s="61">
        <v>-78.58073425292969</v>
      </c>
      <c r="AQ6" s="61">
        <v>0.30309605598449707</v>
      </c>
      <c r="AR6" s="62"/>
    </row>
    <row r="7" spans="2:47" ht="13.5" customHeight="1" x14ac:dyDescent="0.25">
      <c r="B7" s="14">
        <v>0.375</v>
      </c>
      <c r="C7" s="54">
        <v>5.834056377410889</v>
      </c>
      <c r="D7" s="54">
        <v>18.424480438232422</v>
      </c>
      <c r="E7" s="54">
        <v>418.3543395996094</v>
      </c>
      <c r="F7" s="54">
        <v>0.3123437464237213</v>
      </c>
      <c r="G7" s="54">
        <v>0</v>
      </c>
      <c r="H7" s="55">
        <v>422.7247009277344</v>
      </c>
      <c r="I7" s="56">
        <v>27.850116729736328</v>
      </c>
      <c r="J7" s="54">
        <v>0.020153319463133812</v>
      </c>
      <c r="K7" s="54">
        <v>42.216434478759766</v>
      </c>
      <c r="L7" s="54">
        <v>1.316098928451538</v>
      </c>
      <c r="M7" s="54">
        <v>104.32400512695312</v>
      </c>
      <c r="N7" s="54">
        <v>111.58853912353516</v>
      </c>
      <c r="O7" s="54">
        <v>20.26347541809082</v>
      </c>
      <c r="P7" s="54">
        <v>20.265625</v>
      </c>
      <c r="Q7" s="54"/>
      <c r="R7" s="54">
        <v>2.515625</v>
      </c>
      <c r="S7" s="54">
        <v>139.5833282470703</v>
      </c>
      <c r="T7" s="54">
        <v>1.6100000143051147</v>
      </c>
      <c r="U7" s="54">
        <v>0.3002241551876068</v>
      </c>
      <c r="V7" s="54">
        <v>0.29996874928474426</v>
      </c>
      <c r="W7" s="54">
        <v>90.2126693725586</v>
      </c>
      <c r="X7" s="54">
        <v>0.532192051410675</v>
      </c>
      <c r="Y7" s="54" t="s">
        <v>82</v>
      </c>
      <c r="Z7" s="54">
        <v>0.7314236164093018</v>
      </c>
      <c r="AA7" s="54">
        <v>149.72511291503906</v>
      </c>
      <c r="AB7" s="54">
        <v>162.97019958496094</v>
      </c>
      <c r="AC7" s="54">
        <v>0.3557942807674408</v>
      </c>
      <c r="AD7" s="54">
        <v>155.2372589111328</v>
      </c>
      <c r="AE7" s="57"/>
      <c r="AF7" s="57"/>
      <c r="AG7" s="57"/>
      <c r="AH7" s="57"/>
      <c r="AI7" s="57"/>
      <c r="AJ7" s="57"/>
      <c r="AK7" s="57"/>
      <c r="AL7" s="54">
        <v>2.9803240299224854</v>
      </c>
      <c r="AM7" s="58">
        <v>0.007803222630172968</v>
      </c>
      <c r="AN7" s="59">
        <v>58.26099395751953</v>
      </c>
      <c r="AO7" s="60"/>
      <c r="AP7" s="61">
        <v>-81.16319274902344</v>
      </c>
      <c r="AQ7" s="61">
        <v>0.30787035822868347</v>
      </c>
      <c r="AR7" s="62">
        <v>0.0002882080152630806</v>
      </c>
    </row>
    <row r="8" spans="2:47" ht="13.5" customHeight="1" x14ac:dyDescent="0.25">
      <c r="B8" s="14">
        <v>0.41666666666666669</v>
      </c>
      <c r="C8" s="54">
        <v>6.177661895751953</v>
      </c>
      <c r="D8" s="54">
        <v>18.46788215637207</v>
      </c>
      <c r="E8" s="54">
        <v>417.4423828125</v>
      </c>
      <c r="F8" s="54">
        <v>0.3109999895095825</v>
      </c>
      <c r="G8" s="54">
        <v>0</v>
      </c>
      <c r="H8" s="55">
        <v>422.1769714355469</v>
      </c>
      <c r="I8" s="56">
        <v>25.4195613861084</v>
      </c>
      <c r="J8" s="54">
        <v>0.01978418044745922</v>
      </c>
      <c r="K8" s="54">
        <v>43.25810241699219</v>
      </c>
      <c r="L8" s="54">
        <v>1.3756872415542603</v>
      </c>
      <c r="M8" s="54">
        <v>110.49805450439453</v>
      </c>
      <c r="N8" s="54">
        <v>109.70051574707031</v>
      </c>
      <c r="O8" s="54">
        <v>20.365779876708984</v>
      </c>
      <c r="P8" s="54">
        <v>20.267578125</v>
      </c>
      <c r="Q8" s="54"/>
      <c r="R8" s="54">
        <v>2.6248779296875</v>
      </c>
      <c r="S8" s="54">
        <v>139.68460083007812</v>
      </c>
      <c r="T8" s="54">
        <v>1.6100000143051147</v>
      </c>
      <c r="U8" s="54">
        <v>0.2993379235267639</v>
      </c>
      <c r="V8" s="54">
        <v>0.29996874928474426</v>
      </c>
      <c r="W8" s="54">
        <v>90.42245483398438</v>
      </c>
      <c r="X8" s="54">
        <v>0.5298901200294495</v>
      </c>
      <c r="Y8" s="54" t="s">
        <v>82</v>
      </c>
      <c r="Z8" s="54">
        <v>0.7363426089286804</v>
      </c>
      <c r="AA8" s="54">
        <v>150.07957458496094</v>
      </c>
      <c r="AB8" s="54">
        <v>162.8255157470703</v>
      </c>
      <c r="AC8" s="54">
        <v>0.504991352558136</v>
      </c>
      <c r="AD8" s="54">
        <v>155.41810607910156</v>
      </c>
      <c r="AE8" s="57"/>
      <c r="AF8" s="57"/>
      <c r="AG8" s="57"/>
      <c r="AH8" s="57"/>
      <c r="AI8" s="57"/>
      <c r="AJ8" s="57"/>
      <c r="AK8" s="57"/>
      <c r="AL8" s="54">
        <v>2.108651638031006</v>
      </c>
      <c r="AM8" s="58">
        <v>0.008536620996892452</v>
      </c>
      <c r="AN8" s="59">
        <v>61.34259033203125</v>
      </c>
      <c r="AO8" s="60"/>
      <c r="AP8" s="61">
        <v>-81.11255645751953</v>
      </c>
      <c r="AQ8" s="61">
        <v>0.3096788227558136</v>
      </c>
      <c r="AR8" s="62">
        <v>0.00029418946360237896</v>
      </c>
    </row>
    <row r="9" spans="2:47" ht="13.5" customHeight="1" x14ac:dyDescent="0.25">
      <c r="B9" s="14">
        <v>0.45833333333333298</v>
      </c>
      <c r="C9" s="54">
        <v>5.938946723937988</v>
      </c>
      <c r="D9" s="54">
        <v>18.56011390686035</v>
      </c>
      <c r="E9" s="54">
        <v>416.5376892089844</v>
      </c>
      <c r="F9" s="54">
        <v>0.2891562581062317</v>
      </c>
      <c r="G9" s="54">
        <v>0</v>
      </c>
      <c r="H9" s="55">
        <v>421.0299072265625</v>
      </c>
      <c r="I9" s="56">
        <v>21.11545181274414</v>
      </c>
      <c r="J9" s="54">
        <v>0.020240234211087227</v>
      </c>
      <c r="K9" s="54">
        <v>46.057579040527344</v>
      </c>
      <c r="L9" s="54">
        <v>1.4875398874282837</v>
      </c>
      <c r="M9" s="54">
        <v>107.89388275146484</v>
      </c>
      <c r="N9" s="54">
        <v>112.23957824707031</v>
      </c>
      <c r="O9" s="54">
        <v>20.360179901123047</v>
      </c>
      <c r="P9" s="54">
        <v>20.2685546875</v>
      </c>
      <c r="Q9" s="54"/>
      <c r="R9" s="54">
        <v>2.5733642578125</v>
      </c>
      <c r="S9" s="54">
        <v>139.33738708496094</v>
      </c>
      <c r="T9" s="54">
        <v>1.6100000143051147</v>
      </c>
      <c r="U9" s="54">
        <v>0.30340924859046936</v>
      </c>
      <c r="V9" s="54">
        <v>0.29996874928474426</v>
      </c>
      <c r="W9" s="54">
        <v>90.90711975097656</v>
      </c>
      <c r="X9" s="54">
        <v>0.5274655222892761</v>
      </c>
      <c r="Y9" s="54" t="s">
        <v>82</v>
      </c>
      <c r="Z9" s="54">
        <v>0.7324653267860413</v>
      </c>
      <c r="AA9" s="54">
        <v>150.33274841308594</v>
      </c>
      <c r="AB9" s="54">
        <v>163.1872100830078</v>
      </c>
      <c r="AC9" s="54">
        <v>0.5433304309844971</v>
      </c>
      <c r="AD9" s="54">
        <v>154.9117431640625</v>
      </c>
      <c r="AE9" s="57"/>
      <c r="AF9" s="57"/>
      <c r="AG9" s="57"/>
      <c r="AH9" s="57"/>
      <c r="AI9" s="57"/>
      <c r="AJ9" s="57"/>
      <c r="AK9" s="57"/>
      <c r="AL9" s="54">
        <v>24.515335083007812</v>
      </c>
      <c r="AM9" s="58">
        <v>0.009359863586723804</v>
      </c>
      <c r="AN9" s="59">
        <v>60.67708206176758</v>
      </c>
      <c r="AO9" s="60"/>
      <c r="AP9" s="61">
        <v>-80.76533508300781</v>
      </c>
      <c r="AQ9" s="61">
        <v>0.30888310074806213</v>
      </c>
      <c r="AR9" s="62">
        <v>0.0002913818461820483</v>
      </c>
    </row>
    <row r="10" spans="2:47" ht="13.5" customHeight="1" x14ac:dyDescent="0.25">
      <c r="B10" s="14">
        <v>0.5</v>
      </c>
      <c r="C10" s="54">
        <v>6.485098361968994</v>
      </c>
      <c r="D10" s="54">
        <v>18.679471969604492</v>
      </c>
      <c r="E10" s="54">
        <v>416.2686767578125</v>
      </c>
      <c r="F10" s="54">
        <v>0.32048436999320984</v>
      </c>
      <c r="G10" s="54">
        <v>0</v>
      </c>
      <c r="H10" s="55">
        <v>420.0483703613281</v>
      </c>
      <c r="I10" s="56">
        <v>23.216869354248047</v>
      </c>
      <c r="J10" s="54">
        <v>0.020641600713133812</v>
      </c>
      <c r="K10" s="54">
        <v>44.719329833984375</v>
      </c>
      <c r="L10" s="54">
        <v>1.454445242881775</v>
      </c>
      <c r="M10" s="54">
        <v>110.01519775390625</v>
      </c>
      <c r="N10" s="54">
        <v>110.44560241699219</v>
      </c>
      <c r="O10" s="54">
        <v>20.288436889648438</v>
      </c>
      <c r="P10" s="54">
        <v>20.26953125</v>
      </c>
      <c r="Q10" s="54"/>
      <c r="R10" s="54">
        <v>2.5625</v>
      </c>
      <c r="S10" s="54">
        <v>139.39524841308594</v>
      </c>
      <c r="T10" s="54">
        <v>1.6100000143051147</v>
      </c>
      <c r="U10" s="54">
        <v>0.30128800868988037</v>
      </c>
      <c r="V10" s="54">
        <v>0.3000156283378601</v>
      </c>
      <c r="W10" s="54">
        <v>91.0951919555664</v>
      </c>
      <c r="X10" s="54">
        <v>0.5291969180107117</v>
      </c>
      <c r="Y10" s="54" t="s">
        <v>82</v>
      </c>
      <c r="Z10" s="54">
        <v>0.7431134581565857</v>
      </c>
      <c r="AA10" s="54">
        <v>150.0723419189453</v>
      </c>
      <c r="AB10" s="54">
        <v>162.8544464111328</v>
      </c>
      <c r="AC10" s="54">
        <v>0.4281684160232544</v>
      </c>
      <c r="AD10" s="54">
        <v>155.15769958496094</v>
      </c>
      <c r="AE10" s="57"/>
      <c r="AF10" s="57"/>
      <c r="AG10" s="57"/>
      <c r="AH10" s="57"/>
      <c r="AI10" s="57"/>
      <c r="AJ10" s="57"/>
      <c r="AK10" s="57"/>
      <c r="AL10" s="54">
        <v>0</v>
      </c>
      <c r="AM10" s="58">
        <v>0.007721191272139549</v>
      </c>
      <c r="AN10" s="59">
        <v>54.557289123535156</v>
      </c>
      <c r="AO10" s="60"/>
      <c r="AP10" s="61">
        <v>-80.99681854248047</v>
      </c>
      <c r="AQ10" s="61">
        <v>0.29354745149612427</v>
      </c>
      <c r="AR10" s="62">
        <v>0.0002941741840913892</v>
      </c>
    </row>
    <row r="11" spans="2:47" ht="13.5" customHeight="1" x14ac:dyDescent="0.25">
      <c r="B11" s="14">
        <v>0.54166666666666696</v>
      </c>
      <c r="C11" s="54">
        <v>5.978732585906982</v>
      </c>
      <c r="D11" s="54">
        <v>18.79340362548828</v>
      </c>
      <c r="E11" s="54">
        <v>416.3514404296875</v>
      </c>
      <c r="F11" s="54">
        <v>0.28373438119888306</v>
      </c>
      <c r="G11" s="54">
        <v>0</v>
      </c>
      <c r="H11" s="55">
        <v>419.32598876953125</v>
      </c>
      <c r="I11" s="56">
        <v>21.976272583007812</v>
      </c>
      <c r="J11" s="54">
        <v>0.020229492336511612</v>
      </c>
      <c r="K11" s="54">
        <v>44.84230422973633</v>
      </c>
      <c r="L11" s="54">
        <v>1.4549877643585205</v>
      </c>
      <c r="M11" s="54">
        <v>110.10200500488281</v>
      </c>
      <c r="N11" s="54">
        <v>110.0405044555664</v>
      </c>
      <c r="O11" s="54">
        <v>20.44437026977539</v>
      </c>
      <c r="P11" s="54">
        <v>20.26953125</v>
      </c>
      <c r="Q11" s="54"/>
      <c r="R11" s="54">
        <v>2.5936279296875</v>
      </c>
      <c r="S11" s="54">
        <v>139.30120849609375</v>
      </c>
      <c r="T11" s="54">
        <v>1.6100000143051147</v>
      </c>
      <c r="U11" s="54">
        <v>0.3005129098892212</v>
      </c>
      <c r="V11" s="54">
        <v>0.30003124475479126</v>
      </c>
      <c r="W11" s="54">
        <v>91.34838104248047</v>
      </c>
      <c r="X11" s="54">
        <v>0.5301285982131958</v>
      </c>
      <c r="Y11" s="54" t="s">
        <v>82</v>
      </c>
      <c r="Z11" s="54">
        <v>0.7446759343147278</v>
      </c>
      <c r="AA11" s="54">
        <v>150.17361450195312</v>
      </c>
      <c r="AB11" s="54">
        <v>162.9629669189453</v>
      </c>
      <c r="AC11" s="54">
        <v>0.47337964177131653</v>
      </c>
      <c r="AD11" s="54">
        <v>155.09259033203125</v>
      </c>
      <c r="AE11" s="57">
        <v>33.59000015258789</v>
      </c>
      <c r="AF11" s="57"/>
      <c r="AG11" s="57"/>
      <c r="AH11" s="57">
        <v>13.25</v>
      </c>
      <c r="AI11" s="57">
        <v>22.299999237060547</v>
      </c>
      <c r="AJ11" s="57">
        <v>9.680000305175781</v>
      </c>
      <c r="AK11" s="57">
        <v>6.809999942779541</v>
      </c>
      <c r="AL11" s="54">
        <v>20.326967239379883</v>
      </c>
      <c r="AM11" s="58">
        <v>0.005505859386175871</v>
      </c>
      <c r="AN11" s="59">
        <v>54.21730422973633</v>
      </c>
      <c r="AO11" s="60"/>
      <c r="AP11" s="61">
        <v>-81.15596008300781</v>
      </c>
      <c r="AQ11" s="61">
        <v>0.28833910822868347</v>
      </c>
      <c r="AR11" s="62">
        <v>0.0002922668354585767</v>
      </c>
    </row>
    <row r="12" spans="2:47" ht="13.5" customHeight="1" x14ac:dyDescent="0.25">
      <c r="B12" s="14">
        <v>0.58333333333333304</v>
      </c>
      <c r="C12" s="54">
        <v>6.405526638031006</v>
      </c>
      <c r="D12" s="54">
        <v>18.96701431274414</v>
      </c>
      <c r="E12" s="54">
        <v>416.4007873535156</v>
      </c>
      <c r="F12" s="54">
        <v>0.3183281123638153</v>
      </c>
      <c r="G12" s="54">
        <v>0</v>
      </c>
      <c r="H12" s="55">
        <v>418.6336364746094</v>
      </c>
      <c r="I12" s="56">
        <v>20.43185806274414</v>
      </c>
      <c r="J12" s="54">
        <v>0.02039160206913948</v>
      </c>
      <c r="K12" s="54">
        <v>45.869503021240234</v>
      </c>
      <c r="L12" s="54">
        <v>1.5043584108352661</v>
      </c>
      <c r="M12" s="54">
        <v>109.94466400146484</v>
      </c>
      <c r="N12" s="54">
        <v>110.1851806640625</v>
      </c>
      <c r="O12" s="54">
        <v>20.07954216003418</v>
      </c>
      <c r="P12" s="54">
        <v>20.2626953125</v>
      </c>
      <c r="Q12" s="54"/>
      <c r="R12" s="54">
        <v>2.6075439453125</v>
      </c>
      <c r="S12" s="54">
        <v>139.6773681640625</v>
      </c>
      <c r="T12" s="54">
        <v>1.6100000143051147</v>
      </c>
      <c r="U12" s="54">
        <v>0.2978440225124359</v>
      </c>
      <c r="V12" s="54">
        <v>0.2998906373977661</v>
      </c>
      <c r="W12" s="54">
        <v>89.70630645751953</v>
      </c>
      <c r="X12" s="54">
        <v>0.5306748151779175</v>
      </c>
      <c r="Y12" s="54" t="s">
        <v>82</v>
      </c>
      <c r="Z12" s="54">
        <v>0.7399884462356567</v>
      </c>
      <c r="AA12" s="54">
        <v>148.96556091308594</v>
      </c>
      <c r="AB12" s="54">
        <v>162.6591339111328</v>
      </c>
      <c r="AC12" s="54">
        <v>0.47638165950775146</v>
      </c>
      <c r="AD12" s="54">
        <v>155.12152099609375</v>
      </c>
      <c r="AE12" s="57"/>
      <c r="AF12" s="57"/>
      <c r="AG12" s="57"/>
      <c r="AH12" s="57"/>
      <c r="AI12" s="57"/>
      <c r="AJ12" s="57"/>
      <c r="AK12" s="57"/>
      <c r="AL12" s="54">
        <v>6.875723361968994</v>
      </c>
      <c r="AM12" s="58">
        <v>0.005922363139688969</v>
      </c>
      <c r="AN12" s="59">
        <v>53.877315521240234</v>
      </c>
      <c r="AO12" s="60"/>
      <c r="AP12" s="61">
        <v>-81.09809112548828</v>
      </c>
      <c r="AQ12" s="61">
        <v>0.3098958432674408</v>
      </c>
      <c r="AR12" s="62">
        <v>0.0002906646695919335</v>
      </c>
    </row>
    <row r="13" spans="2:47" ht="13.5" customHeight="1" x14ac:dyDescent="0.25">
      <c r="B13" s="14">
        <v>0.625</v>
      </c>
      <c r="C13" s="54">
        <v>6.000433921813965</v>
      </c>
      <c r="D13" s="54">
        <v>19.04839515686035</v>
      </c>
      <c r="E13" s="54">
        <v>416.35015869140625</v>
      </c>
      <c r="F13" s="54">
        <v>0.285218745470047</v>
      </c>
      <c r="G13" s="54">
        <v>0</v>
      </c>
      <c r="H13" s="55">
        <v>418.2199401855469</v>
      </c>
      <c r="I13" s="56">
        <v>17.520254135131836</v>
      </c>
      <c r="J13" s="54">
        <v>0.020292969420552254</v>
      </c>
      <c r="K13" s="54">
        <v>45.37036895751953</v>
      </c>
      <c r="L13" s="54">
        <v>1.4594184160232544</v>
      </c>
      <c r="M13" s="54">
        <v>109.47808837890625</v>
      </c>
      <c r="N13" s="54">
        <v>109.88136291503906</v>
      </c>
      <c r="O13" s="54">
        <v>20.128568649291992</v>
      </c>
      <c r="P13" s="54">
        <v>20.26953125</v>
      </c>
      <c r="Q13" s="54"/>
      <c r="R13" s="54">
        <v>2.611083984375</v>
      </c>
      <c r="S13" s="54">
        <v>139.2144012451172</v>
      </c>
      <c r="T13" s="54">
        <v>1.6100000143051147</v>
      </c>
      <c r="U13" s="54">
        <v>0.29878321290016174</v>
      </c>
      <c r="V13" s="54">
        <v>0.3000468611717224</v>
      </c>
      <c r="W13" s="54">
        <v>90.55265808105469</v>
      </c>
      <c r="X13" s="54">
        <v>0.5287495851516724</v>
      </c>
      <c r="Y13" s="54" t="s">
        <v>82</v>
      </c>
      <c r="Z13" s="54">
        <v>0.7400463223457336</v>
      </c>
      <c r="AA13" s="54">
        <v>148.43026733398438</v>
      </c>
      <c r="AB13" s="54">
        <v>162.4059600830078</v>
      </c>
      <c r="AC13" s="54">
        <v>0.45468026399612427</v>
      </c>
      <c r="AD13" s="54">
        <v>154.79600524902344</v>
      </c>
      <c r="AE13" s="57"/>
      <c r="AF13" s="57"/>
      <c r="AG13" s="57"/>
      <c r="AH13" s="57"/>
      <c r="AI13" s="57"/>
      <c r="AJ13" s="57"/>
      <c r="AK13" s="57"/>
      <c r="AL13" s="54">
        <v>0</v>
      </c>
      <c r="AM13" s="58">
        <v>0.0063642580062150955</v>
      </c>
      <c r="AN13" s="59">
        <v>62.22149658203125</v>
      </c>
      <c r="AO13" s="60"/>
      <c r="AP13" s="61">
        <v>-81.40190887451172</v>
      </c>
      <c r="AQ13" s="61">
        <v>0.29021990299224854</v>
      </c>
      <c r="AR13" s="62">
        <v>0.00029170227935537696</v>
      </c>
    </row>
    <row r="14" spans="2:47" ht="13.5" customHeight="1" x14ac:dyDescent="0.25">
      <c r="B14" s="14">
        <v>0.66666666666666696</v>
      </c>
      <c r="C14" s="54">
        <v>6.893807888031006</v>
      </c>
      <c r="D14" s="54">
        <v>19.02669334411621</v>
      </c>
      <c r="E14" s="54">
        <v>417.6495056152344</v>
      </c>
      <c r="F14" s="54">
        <v>0.3364843726158142</v>
      </c>
      <c r="G14" s="54">
        <v>0</v>
      </c>
      <c r="H14" s="55">
        <v>418.0884094238281</v>
      </c>
      <c r="I14" s="56">
        <v>23.39409828186035</v>
      </c>
      <c r="J14" s="54">
        <v>0.020166991278529167</v>
      </c>
      <c r="K14" s="54">
        <v>45.24739456176758</v>
      </c>
      <c r="L14" s="54">
        <v>1.435366153717041</v>
      </c>
      <c r="M14" s="54">
        <v>107.21028900146484</v>
      </c>
      <c r="N14" s="54">
        <v>109.88859558105469</v>
      </c>
      <c r="O14" s="54">
        <v>20.29146385192871</v>
      </c>
      <c r="P14" s="54">
        <v>20.2783203125</v>
      </c>
      <c r="Q14" s="54"/>
      <c r="R14" s="54">
        <v>2.548583984375</v>
      </c>
      <c r="S14" s="54">
        <v>139.7424774169922</v>
      </c>
      <c r="T14" s="54">
        <v>1.6100000143051147</v>
      </c>
      <c r="U14" s="54">
        <v>0.29988688230514526</v>
      </c>
      <c r="V14" s="54">
        <v>0.30015623569488525</v>
      </c>
      <c r="W14" s="54">
        <v>89.8943862915039</v>
      </c>
      <c r="X14" s="54">
        <v>0.5292721390724182</v>
      </c>
      <c r="Y14" s="54" t="s">
        <v>82</v>
      </c>
      <c r="Z14" s="54">
        <v>0.7352430820465088</v>
      </c>
      <c r="AA14" s="54">
        <v>149.06683349609375</v>
      </c>
      <c r="AB14" s="54">
        <v>162.6591339111328</v>
      </c>
      <c r="AC14" s="54">
        <v>0.39384403824806213</v>
      </c>
      <c r="AD14" s="54">
        <v>155.0347137451172</v>
      </c>
      <c r="AE14" s="57"/>
      <c r="AF14" s="57"/>
      <c r="AG14" s="57"/>
      <c r="AH14" s="57"/>
      <c r="AI14" s="57"/>
      <c r="AJ14" s="57"/>
      <c r="AK14" s="57"/>
      <c r="AL14" s="54">
        <v>1.5769675970077515</v>
      </c>
      <c r="AM14" s="58">
        <v>0.009549804963171482</v>
      </c>
      <c r="AN14" s="59">
        <v>61.70066452026367</v>
      </c>
      <c r="AO14" s="60"/>
      <c r="AP14" s="61">
        <v>-81.30786895751953</v>
      </c>
      <c r="AQ14" s="61">
        <v>0.29484954476356506</v>
      </c>
      <c r="AR14" s="62">
        <v>0.0002914428769145161</v>
      </c>
    </row>
    <row r="15" spans="2:47" ht="13.5" customHeight="1" x14ac:dyDescent="0.25">
      <c r="B15" s="14">
        <v>0.70833333333333304</v>
      </c>
      <c r="C15" s="54">
        <v>5.6966142654418945</v>
      </c>
      <c r="D15" s="54">
        <v>19.04296875</v>
      </c>
      <c r="E15" s="54">
        <v>417.9038391113281</v>
      </c>
      <c r="F15" s="54">
        <v>0.26478123664855957</v>
      </c>
      <c r="G15" s="54">
        <v>0</v>
      </c>
      <c r="H15" s="55">
        <v>417.9085998535156</v>
      </c>
      <c r="I15" s="56">
        <v>21.64713478088379</v>
      </c>
      <c r="J15" s="54">
        <v>0.020381836220622063</v>
      </c>
      <c r="K15" s="54">
        <v>44.85676956176758</v>
      </c>
      <c r="L15" s="54">
        <v>1.4388021230697632</v>
      </c>
      <c r="M15" s="54">
        <v>110.85612487792969</v>
      </c>
      <c r="N15" s="54">
        <v>110.66261291503906</v>
      </c>
      <c r="O15" s="54">
        <v>20.197269439697266</v>
      </c>
      <c r="P15" s="54">
        <v>20.263671875</v>
      </c>
      <c r="Q15" s="54"/>
      <c r="R15" s="54">
        <v>2.6099853515625</v>
      </c>
      <c r="S15" s="54">
        <v>139.93055725097656</v>
      </c>
      <c r="T15" s="54">
        <v>1.6100000143051147</v>
      </c>
      <c r="U15" s="54">
        <v>0.3006892800331116</v>
      </c>
      <c r="V15" s="54">
        <v>0.29993748664855957</v>
      </c>
      <c r="W15" s="54">
        <v>90.71180725097656</v>
      </c>
      <c r="X15" s="54">
        <v>0.5304411053657532</v>
      </c>
      <c r="Y15" s="54" t="s">
        <v>82</v>
      </c>
      <c r="Z15" s="54">
        <v>0.7306713461875916</v>
      </c>
      <c r="AA15" s="54">
        <v>150.00723266601562</v>
      </c>
      <c r="AB15" s="54">
        <v>162.890625</v>
      </c>
      <c r="AC15" s="54">
        <v>0.43070024251937866</v>
      </c>
      <c r="AD15" s="54">
        <v>155.12152099609375</v>
      </c>
      <c r="AE15" s="57"/>
      <c r="AF15" s="57"/>
      <c r="AG15" s="57"/>
      <c r="AH15" s="57"/>
      <c r="AI15" s="57"/>
      <c r="AJ15" s="57"/>
      <c r="AK15" s="57"/>
      <c r="AL15" s="54">
        <v>16.98133659362793</v>
      </c>
      <c r="AM15" s="58">
        <v>0.011270508170127869</v>
      </c>
      <c r="AN15" s="59">
        <v>64.44589233398438</v>
      </c>
      <c r="AO15" s="60"/>
      <c r="AP15" s="61">
        <v>-81.1993637084961</v>
      </c>
      <c r="AQ15" s="61">
        <v>0.29853877425193787</v>
      </c>
      <c r="AR15" s="62">
        <v>0.00029228211496956646</v>
      </c>
    </row>
    <row r="16" spans="2:47" ht="13.5" customHeight="1" x14ac:dyDescent="0.25">
      <c r="B16" s="14">
        <v>0.75</v>
      </c>
      <c r="C16" s="54">
        <v>6.600839138031006</v>
      </c>
      <c r="D16" s="54">
        <v>18.90733528137207</v>
      </c>
      <c r="E16" s="54">
        <v>418.0642395019531</v>
      </c>
      <c r="F16" s="54">
        <v>0.33631250262260437</v>
      </c>
      <c r="G16" s="54">
        <v>0</v>
      </c>
      <c r="H16" s="55">
        <v>417.8987121582031</v>
      </c>
      <c r="I16" s="56">
        <v>21.090133666992188</v>
      </c>
      <c r="J16" s="54">
        <v>0.020341796800494194</v>
      </c>
      <c r="K16" s="54">
        <v>46.0358772277832</v>
      </c>
      <c r="L16" s="54">
        <v>1.4859122037887573</v>
      </c>
      <c r="M16" s="54">
        <v>109.79275512695312</v>
      </c>
      <c r="N16" s="54">
        <v>111.44386291503906</v>
      </c>
      <c r="O16" s="54">
        <v>20.42671012878418</v>
      </c>
      <c r="P16" s="54">
        <v>20.2685546875</v>
      </c>
      <c r="Q16" s="54"/>
      <c r="R16" s="54">
        <v>2.5826416015625</v>
      </c>
      <c r="S16" s="54">
        <v>139.24334716796875</v>
      </c>
      <c r="T16" s="54">
        <v>1.6100000143051147</v>
      </c>
      <c r="U16" s="54">
        <v>0.3006491959095001</v>
      </c>
      <c r="V16" s="54">
        <v>0.30000001192092896</v>
      </c>
      <c r="W16" s="54">
        <v>90.7045669555664</v>
      </c>
      <c r="X16" s="54">
        <v>0.5303870439529419</v>
      </c>
      <c r="Y16" s="54" t="s">
        <v>82</v>
      </c>
      <c r="Z16" s="54">
        <v>0.7418981790542603</v>
      </c>
      <c r="AA16" s="54">
        <v>148.66897583007812</v>
      </c>
      <c r="AB16" s="54">
        <v>162.57957458496094</v>
      </c>
      <c r="AC16" s="54">
        <v>0.4063585102558136</v>
      </c>
      <c r="AD16" s="54">
        <v>154.8177032470703</v>
      </c>
      <c r="AE16" s="57"/>
      <c r="AF16" s="57"/>
      <c r="AG16" s="57"/>
      <c r="AH16" s="57"/>
      <c r="AI16" s="57"/>
      <c r="AJ16" s="57"/>
      <c r="AK16" s="57"/>
      <c r="AL16" s="54">
        <v>27.991174697875977</v>
      </c>
      <c r="AM16" s="58">
        <v>0.009776366874575615</v>
      </c>
      <c r="AN16" s="59">
        <v>64.39887237548828</v>
      </c>
      <c r="AO16" s="60"/>
      <c r="AP16" s="61">
        <v>-81.23553466796875</v>
      </c>
      <c r="AQ16" s="61">
        <v>0.28544560074806213</v>
      </c>
      <c r="AR16" s="62">
        <v>0.0002910614130087197</v>
      </c>
    </row>
    <row r="17" spans="2:44" ht="13.5" customHeight="1" x14ac:dyDescent="0.25">
      <c r="B17" s="14">
        <v>0.79166666666666696</v>
      </c>
      <c r="C17" s="54">
        <v>5.902777671813965</v>
      </c>
      <c r="D17" s="54">
        <v>18.825956344604492</v>
      </c>
      <c r="E17" s="54">
        <v>417.8126525878906</v>
      </c>
      <c r="F17" s="54">
        <v>0.271609365940094</v>
      </c>
      <c r="G17" s="54">
        <v>0</v>
      </c>
      <c r="H17" s="55">
        <v>417.811279296875</v>
      </c>
      <c r="I17" s="56">
        <v>20.153356552124023</v>
      </c>
      <c r="J17" s="54">
        <v>0.02019335888326168</v>
      </c>
      <c r="K17" s="54">
        <v>46.064815521240234</v>
      </c>
      <c r="L17" s="54">
        <v>1.4756040573120117</v>
      </c>
      <c r="M17" s="54">
        <v>106.45616912841797</v>
      </c>
      <c r="N17" s="54">
        <v>111.5523681640625</v>
      </c>
      <c r="O17" s="54">
        <v>20.184650421142578</v>
      </c>
      <c r="P17" s="54">
        <v>20.2724609375</v>
      </c>
      <c r="Q17" s="54"/>
      <c r="R17" s="54">
        <v>2.5704345703125</v>
      </c>
      <c r="S17" s="54">
        <v>139.6122589111328</v>
      </c>
      <c r="T17" s="54">
        <v>1.6100000143051147</v>
      </c>
      <c r="U17" s="54">
        <v>0.29802313446998596</v>
      </c>
      <c r="V17" s="54">
        <v>0.3000468611717224</v>
      </c>
      <c r="W17" s="54">
        <v>90.24160766601562</v>
      </c>
      <c r="X17" s="54">
        <v>0.5333016514778137</v>
      </c>
      <c r="Y17" s="54" t="s">
        <v>82</v>
      </c>
      <c r="Z17" s="54">
        <v>0.7448495626449585</v>
      </c>
      <c r="AA17" s="54">
        <v>148.93663024902344</v>
      </c>
      <c r="AB17" s="54">
        <v>162.71701049804688</v>
      </c>
      <c r="AC17" s="54">
        <v>0.38451245427131653</v>
      </c>
      <c r="AD17" s="54">
        <v>155.078125</v>
      </c>
      <c r="AE17" s="57"/>
      <c r="AF17" s="57"/>
      <c r="AG17" s="57"/>
      <c r="AH17" s="57"/>
      <c r="AI17" s="57"/>
      <c r="AJ17" s="57"/>
      <c r="AK17" s="57"/>
      <c r="AL17" s="54">
        <v>8.796296119689941</v>
      </c>
      <c r="AM17" s="58">
        <v>0.010618164204061031</v>
      </c>
      <c r="AN17" s="59">
        <v>66.36646270751953</v>
      </c>
      <c r="AO17" s="60"/>
      <c r="AP17" s="61">
        <v>-80.2445068359375</v>
      </c>
      <c r="AQ17" s="61">
        <v>0.29325810074806213</v>
      </c>
      <c r="AR17" s="62">
        <v>0.0002911834744736552</v>
      </c>
    </row>
    <row r="18" spans="2:44" ht="13.5" customHeight="1" x14ac:dyDescent="0.25">
      <c r="B18" s="42">
        <v>0.83333333333333404</v>
      </c>
      <c r="C18" s="63">
        <v>6.756365776062012</v>
      </c>
      <c r="D18" s="63">
        <v>18.787979125976562</v>
      </c>
      <c r="E18" s="63">
        <v>417.6906433105469</v>
      </c>
      <c r="F18" s="63">
        <v>0.3362500071525574</v>
      </c>
      <c r="G18" s="63">
        <v>0</v>
      </c>
      <c r="H18" s="64">
        <v>417.9149169921875</v>
      </c>
      <c r="I18" s="65">
        <v>19.925491333007812</v>
      </c>
      <c r="J18" s="63">
        <v>0.020427733659744263</v>
      </c>
      <c r="K18" s="63">
        <v>46.07204818725586</v>
      </c>
      <c r="L18" s="63">
        <v>1.462221622467041</v>
      </c>
      <c r="M18" s="63">
        <v>108.79449462890625</v>
      </c>
      <c r="N18" s="63">
        <v>113.59230041503906</v>
      </c>
      <c r="O18" s="63">
        <v>20.390649795532227</v>
      </c>
      <c r="P18" s="63">
        <v>20.265625</v>
      </c>
      <c r="Q18" s="63"/>
      <c r="R18" s="63">
        <v>2.50732421875</v>
      </c>
      <c r="S18" s="63">
        <v>139.59779357910156</v>
      </c>
      <c r="T18" s="63">
        <v>1.6100000143051147</v>
      </c>
      <c r="U18" s="63">
        <v>0.301431804895401</v>
      </c>
      <c r="V18" s="63">
        <v>0.30000001192092896</v>
      </c>
      <c r="W18" s="63">
        <v>90.51649475097656</v>
      </c>
      <c r="X18" s="63">
        <v>0.5286421179771423</v>
      </c>
      <c r="Y18" s="63">
        <v>0.5279413461685181</v>
      </c>
      <c r="Z18" s="63">
        <v>0.7308449149131775</v>
      </c>
      <c r="AA18" s="63">
        <v>148.9945068359375</v>
      </c>
      <c r="AB18" s="63">
        <v>163.1148681640625</v>
      </c>
      <c r="AC18" s="63">
        <v>0.40046295523643494</v>
      </c>
      <c r="AD18" s="63">
        <v>155.53384399414062</v>
      </c>
      <c r="AE18" s="66">
        <v>33.279998779296875</v>
      </c>
      <c r="AF18" s="66"/>
      <c r="AG18" s="66"/>
      <c r="AH18" s="66">
        <v>16.459999084472656</v>
      </c>
      <c r="AI18" s="66"/>
      <c r="AJ18" s="66"/>
      <c r="AK18" s="66">
        <v>7.010000228881836</v>
      </c>
      <c r="AL18" s="63">
        <v>106.32233428955078</v>
      </c>
      <c r="AM18" s="67">
        <v>0.013437500223517418</v>
      </c>
      <c r="AN18" s="68">
        <v>65.40074920654297</v>
      </c>
      <c r="AO18" s="60"/>
      <c r="AP18" s="61">
        <v>-80.48321533203125</v>
      </c>
      <c r="AQ18" s="61">
        <v>0.23075810074806213</v>
      </c>
      <c r="AR18" s="69">
        <v>0.00029176331008784473</v>
      </c>
    </row>
    <row r="19" spans="2:44" ht="18" customHeight="1" x14ac:dyDescent="0.25">
      <c r="B19" s="122" t="s">
        <v>181</v>
      </c>
      <c r="C19" s="36" t="s">
        <v>168</v>
      </c>
      <c r="D19" s="36" t="s">
        <v>171</v>
      </c>
      <c r="E19" s="137" t="s">
        <v>17</v>
      </c>
      <c r="F19" s="138"/>
      <c r="G19" s="139"/>
      <c r="H19" s="140" t="s">
        <v>108</v>
      </c>
      <c r="I19" s="138"/>
      <c r="J19" s="138"/>
      <c r="K19" s="138"/>
      <c r="L19" s="141"/>
      <c r="M19" s="142" t="s">
        <v>123</v>
      </c>
      <c r="N19" s="138"/>
      <c r="O19" s="138"/>
      <c r="P19" s="138"/>
      <c r="Q19" s="139"/>
      <c r="R19" s="140" t="s">
        <v>147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9"/>
      <c r="AG19" s="143" t="s">
        <v>24</v>
      </c>
      <c r="AH19" s="139"/>
      <c r="AI19" s="119" t="s">
        <v>173</v>
      </c>
      <c r="AJ19" s="120"/>
      <c r="AK19" s="120"/>
      <c r="AL19" s="120"/>
      <c r="AM19" s="121"/>
      <c r="AN19" s="143" t="s">
        <v>47</v>
      </c>
      <c r="AO19" s="144"/>
      <c r="AP19" s="138" t="s">
        <v>180</v>
      </c>
      <c r="AQ19" s="145"/>
      <c r="AR19" s="146"/>
    </row>
    <row r="20" spans="2:44" ht="20.15" customHeight="1" x14ac:dyDescent="0.25">
      <c r="B20" s="123"/>
      <c r="C20" s="3" t="s">
        <v>169</v>
      </c>
      <c r="D20" s="3" t="s">
        <v>113</v>
      </c>
      <c r="E20" s="3" t="s">
        <v>15</v>
      </c>
      <c r="F20" s="117" t="s">
        <v>100</v>
      </c>
      <c r="G20" s="118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1" t="s">
        <v>148</v>
      </c>
      <c r="AE20" s="118"/>
      <c r="AF20" s="17" t="s">
        <v>151</v>
      </c>
      <c r="AG20" s="17" t="s">
        <v>153</v>
      </c>
      <c r="AH20" s="17" t="s">
        <v>155</v>
      </c>
      <c r="AI20" s="112" t="s">
        <v>89</v>
      </c>
      <c r="AJ20" s="113"/>
      <c r="AK20" s="112" t="s">
        <v>92</v>
      </c>
      <c r="AL20" s="113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-78.58073425292969</v>
      </c>
      <c r="D22" s="54">
        <v>-78.39988708496094</v>
      </c>
      <c r="E22" s="54">
        <v>103.13223266601562</v>
      </c>
      <c r="F22" s="54">
        <v>0.08058448880910873</v>
      </c>
      <c r="G22" s="54"/>
      <c r="H22" s="54"/>
      <c r="I22" s="54"/>
      <c r="J22" s="54"/>
      <c r="K22" s="54"/>
      <c r="L22" s="55"/>
      <c r="M22" s="70">
        <v>26.613136291503906</v>
      </c>
      <c r="N22" s="54">
        <v>46.372249603271484</v>
      </c>
      <c r="O22" s="54">
        <v>39.5</v>
      </c>
      <c r="P22" s="54">
        <v>22</v>
      </c>
      <c r="Q22" s="54">
        <v>3.523871660232544</v>
      </c>
      <c r="R22" s="54">
        <v>19.458911895751953</v>
      </c>
      <c r="S22" s="71">
        <v>90.61415100097656</v>
      </c>
      <c r="T22" s="71">
        <v>8.5</v>
      </c>
      <c r="U22" s="71">
        <v>0</v>
      </c>
      <c r="V22" s="71">
        <v>59.771053314208984</v>
      </c>
      <c r="W22" s="71">
        <v>86.56684112548828</v>
      </c>
      <c r="X22" s="71">
        <v>28</v>
      </c>
      <c r="Y22" s="71">
        <v>74.96039581298828</v>
      </c>
      <c r="Z22" s="71">
        <v>13.798465728759766</v>
      </c>
      <c r="AA22" s="71">
        <v>17.85481834411621</v>
      </c>
      <c r="AB22" s="71"/>
      <c r="AC22" s="58"/>
      <c r="AD22" s="58">
        <v>1.5482856035232544</v>
      </c>
      <c r="AE22" s="58"/>
      <c r="AF22" s="58">
        <v>19.80251693725586</v>
      </c>
      <c r="AG22" s="58">
        <v>16.10243034362793</v>
      </c>
      <c r="AH22" s="58"/>
      <c r="AI22" s="72">
        <v>6.119999885559082</v>
      </c>
      <c r="AJ22" s="72"/>
      <c r="AK22" s="72"/>
      <c r="AL22" s="72"/>
      <c r="AM22" s="72"/>
      <c r="AN22" s="58">
        <v>50.159141540527344</v>
      </c>
      <c r="AO22" s="59">
        <v>50</v>
      </c>
      <c r="AP22" s="60">
        <v>25.128398895263672</v>
      </c>
      <c r="AQ22" s="61">
        <v>39.908851623535156</v>
      </c>
      <c r="AR22" s="62">
        <v>0.10851287841796875</v>
      </c>
    </row>
    <row r="23" spans="2:44" ht="13.5" customHeight="1" x14ac:dyDescent="0.25">
      <c r="B23" s="14">
        <v>0.375</v>
      </c>
      <c r="C23" s="54">
        <v>-81.16319274902344</v>
      </c>
      <c r="D23" s="54">
        <v>-81.04022216796875</v>
      </c>
      <c r="E23" s="54">
        <v>103.12861633300781</v>
      </c>
      <c r="F23" s="54">
        <v>0.07544849812984467</v>
      </c>
      <c r="G23" s="54">
        <v>7.51457191654481E-05</v>
      </c>
      <c r="H23" s="54"/>
      <c r="I23" s="54"/>
      <c r="J23" s="54"/>
      <c r="K23" s="54"/>
      <c r="L23" s="55"/>
      <c r="M23" s="70">
        <v>26.595050811767578</v>
      </c>
      <c r="N23" s="54">
        <v>46.29267883300781</v>
      </c>
      <c r="O23" s="54">
        <v>39.5</v>
      </c>
      <c r="P23" s="54">
        <v>22</v>
      </c>
      <c r="Q23" s="54">
        <v>3.367621660232544</v>
      </c>
      <c r="R23" s="54">
        <v>19.45529556274414</v>
      </c>
      <c r="S23" s="71">
        <v>94.23104858398438</v>
      </c>
      <c r="T23" s="71">
        <v>38.5</v>
      </c>
      <c r="U23" s="71">
        <v>76.38436889648438</v>
      </c>
      <c r="V23" s="71">
        <v>15.993924140930176</v>
      </c>
      <c r="W23" s="71">
        <v>19.482421875</v>
      </c>
      <c r="X23" s="71">
        <v>0</v>
      </c>
      <c r="Y23" s="71">
        <v>45.673648834228516</v>
      </c>
      <c r="Z23" s="71">
        <v>13.655598640441895</v>
      </c>
      <c r="AA23" s="71">
        <v>119.61263275146484</v>
      </c>
      <c r="AB23" s="71"/>
      <c r="AC23" s="58"/>
      <c r="AD23" s="58">
        <v>1.5483940839767456</v>
      </c>
      <c r="AE23" s="58">
        <v>0.0012695312034338713</v>
      </c>
      <c r="AF23" s="58">
        <v>19.831451416015625</v>
      </c>
      <c r="AG23" s="58">
        <v>19.755496978759766</v>
      </c>
      <c r="AH23" s="58"/>
      <c r="AI23" s="72"/>
      <c r="AJ23" s="72"/>
      <c r="AK23" s="72"/>
      <c r="AL23" s="72"/>
      <c r="AM23" s="72"/>
      <c r="AN23" s="58">
        <v>49.68894577026367</v>
      </c>
      <c r="AO23" s="59">
        <v>50</v>
      </c>
      <c r="AP23" s="60">
        <v>25.52625846862793</v>
      </c>
      <c r="AQ23" s="61">
        <v>42.13324737548828</v>
      </c>
      <c r="AR23" s="62">
        <v>0.11936187744140625</v>
      </c>
    </row>
    <row r="24" spans="2:44" ht="13.5" customHeight="1" x14ac:dyDescent="0.25">
      <c r="B24" s="14">
        <v>0.41666666666666702</v>
      </c>
      <c r="C24" s="54">
        <v>-81.11255645751953</v>
      </c>
      <c r="D24" s="54">
        <v>-81.03298950195312</v>
      </c>
      <c r="E24" s="54">
        <v>103.13223266601562</v>
      </c>
      <c r="F24" s="54">
        <v>0.047670718282461166</v>
      </c>
      <c r="G24" s="54">
        <v>7.288360939128324E-05</v>
      </c>
      <c r="H24" s="54"/>
      <c r="I24" s="54"/>
      <c r="J24" s="54"/>
      <c r="K24" s="54"/>
      <c r="L24" s="55"/>
      <c r="M24" s="70">
        <v>25.390625</v>
      </c>
      <c r="N24" s="54">
        <v>45.6922721862793</v>
      </c>
      <c r="O24" s="54">
        <v>39.5</v>
      </c>
      <c r="P24" s="54">
        <v>22</v>
      </c>
      <c r="Q24" s="54">
        <v>3.309461832046509</v>
      </c>
      <c r="R24" s="54">
        <v>19.57465171813965</v>
      </c>
      <c r="S24" s="71">
        <v>92.67939758300781</v>
      </c>
      <c r="T24" s="71">
        <v>37</v>
      </c>
      <c r="U24" s="71">
        <v>73.20565795898438</v>
      </c>
      <c r="V24" s="71">
        <v>15.706380844116211</v>
      </c>
      <c r="W24" s="71">
        <v>19.080947875976562</v>
      </c>
      <c r="X24" s="71">
        <v>0</v>
      </c>
      <c r="Y24" s="71">
        <v>0</v>
      </c>
      <c r="Z24" s="71">
        <v>21.238426208496094</v>
      </c>
      <c r="AA24" s="71">
        <v>83.66970825195312</v>
      </c>
      <c r="AB24" s="71"/>
      <c r="AC24" s="58"/>
      <c r="AD24" s="58">
        <v>0</v>
      </c>
      <c r="AE24" s="58">
        <v>0.0002688598760869354</v>
      </c>
      <c r="AF24" s="58">
        <v>19.849536895751953</v>
      </c>
      <c r="AG24" s="58">
        <v>18.290653228759766</v>
      </c>
      <c r="AH24" s="58"/>
      <c r="AI24" s="72"/>
      <c r="AJ24" s="72"/>
      <c r="AK24" s="72"/>
      <c r="AL24" s="72"/>
      <c r="AM24" s="72"/>
      <c r="AN24" s="58">
        <v>60.6843147277832</v>
      </c>
      <c r="AO24" s="59">
        <v>50</v>
      </c>
      <c r="AP24" s="60">
        <v>25.52625846862793</v>
      </c>
      <c r="AQ24" s="61">
        <v>40.100547790527344</v>
      </c>
      <c r="AR24" s="62">
        <v>0.075958251953125</v>
      </c>
    </row>
    <row r="25" spans="2:44" ht="13.5" customHeight="1" x14ac:dyDescent="0.25">
      <c r="B25" s="14">
        <v>0.45833333333333298</v>
      </c>
      <c r="C25" s="54">
        <v>-80.76533508300781</v>
      </c>
      <c r="D25" s="54">
        <v>-80.76533508300781</v>
      </c>
      <c r="E25" s="54">
        <v>103.12861633300781</v>
      </c>
      <c r="F25" s="54">
        <v>0.07364004850387573</v>
      </c>
      <c r="G25" s="54">
        <v>6.841659342171624E-05</v>
      </c>
      <c r="H25" s="54"/>
      <c r="I25" s="54"/>
      <c r="J25" s="54"/>
      <c r="K25" s="54"/>
      <c r="L25" s="55"/>
      <c r="M25" s="70">
        <v>24.688945770263672</v>
      </c>
      <c r="N25" s="54">
        <v>44.03935241699219</v>
      </c>
      <c r="O25" s="54">
        <v>39.5</v>
      </c>
      <c r="P25" s="54">
        <v>22</v>
      </c>
      <c r="Q25" s="54">
        <v>3.4544270038604736</v>
      </c>
      <c r="R25" s="54">
        <v>19.592737197875977</v>
      </c>
      <c r="S25" s="71">
        <v>94.40103912353516</v>
      </c>
      <c r="T25" s="71">
        <v>37</v>
      </c>
      <c r="U25" s="71">
        <v>73.13838195800781</v>
      </c>
      <c r="V25" s="71">
        <v>15.592448234558105</v>
      </c>
      <c r="W25" s="71">
        <v>19.140625</v>
      </c>
      <c r="X25" s="71">
        <v>0</v>
      </c>
      <c r="Y25" s="71">
        <v>0</v>
      </c>
      <c r="Z25" s="71">
        <v>22.97092056274414</v>
      </c>
      <c r="AA25" s="71">
        <v>77.7072525024414</v>
      </c>
      <c r="AB25" s="71"/>
      <c r="AC25" s="58"/>
      <c r="AD25" s="58">
        <v>1.5482856035232544</v>
      </c>
      <c r="AE25" s="58">
        <v>0.0005278930766507983</v>
      </c>
      <c r="AF25" s="58">
        <v>19.882089614868164</v>
      </c>
      <c r="AG25" s="58">
        <v>34.8524284362793</v>
      </c>
      <c r="AH25" s="58"/>
      <c r="AI25" s="72"/>
      <c r="AJ25" s="72"/>
      <c r="AK25" s="72"/>
      <c r="AL25" s="72"/>
      <c r="AM25" s="72"/>
      <c r="AN25" s="58">
        <v>64.66290283203125</v>
      </c>
      <c r="AO25" s="59">
        <v>50</v>
      </c>
      <c r="AP25" s="60">
        <v>25.85177993774414</v>
      </c>
      <c r="AQ25" s="61">
        <v>39.988426208496094</v>
      </c>
      <c r="AR25" s="62">
        <v>0.0651092529296875</v>
      </c>
    </row>
    <row r="26" spans="2:44" ht="13.5" customHeight="1" x14ac:dyDescent="0.25">
      <c r="B26" s="14">
        <v>0.5</v>
      </c>
      <c r="C26" s="54">
        <v>-80.99681854248047</v>
      </c>
      <c r="D26" s="54">
        <v>-80.93894958496094</v>
      </c>
      <c r="E26" s="54">
        <v>103.12861633300781</v>
      </c>
      <c r="F26" s="54">
        <v>0.07241030037403107</v>
      </c>
      <c r="G26" s="54">
        <v>7.027816900517792E-05</v>
      </c>
      <c r="H26" s="54"/>
      <c r="I26" s="54"/>
      <c r="J26" s="54"/>
      <c r="K26" s="54"/>
      <c r="L26" s="55"/>
      <c r="M26" s="70">
        <v>25.090421676635742</v>
      </c>
      <c r="N26" s="54">
        <v>46.77372741699219</v>
      </c>
      <c r="O26" s="54">
        <v>39.5</v>
      </c>
      <c r="P26" s="54">
        <v>22</v>
      </c>
      <c r="Q26" s="54">
        <v>3.1310763359069824</v>
      </c>
      <c r="R26" s="54">
        <v>19.567419052124023</v>
      </c>
      <c r="S26" s="71">
        <v>93.18576049804688</v>
      </c>
      <c r="T26" s="71">
        <v>37</v>
      </c>
      <c r="U26" s="71">
        <v>72.40396881103516</v>
      </c>
      <c r="V26" s="71">
        <v>15.98849868774414</v>
      </c>
      <c r="W26" s="71">
        <v>19.791667938232422</v>
      </c>
      <c r="X26" s="71">
        <v>0</v>
      </c>
      <c r="Y26" s="71">
        <v>0</v>
      </c>
      <c r="Z26" s="71">
        <v>23.92578125</v>
      </c>
      <c r="AA26" s="71">
        <v>74.11566925048828</v>
      </c>
      <c r="AB26" s="71"/>
      <c r="AC26" s="58"/>
      <c r="AD26" s="58">
        <v>1.5482856035232544</v>
      </c>
      <c r="AE26" s="58">
        <v>0.0009862061124294996</v>
      </c>
      <c r="AF26" s="58">
        <v>19.918258666992188</v>
      </c>
      <c r="AG26" s="58">
        <v>17.173032760620117</v>
      </c>
      <c r="AH26" s="58"/>
      <c r="AI26" s="72"/>
      <c r="AJ26" s="72"/>
      <c r="AK26" s="72"/>
      <c r="AL26" s="72"/>
      <c r="AM26" s="72"/>
      <c r="AN26" s="58">
        <v>63.838253021240234</v>
      </c>
      <c r="AO26" s="59">
        <v>50</v>
      </c>
      <c r="AP26" s="60">
        <v>25.969327926635742</v>
      </c>
      <c r="AQ26" s="61">
        <v>40.813079833984375</v>
      </c>
      <c r="AR26" s="62">
        <v>0.0651092529296875</v>
      </c>
    </row>
    <row r="27" spans="2:44" ht="13.5" customHeight="1" x14ac:dyDescent="0.25">
      <c r="B27" s="14">
        <v>0.54166666666666596</v>
      </c>
      <c r="C27" s="54">
        <v>-81.15596008300781</v>
      </c>
      <c r="D27" s="54">
        <v>-81.0546875</v>
      </c>
      <c r="E27" s="54">
        <v>103.12861633300781</v>
      </c>
      <c r="F27" s="54">
        <v>0.07103587687015533</v>
      </c>
      <c r="G27" s="54">
        <v>6.531524559250101E-05</v>
      </c>
      <c r="H27" s="54"/>
      <c r="I27" s="54"/>
      <c r="J27" s="54"/>
      <c r="K27" s="54"/>
      <c r="L27" s="55"/>
      <c r="M27" s="70">
        <v>24.55512046813965</v>
      </c>
      <c r="N27" s="54">
        <v>46.372249603271484</v>
      </c>
      <c r="O27" s="54">
        <v>39.5</v>
      </c>
      <c r="P27" s="54">
        <v>22</v>
      </c>
      <c r="Q27" s="54">
        <v>2.937066078186035</v>
      </c>
      <c r="R27" s="54">
        <v>19.864004135131836</v>
      </c>
      <c r="S27" s="71">
        <v>95.15335845947266</v>
      </c>
      <c r="T27" s="71">
        <v>37</v>
      </c>
      <c r="U27" s="71">
        <v>72.83003997802734</v>
      </c>
      <c r="V27" s="71">
        <v>16.786026000976562</v>
      </c>
      <c r="W27" s="71">
        <v>20.14974021911621</v>
      </c>
      <c r="X27" s="71">
        <v>0</v>
      </c>
      <c r="Y27" s="71">
        <v>0</v>
      </c>
      <c r="Z27" s="71">
        <v>51.13751220703125</v>
      </c>
      <c r="AA27" s="71">
        <v>93.32682800292969</v>
      </c>
      <c r="AB27" s="71"/>
      <c r="AC27" s="58"/>
      <c r="AD27" s="58">
        <v>1.5483940839767456</v>
      </c>
      <c r="AE27" s="58">
        <v>0.0014538574032485485</v>
      </c>
      <c r="AF27" s="58">
        <v>19.918258666992188</v>
      </c>
      <c r="AG27" s="58">
        <v>15.581597328186035</v>
      </c>
      <c r="AH27" s="58"/>
      <c r="AI27" s="72"/>
      <c r="AJ27" s="72"/>
      <c r="AK27" s="72"/>
      <c r="AL27" s="72"/>
      <c r="AM27" s="72"/>
      <c r="AN27" s="58">
        <v>62.16724395751953</v>
      </c>
      <c r="AO27" s="59">
        <v>50</v>
      </c>
      <c r="AP27" s="60">
        <v>25.85177993774414</v>
      </c>
      <c r="AQ27" s="61">
        <v>40.92158508300781</v>
      </c>
      <c r="AR27" s="62">
        <v>0.075958251953125</v>
      </c>
    </row>
    <row r="28" spans="2:44" ht="13.5" customHeight="1" x14ac:dyDescent="0.25">
      <c r="B28" s="14">
        <v>0.58333333333333304</v>
      </c>
      <c r="C28" s="54">
        <v>-81.09809112548828</v>
      </c>
      <c r="D28" s="54">
        <v>-80.86660766601562</v>
      </c>
      <c r="E28" s="54">
        <v>103.12861633300781</v>
      </c>
      <c r="F28" s="54">
        <v>0.0735677108168602</v>
      </c>
      <c r="G28" s="54">
        <v>6.97708164807409E-05</v>
      </c>
      <c r="H28" s="54"/>
      <c r="I28" s="54"/>
      <c r="J28" s="54"/>
      <c r="K28" s="54"/>
      <c r="L28" s="55"/>
      <c r="M28" s="70">
        <v>24.048755645751953</v>
      </c>
      <c r="N28" s="54">
        <v>44.53125</v>
      </c>
      <c r="O28" s="54">
        <v>39.5</v>
      </c>
      <c r="P28" s="54">
        <v>22</v>
      </c>
      <c r="Q28" s="54">
        <v>3.1032986640930176</v>
      </c>
      <c r="R28" s="54">
        <v>20.189525604248047</v>
      </c>
      <c r="S28" s="71">
        <v>94.26359558105469</v>
      </c>
      <c r="T28" s="71">
        <v>0</v>
      </c>
      <c r="U28" s="71">
        <v>0</v>
      </c>
      <c r="V28" s="71">
        <v>16.422527313232422</v>
      </c>
      <c r="W28" s="71">
        <v>81.33138275146484</v>
      </c>
      <c r="X28" s="71">
        <v>29.25</v>
      </c>
      <c r="Y28" s="71">
        <v>77.90925598144531</v>
      </c>
      <c r="Z28" s="71">
        <v>16.979528427124023</v>
      </c>
      <c r="AA28" s="71">
        <v>20.04123306274414</v>
      </c>
      <c r="AB28" s="71"/>
      <c r="AC28" s="58"/>
      <c r="AD28" s="58">
        <v>1.5482856035232544</v>
      </c>
      <c r="AE28" s="58">
        <v>0.0009205322130583227</v>
      </c>
      <c r="AF28" s="58">
        <v>19.950809478759766</v>
      </c>
      <c r="AG28" s="58">
        <v>16.062644958496094</v>
      </c>
      <c r="AH28" s="58"/>
      <c r="AI28" s="72"/>
      <c r="AJ28" s="72"/>
      <c r="AK28" s="72"/>
      <c r="AL28" s="72"/>
      <c r="AM28" s="72"/>
      <c r="AN28" s="58">
        <v>59.89583206176758</v>
      </c>
      <c r="AO28" s="59">
        <v>50</v>
      </c>
      <c r="AP28" s="60">
        <v>25.49913215637207</v>
      </c>
      <c r="AQ28" s="61">
        <v>39.905235290527344</v>
      </c>
      <c r="AR28" s="62">
        <v>0.075958251953125</v>
      </c>
    </row>
    <row r="29" spans="2:44" ht="13.5" customHeight="1" x14ac:dyDescent="0.25">
      <c r="B29" s="14">
        <v>0.625</v>
      </c>
      <c r="C29" s="54">
        <v>-81.40190887451172</v>
      </c>
      <c r="D29" s="54">
        <v>-81.28617095947266</v>
      </c>
      <c r="E29" s="54">
        <v>103.125</v>
      </c>
      <c r="F29" s="54">
        <v>0.07089120149612427</v>
      </c>
      <c r="G29" s="54">
        <v>7.178115629358217E-05</v>
      </c>
      <c r="H29" s="54"/>
      <c r="I29" s="54"/>
      <c r="J29" s="54"/>
      <c r="K29" s="54"/>
      <c r="L29" s="55"/>
      <c r="M29" s="70">
        <v>26.088685989379883</v>
      </c>
      <c r="N29" s="54">
        <v>44.502315521240234</v>
      </c>
      <c r="O29" s="54">
        <v>39.5</v>
      </c>
      <c r="P29" s="54">
        <v>22</v>
      </c>
      <c r="Q29" s="54">
        <v>3.354600667953491</v>
      </c>
      <c r="R29" s="54">
        <v>20.229310989379883</v>
      </c>
      <c r="S29" s="71">
        <v>90.58159637451172</v>
      </c>
      <c r="T29" s="71">
        <v>0</v>
      </c>
      <c r="U29" s="71">
        <v>0</v>
      </c>
      <c r="V29" s="71">
        <v>18.19661521911621</v>
      </c>
      <c r="W29" s="71">
        <v>69.10265350341797</v>
      </c>
      <c r="X29" s="71">
        <v>29</v>
      </c>
      <c r="Y29" s="71">
        <v>75.7732925415039</v>
      </c>
      <c r="Z29" s="71">
        <v>15.8203125</v>
      </c>
      <c r="AA29" s="71">
        <v>18.52756118774414</v>
      </c>
      <c r="AB29" s="71"/>
      <c r="AC29" s="58"/>
      <c r="AD29" s="58">
        <v>1.54833984375</v>
      </c>
      <c r="AE29" s="58">
        <v>0.001078979461453855</v>
      </c>
      <c r="AF29" s="58">
        <v>20.005064010620117</v>
      </c>
      <c r="AG29" s="58">
        <v>18.221933364868164</v>
      </c>
      <c r="AH29" s="58"/>
      <c r="AI29" s="72"/>
      <c r="AJ29" s="72"/>
      <c r="AK29" s="72"/>
      <c r="AL29" s="72"/>
      <c r="AM29" s="72"/>
      <c r="AN29" s="58">
        <v>58.5358772277832</v>
      </c>
      <c r="AO29" s="59">
        <v>50</v>
      </c>
      <c r="AP29" s="60">
        <v>25.327329635620117</v>
      </c>
      <c r="AQ29" s="61">
        <v>44.56380081176758</v>
      </c>
      <c r="AR29" s="62">
        <v>0.0868072509765625</v>
      </c>
    </row>
    <row r="30" spans="2:44" ht="13.5" customHeight="1" x14ac:dyDescent="0.25">
      <c r="B30" s="14">
        <v>0.66666666666666596</v>
      </c>
      <c r="C30" s="54">
        <v>-81.30786895751953</v>
      </c>
      <c r="D30" s="54">
        <v>-81.06192016601562</v>
      </c>
      <c r="E30" s="54">
        <v>103.12861633300781</v>
      </c>
      <c r="F30" s="54">
        <v>0.0590277798473835</v>
      </c>
      <c r="G30" s="54">
        <v>7.741928129689768E-05</v>
      </c>
      <c r="H30" s="54"/>
      <c r="I30" s="54"/>
      <c r="J30" s="54"/>
      <c r="K30" s="54"/>
      <c r="L30" s="55"/>
      <c r="M30" s="70">
        <v>26.15017318725586</v>
      </c>
      <c r="N30" s="54">
        <v>47.64901351928711</v>
      </c>
      <c r="O30" s="54">
        <v>39.5</v>
      </c>
      <c r="P30" s="54">
        <v>22</v>
      </c>
      <c r="Q30" s="54">
        <v>3.487847328186035</v>
      </c>
      <c r="R30" s="54">
        <v>20.099102020263672</v>
      </c>
      <c r="S30" s="71">
        <v>93.8765869140625</v>
      </c>
      <c r="T30" s="71">
        <v>0</v>
      </c>
      <c r="U30" s="71">
        <v>0</v>
      </c>
      <c r="V30" s="71">
        <v>18.76085090637207</v>
      </c>
      <c r="W30" s="71">
        <v>61.46918869018555</v>
      </c>
      <c r="X30" s="71">
        <v>29</v>
      </c>
      <c r="Y30" s="71">
        <v>75.56025695800781</v>
      </c>
      <c r="Z30" s="71">
        <v>15.56532096862793</v>
      </c>
      <c r="AA30" s="71">
        <v>18.22374153137207</v>
      </c>
      <c r="AB30" s="71"/>
      <c r="AC30" s="58"/>
      <c r="AD30" s="58">
        <v>1.54833984375</v>
      </c>
      <c r="AE30" s="58">
        <v>0.001241027843207121</v>
      </c>
      <c r="AF30" s="58">
        <v>20.044849395751953</v>
      </c>
      <c r="AG30" s="58">
        <v>16.511138916015625</v>
      </c>
      <c r="AH30" s="58"/>
      <c r="AI30" s="72"/>
      <c r="AJ30" s="72"/>
      <c r="AK30" s="72"/>
      <c r="AL30" s="72"/>
      <c r="AM30" s="72"/>
      <c r="AN30" s="58">
        <v>56.75636291503906</v>
      </c>
      <c r="AO30" s="59">
        <v>50</v>
      </c>
      <c r="AP30" s="60">
        <v>25.453920364379883</v>
      </c>
      <c r="AQ30" s="61">
        <v>40.16203689575195</v>
      </c>
      <c r="AR30" s="62">
        <v>0.10851287841796875</v>
      </c>
    </row>
    <row r="31" spans="2:44" ht="13.5" customHeight="1" x14ac:dyDescent="0.25">
      <c r="B31" s="14">
        <v>0.70833333333333304</v>
      </c>
      <c r="C31" s="54">
        <v>-81.1993637084961</v>
      </c>
      <c r="D31" s="54">
        <v>-80.88831329345703</v>
      </c>
      <c r="E31" s="54">
        <v>103.12861633300781</v>
      </c>
      <c r="F31" s="54">
        <v>0.12275752425193787</v>
      </c>
      <c r="G31" s="54">
        <v>9.035110269905999E-05</v>
      </c>
      <c r="H31" s="54"/>
      <c r="I31" s="54"/>
      <c r="J31" s="54"/>
      <c r="K31" s="54"/>
      <c r="L31" s="55"/>
      <c r="M31" s="70">
        <v>26.001880645751953</v>
      </c>
      <c r="N31" s="54">
        <v>47.50434112548828</v>
      </c>
      <c r="O31" s="54">
        <v>39.5</v>
      </c>
      <c r="P31" s="54">
        <v>22</v>
      </c>
      <c r="Q31" s="54">
        <v>3.5</v>
      </c>
      <c r="R31" s="54">
        <v>19.93272590637207</v>
      </c>
      <c r="S31" s="71">
        <v>94.4118881225586</v>
      </c>
      <c r="T31" s="71">
        <v>0</v>
      </c>
      <c r="U31" s="71">
        <v>0</v>
      </c>
      <c r="V31" s="71">
        <v>18.48958396911621</v>
      </c>
      <c r="W31" s="71">
        <v>56.85221481323242</v>
      </c>
      <c r="X31" s="71">
        <v>28</v>
      </c>
      <c r="Y31" s="71">
        <v>72.92534637451172</v>
      </c>
      <c r="Z31" s="71">
        <v>15.377242088317871</v>
      </c>
      <c r="AA31" s="71">
        <v>18.05013084411621</v>
      </c>
      <c r="AB31" s="71"/>
      <c r="AC31" s="58"/>
      <c r="AD31" s="58">
        <v>1.5483940839767456</v>
      </c>
      <c r="AE31" s="58">
        <v>0.0014492798363789916</v>
      </c>
      <c r="AF31" s="58">
        <v>20.059316635131836</v>
      </c>
      <c r="AG31" s="58">
        <v>19.397424697875977</v>
      </c>
      <c r="AH31" s="58"/>
      <c r="AI31" s="72"/>
      <c r="AJ31" s="72"/>
      <c r="AK31" s="72"/>
      <c r="AL31" s="72"/>
      <c r="AM31" s="72"/>
      <c r="AN31" s="58">
        <v>55.085357666015625</v>
      </c>
      <c r="AO31" s="59">
        <v>50</v>
      </c>
      <c r="AP31" s="60">
        <v>25.508174896240234</v>
      </c>
      <c r="AQ31" s="61">
        <v>42.545570373535156</v>
      </c>
      <c r="AR31" s="62">
        <v>0.10851287841796875</v>
      </c>
    </row>
    <row r="32" spans="2:44" ht="13.5" customHeight="1" x14ac:dyDescent="0.25">
      <c r="B32" s="14">
        <v>0.75</v>
      </c>
      <c r="C32" s="54">
        <v>-81.23553466796875</v>
      </c>
      <c r="D32" s="54">
        <v>-80.96788024902344</v>
      </c>
      <c r="E32" s="54">
        <v>103.12861633300781</v>
      </c>
      <c r="F32" s="54">
        <v>0.11595775187015533</v>
      </c>
      <c r="G32" s="54">
        <v>0.00011456298670964316</v>
      </c>
      <c r="H32" s="54"/>
      <c r="I32" s="54"/>
      <c r="J32" s="54"/>
      <c r="K32" s="54"/>
      <c r="L32" s="55"/>
      <c r="M32" s="70">
        <v>25.94400978088379</v>
      </c>
      <c r="N32" s="54">
        <v>47.31987762451172</v>
      </c>
      <c r="O32" s="54">
        <v>39.5</v>
      </c>
      <c r="P32" s="54">
        <v>22</v>
      </c>
      <c r="Q32" s="54">
        <v>3.467881917953491</v>
      </c>
      <c r="R32" s="54">
        <v>19.733795166015625</v>
      </c>
      <c r="S32" s="71">
        <v>98.18431854248047</v>
      </c>
      <c r="T32" s="71">
        <v>0</v>
      </c>
      <c r="U32" s="71">
        <v>0</v>
      </c>
      <c r="V32" s="71">
        <v>18.07183265686035</v>
      </c>
      <c r="W32" s="71">
        <v>53.841148376464844</v>
      </c>
      <c r="X32" s="71">
        <v>28</v>
      </c>
      <c r="Y32" s="71">
        <v>72.958984375</v>
      </c>
      <c r="Z32" s="71">
        <v>15.257884979248047</v>
      </c>
      <c r="AA32" s="71">
        <v>18.033855438232422</v>
      </c>
      <c r="AB32" s="71"/>
      <c r="AC32" s="58"/>
      <c r="AD32" s="58">
        <v>1.54833984375</v>
      </c>
      <c r="AE32" s="58">
        <v>0.0015454101376235485</v>
      </c>
      <c r="AF32" s="58">
        <v>20.06293296813965</v>
      </c>
      <c r="AG32" s="58">
        <v>18.518518447875977</v>
      </c>
      <c r="AH32" s="58">
        <v>542.2999877929688</v>
      </c>
      <c r="AI32" s="72"/>
      <c r="AJ32" s="72"/>
      <c r="AK32" s="72"/>
      <c r="AL32" s="72"/>
      <c r="AM32" s="72"/>
      <c r="AN32" s="58">
        <v>53.66753387451172</v>
      </c>
      <c r="AO32" s="59">
        <v>50</v>
      </c>
      <c r="AP32" s="60">
        <v>25.625722885131836</v>
      </c>
      <c r="AQ32" s="61">
        <v>40.75882339477539</v>
      </c>
      <c r="AR32" s="62">
        <v>0.11936187744140625</v>
      </c>
    </row>
    <row r="33" spans="2:44" ht="13.5" customHeight="1" x14ac:dyDescent="0.25">
      <c r="B33" s="14">
        <v>0.79166666666666696</v>
      </c>
      <c r="C33" s="54">
        <v>-80.2445068359375</v>
      </c>
      <c r="D33" s="54">
        <v>-79.97685241699219</v>
      </c>
      <c r="E33" s="54">
        <v>103.13584899902344</v>
      </c>
      <c r="F33" s="54">
        <v>0.12109375</v>
      </c>
      <c r="G33" s="54">
        <v>0.00010742950689746067</v>
      </c>
      <c r="H33" s="54"/>
      <c r="I33" s="54"/>
      <c r="J33" s="54"/>
      <c r="K33" s="54"/>
      <c r="L33" s="55"/>
      <c r="M33" s="70">
        <v>25.625722885131836</v>
      </c>
      <c r="N33" s="54">
        <v>47.79730987548828</v>
      </c>
      <c r="O33" s="54">
        <v>39.5</v>
      </c>
      <c r="P33" s="54">
        <v>22</v>
      </c>
      <c r="Q33" s="54">
        <v>3.389756917953491</v>
      </c>
      <c r="R33" s="54">
        <v>19.744646072387695</v>
      </c>
      <c r="S33" s="71">
        <v>95.27994537353516</v>
      </c>
      <c r="T33" s="71">
        <v>0</v>
      </c>
      <c r="U33" s="71">
        <v>0</v>
      </c>
      <c r="V33" s="71">
        <v>17.936199188232422</v>
      </c>
      <c r="W33" s="71">
        <v>52.18641662597656</v>
      </c>
      <c r="X33" s="71">
        <v>28</v>
      </c>
      <c r="Y33" s="71">
        <v>73.18883514404297</v>
      </c>
      <c r="Z33" s="71">
        <v>15.442346572875977</v>
      </c>
      <c r="AA33" s="71">
        <v>18.53841209411621</v>
      </c>
      <c r="AB33" s="71"/>
      <c r="AC33" s="58"/>
      <c r="AD33" s="58">
        <v>1.5484483242034912</v>
      </c>
      <c r="AE33" s="58">
        <v>0.0015253906603902578</v>
      </c>
      <c r="AF33" s="58">
        <v>20.08463478088379</v>
      </c>
      <c r="AG33" s="58">
        <v>20.222076416015625</v>
      </c>
      <c r="AH33" s="58">
        <v>690.2000122070312</v>
      </c>
      <c r="AI33" s="72"/>
      <c r="AJ33" s="72"/>
      <c r="AK33" s="72"/>
      <c r="AL33" s="72"/>
      <c r="AM33" s="72"/>
      <c r="AN33" s="58">
        <v>52.36545181274414</v>
      </c>
      <c r="AO33" s="59">
        <v>50</v>
      </c>
      <c r="AP33" s="60">
        <v>25.978370666503906</v>
      </c>
      <c r="AQ33" s="61">
        <v>40.09331512451172</v>
      </c>
      <c r="AR33" s="62">
        <v>0.075958251953125</v>
      </c>
    </row>
    <row r="34" spans="2:44" ht="13.5" customHeight="1" x14ac:dyDescent="0.25">
      <c r="B34" s="15">
        <v>0.83333333333333304</v>
      </c>
      <c r="C34" s="63">
        <v>-80.48321533203125</v>
      </c>
      <c r="D34" s="63">
        <v>-80.29513549804688</v>
      </c>
      <c r="E34" s="63">
        <v>103.13584899902344</v>
      </c>
      <c r="F34" s="63">
        <v>0.08260995149612427</v>
      </c>
      <c r="G34" s="63">
        <v>9.731292811920866E-05</v>
      </c>
      <c r="H34" s="63"/>
      <c r="I34" s="63"/>
      <c r="J34" s="63"/>
      <c r="K34" s="63"/>
      <c r="L34" s="64"/>
      <c r="M34" s="73">
        <v>25.6546573638916</v>
      </c>
      <c r="N34" s="63">
        <v>46.94733810424805</v>
      </c>
      <c r="O34" s="63">
        <v>39.5</v>
      </c>
      <c r="P34" s="63">
        <v>22</v>
      </c>
      <c r="Q34" s="63">
        <v>3.426649332046509</v>
      </c>
      <c r="R34" s="63">
        <v>19.571035385131836</v>
      </c>
      <c r="S34" s="74">
        <v>94.75187683105469</v>
      </c>
      <c r="T34" s="74">
        <v>0</v>
      </c>
      <c r="U34" s="74">
        <v>0</v>
      </c>
      <c r="V34" s="74">
        <v>18.02842903137207</v>
      </c>
      <c r="W34" s="74">
        <v>50.878910064697266</v>
      </c>
      <c r="X34" s="74">
        <v>28</v>
      </c>
      <c r="Y34" s="74">
        <v>73.30096435546875</v>
      </c>
      <c r="Z34" s="74">
        <v>14.928747177124023</v>
      </c>
      <c r="AA34" s="74">
        <v>17.92534828186035</v>
      </c>
      <c r="AB34" s="74"/>
      <c r="AC34" s="67"/>
      <c r="AD34" s="67">
        <v>1.5482856035232544</v>
      </c>
      <c r="AE34" s="67">
        <v>0.0009910889202728868</v>
      </c>
      <c r="AF34" s="67">
        <v>20.12803840637207</v>
      </c>
      <c r="AG34" s="67">
        <v>21.281827926635742</v>
      </c>
      <c r="AH34" s="67"/>
      <c r="AI34" s="75"/>
      <c r="AJ34" s="75"/>
      <c r="AK34" s="75"/>
      <c r="AL34" s="75"/>
      <c r="AM34" s="75"/>
      <c r="AN34" s="67">
        <v>51.21527862548828</v>
      </c>
      <c r="AO34" s="68">
        <v>50</v>
      </c>
      <c r="AP34" s="76">
        <v>25.074146270751953</v>
      </c>
      <c r="AQ34" s="77">
        <v>41.44241714477539</v>
      </c>
      <c r="AR34" s="78">
        <v>0.09766387939453125</v>
      </c>
    </row>
    <row r="35" spans="2:44" ht="15" customHeight="1" x14ac:dyDescent="0.25">
      <c r="B35" s="136" t="s">
        <v>181</v>
      </c>
      <c r="C35" s="137" t="s">
        <v>38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7" t="s">
        <v>216</v>
      </c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9"/>
      <c r="AK35" s="143" t="s">
        <v>48</v>
      </c>
      <c r="AL35" s="141"/>
      <c r="AM35" s="170" t="s">
        <v>223</v>
      </c>
      <c r="AN35" s="171"/>
      <c r="AO35" s="43"/>
      <c r="AP35" s="43"/>
      <c r="AQ35" s="43"/>
      <c r="AR35" s="44"/>
    </row>
    <row r="36" spans="2:44" ht="20.15" customHeight="1" x14ac:dyDescent="0.25">
      <c r="B36" s="123"/>
      <c r="C36" s="117" t="s">
        <v>32</v>
      </c>
      <c r="D36" s="149"/>
      <c r="E36" s="117" t="s">
        <v>33</v>
      </c>
      <c r="F36" s="178"/>
      <c r="G36" s="149"/>
      <c r="H36" s="172" t="s">
        <v>276</v>
      </c>
      <c r="I36" s="173"/>
      <c r="J36" s="4" t="s">
        <v>27</v>
      </c>
      <c r="K36" s="4" t="s">
        <v>30</v>
      </c>
      <c r="L36" s="4" t="s">
        <v>191</v>
      </c>
      <c r="M36" s="174" t="s">
        <v>192</v>
      </c>
      <c r="N36" s="175"/>
      <c r="O36" s="4" t="s">
        <v>26</v>
      </c>
      <c r="P36" s="4" t="s">
        <v>197</v>
      </c>
      <c r="Q36" s="117" t="s">
        <v>199</v>
      </c>
      <c r="R36" s="179"/>
      <c r="S36" s="117" t="s">
        <v>202</v>
      </c>
      <c r="T36" s="179"/>
      <c r="U36" s="117" t="s">
        <v>201</v>
      </c>
      <c r="V36" s="176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1" t="s">
        <v>46</v>
      </c>
      <c r="AI36" s="177"/>
      <c r="AJ36" s="118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</v>
      </c>
      <c r="D39" s="54"/>
      <c r="E39" s="54">
        <v>54.39814758300781</v>
      </c>
      <c r="F39" s="54"/>
      <c r="G39" s="54"/>
      <c r="H39" s="54">
        <v>0</v>
      </c>
      <c r="I39" s="54"/>
      <c r="J39" s="54">
        <v>26.15017318725586</v>
      </c>
      <c r="K39" s="54">
        <v>40</v>
      </c>
      <c r="L39" s="54">
        <v>47.96006774902344</v>
      </c>
      <c r="M39" s="54">
        <v>0</v>
      </c>
      <c r="N39" s="54"/>
      <c r="O39" s="54">
        <v>27.949581146240234</v>
      </c>
      <c r="P39" s="54">
        <v>0.05000000074505806</v>
      </c>
      <c r="Q39" s="54">
        <v>0.15610532462596893</v>
      </c>
      <c r="R39" s="54"/>
      <c r="S39" s="54">
        <v>0</v>
      </c>
      <c r="T39" s="54"/>
      <c r="U39" s="71">
        <v>0</v>
      </c>
      <c r="V39" s="79"/>
      <c r="W39" s="80">
        <v>97.44646453857422</v>
      </c>
      <c r="X39" s="71">
        <v>16.087963104248047</v>
      </c>
      <c r="Y39" s="71">
        <v>30</v>
      </c>
      <c r="Z39" s="71">
        <v>78.78472900390625</v>
      </c>
      <c r="AA39" s="71">
        <v>59.771053314208984</v>
      </c>
      <c r="AB39" s="71">
        <v>86.56684112548828</v>
      </c>
      <c r="AC39" s="71">
        <v>0</v>
      </c>
      <c r="AD39" s="71">
        <v>0</v>
      </c>
      <c r="AE39" s="58">
        <v>13.798465728759766</v>
      </c>
      <c r="AF39" s="58">
        <v>17.85481834411621</v>
      </c>
      <c r="AG39" s="58"/>
      <c r="AH39" s="58">
        <v>0</v>
      </c>
      <c r="AI39" s="58">
        <v>0</v>
      </c>
      <c r="AJ39" s="58"/>
      <c r="AK39" s="58">
        <v>85.97728729248047</v>
      </c>
      <c r="AL39" s="59">
        <v>46.00405502319336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4.975795491191093E-07</v>
      </c>
      <c r="E40" s="54">
        <v>46.73755645751953</v>
      </c>
      <c r="F40" s="54"/>
      <c r="G40" s="54"/>
      <c r="H40" s="54">
        <v>0</v>
      </c>
      <c r="I40" s="54">
        <v>0</v>
      </c>
      <c r="J40" s="54">
        <v>26.032625198364258</v>
      </c>
      <c r="K40" s="54">
        <v>40</v>
      </c>
      <c r="L40" s="54">
        <v>47.16435241699219</v>
      </c>
      <c r="M40" s="54">
        <v>0</v>
      </c>
      <c r="N40" s="54">
        <v>0</v>
      </c>
      <c r="O40" s="54">
        <v>27.958621978759766</v>
      </c>
      <c r="P40" s="54">
        <v>0.05000000074505806</v>
      </c>
      <c r="Q40" s="54">
        <v>0.1605902761220932</v>
      </c>
      <c r="R40" s="54">
        <v>0.00015776061627548188</v>
      </c>
      <c r="S40" s="54">
        <v>0</v>
      </c>
      <c r="T40" s="54">
        <v>0</v>
      </c>
      <c r="U40" s="71">
        <v>0</v>
      </c>
      <c r="V40" s="79">
        <v>0</v>
      </c>
      <c r="W40" s="80">
        <v>96.47714233398438</v>
      </c>
      <c r="X40" s="71">
        <v>17.51302146911621</v>
      </c>
      <c r="Y40" s="71">
        <v>30</v>
      </c>
      <c r="Z40" s="71">
        <v>76.54948425292969</v>
      </c>
      <c r="AA40" s="71">
        <v>15.993924140930176</v>
      </c>
      <c r="AB40" s="71">
        <v>19.482421875</v>
      </c>
      <c r="AC40" s="71">
        <v>30</v>
      </c>
      <c r="AD40" s="71">
        <v>80.69445037841797</v>
      </c>
      <c r="AE40" s="58">
        <v>13.655598640441895</v>
      </c>
      <c r="AF40" s="58">
        <v>119.61263275146484</v>
      </c>
      <c r="AG40" s="58"/>
      <c r="AH40" s="58">
        <v>0</v>
      </c>
      <c r="AI40" s="58">
        <v>0</v>
      </c>
      <c r="AJ40" s="58">
        <v>0</v>
      </c>
      <c r="AK40" s="58">
        <v>85.99898529052734</v>
      </c>
      <c r="AL40" s="59">
        <v>45.674190521240234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>
        <v>0</v>
      </c>
      <c r="D41" s="54">
        <v>1.2867689292761497E-05</v>
      </c>
      <c r="E41" s="54">
        <v>34.620948791503906</v>
      </c>
      <c r="F41" s="54"/>
      <c r="G41" s="54"/>
      <c r="H41" s="54">
        <v>0</v>
      </c>
      <c r="I41" s="54">
        <v>0</v>
      </c>
      <c r="J41" s="54">
        <v>25.860820770263672</v>
      </c>
      <c r="K41" s="54">
        <v>40</v>
      </c>
      <c r="L41" s="54">
        <v>47.218605041503906</v>
      </c>
      <c r="M41" s="54">
        <v>0</v>
      </c>
      <c r="N41" s="54">
        <v>0</v>
      </c>
      <c r="O41" s="54">
        <v>27.551721572875977</v>
      </c>
      <c r="P41" s="54">
        <v>0.05000000074505806</v>
      </c>
      <c r="Q41" s="54">
        <v>0.15769675374031067</v>
      </c>
      <c r="R41" s="54">
        <v>0.0001572113105794415</v>
      </c>
      <c r="S41" s="54">
        <v>0</v>
      </c>
      <c r="T41" s="54">
        <v>0</v>
      </c>
      <c r="U41" s="71">
        <v>0</v>
      </c>
      <c r="V41" s="79">
        <v>0</v>
      </c>
      <c r="W41" s="80">
        <v>89.44227600097656</v>
      </c>
      <c r="X41" s="71">
        <v>16.033708572387695</v>
      </c>
      <c r="Y41" s="71">
        <v>20</v>
      </c>
      <c r="Z41" s="71">
        <v>49.96961975097656</v>
      </c>
      <c r="AA41" s="71">
        <v>15.706380844116211</v>
      </c>
      <c r="AB41" s="71">
        <v>19.080947875976562</v>
      </c>
      <c r="AC41" s="71">
        <v>20</v>
      </c>
      <c r="AD41" s="71">
        <v>53.03385543823242</v>
      </c>
      <c r="AE41" s="58">
        <v>21.238426208496094</v>
      </c>
      <c r="AF41" s="58">
        <v>83.66970825195312</v>
      </c>
      <c r="AG41" s="58"/>
      <c r="AH41" s="58">
        <v>0</v>
      </c>
      <c r="AI41" s="58">
        <v>0</v>
      </c>
      <c r="AJ41" s="58">
        <v>0</v>
      </c>
      <c r="AK41" s="58">
        <v>85.95919799804688</v>
      </c>
      <c r="AL41" s="59">
        <v>45.37326431274414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>
        <v>0</v>
      </c>
      <c r="D42" s="54">
        <v>2.270698587381048E-06</v>
      </c>
      <c r="E42" s="54">
        <v>51.20804214477539</v>
      </c>
      <c r="F42" s="54"/>
      <c r="G42" s="54"/>
      <c r="H42" s="54">
        <v>0</v>
      </c>
      <c r="I42" s="54">
        <v>0</v>
      </c>
      <c r="J42" s="54">
        <v>25.734230041503906</v>
      </c>
      <c r="K42" s="54">
        <v>40</v>
      </c>
      <c r="L42" s="54">
        <v>48.44834899902344</v>
      </c>
      <c r="M42" s="54">
        <v>0</v>
      </c>
      <c r="N42" s="54">
        <v>0</v>
      </c>
      <c r="O42" s="54">
        <v>27.72352409362793</v>
      </c>
      <c r="P42" s="54">
        <v>0.05000000074505806</v>
      </c>
      <c r="Q42" s="54">
        <v>0.2061631977558136</v>
      </c>
      <c r="R42" s="54">
        <v>0.0001936416665557772</v>
      </c>
      <c r="S42" s="54">
        <v>0</v>
      </c>
      <c r="T42" s="54">
        <v>0</v>
      </c>
      <c r="U42" s="71">
        <v>0</v>
      </c>
      <c r="V42" s="79">
        <v>0</v>
      </c>
      <c r="W42" s="80">
        <v>95.86949920654297</v>
      </c>
      <c r="X42" s="71">
        <v>15.107783317565918</v>
      </c>
      <c r="Y42" s="71">
        <v>20</v>
      </c>
      <c r="Z42" s="71">
        <v>49.513893127441406</v>
      </c>
      <c r="AA42" s="71">
        <v>15.592448234558105</v>
      </c>
      <c r="AB42" s="71">
        <v>19.140625</v>
      </c>
      <c r="AC42" s="71">
        <v>20</v>
      </c>
      <c r="AD42" s="71">
        <v>52.552085876464844</v>
      </c>
      <c r="AE42" s="58">
        <v>22.97092056274414</v>
      </c>
      <c r="AF42" s="58">
        <v>77.7072525024414</v>
      </c>
      <c r="AG42" s="58"/>
      <c r="AH42" s="58">
        <v>0</v>
      </c>
      <c r="AI42" s="58">
        <v>0</v>
      </c>
      <c r="AJ42" s="58">
        <v>0</v>
      </c>
      <c r="AK42" s="58">
        <v>85.98090362548828</v>
      </c>
      <c r="AL42" s="59">
        <v>45.08391571044922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>
        <v>0</v>
      </c>
      <c r="D43" s="54">
        <v>1.0819673661899287E-05</v>
      </c>
      <c r="E43" s="54">
        <v>50.651039123535156</v>
      </c>
      <c r="F43" s="54"/>
      <c r="G43" s="54"/>
      <c r="H43" s="54">
        <v>0</v>
      </c>
      <c r="I43" s="54">
        <v>0</v>
      </c>
      <c r="J43" s="54">
        <v>25.734230041503906</v>
      </c>
      <c r="K43" s="54">
        <v>40</v>
      </c>
      <c r="L43" s="54">
        <v>50.37434768676758</v>
      </c>
      <c r="M43" s="54">
        <v>0</v>
      </c>
      <c r="N43" s="54">
        <v>0</v>
      </c>
      <c r="O43" s="54">
        <v>27.83203125</v>
      </c>
      <c r="P43" s="54">
        <v>0.05000000074505806</v>
      </c>
      <c r="Q43" s="54">
        <v>0.2183159738779068</v>
      </c>
      <c r="R43" s="54">
        <v>0.00021131134417373687</v>
      </c>
      <c r="S43" s="54">
        <v>0</v>
      </c>
      <c r="T43" s="54">
        <v>0</v>
      </c>
      <c r="U43" s="71">
        <v>0</v>
      </c>
      <c r="V43" s="79">
        <v>0</v>
      </c>
      <c r="W43" s="80">
        <v>96.08651733398438</v>
      </c>
      <c r="X43" s="71">
        <v>16.42795181274414</v>
      </c>
      <c r="Y43" s="71">
        <v>20</v>
      </c>
      <c r="Z43" s="71">
        <v>49.388023376464844</v>
      </c>
      <c r="AA43" s="71">
        <v>15.98849868774414</v>
      </c>
      <c r="AB43" s="71">
        <v>19.791667938232422</v>
      </c>
      <c r="AC43" s="71">
        <v>20</v>
      </c>
      <c r="AD43" s="71">
        <v>52.317710876464844</v>
      </c>
      <c r="AE43" s="58">
        <v>23.92578125</v>
      </c>
      <c r="AF43" s="58">
        <v>74.11566925048828</v>
      </c>
      <c r="AG43" s="58"/>
      <c r="AH43" s="58">
        <v>0</v>
      </c>
      <c r="AI43" s="58">
        <v>0</v>
      </c>
      <c r="AJ43" s="58">
        <v>0</v>
      </c>
      <c r="AK43" s="58">
        <v>85.97728729248047</v>
      </c>
      <c r="AL43" s="59">
        <v>44.80902862548828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>
        <v>0</v>
      </c>
      <c r="D44" s="54">
        <v>0</v>
      </c>
      <c r="E44" s="54">
        <v>51.77227783203125</v>
      </c>
      <c r="F44" s="54"/>
      <c r="G44" s="54"/>
      <c r="H44" s="54">
        <v>0</v>
      </c>
      <c r="I44" s="54">
        <v>0</v>
      </c>
      <c r="J44" s="54">
        <v>25.725187301635742</v>
      </c>
      <c r="K44" s="54">
        <v>40</v>
      </c>
      <c r="L44" s="54">
        <v>50.75412368774414</v>
      </c>
      <c r="M44" s="54">
        <v>0</v>
      </c>
      <c r="N44" s="54">
        <v>0</v>
      </c>
      <c r="O44" s="54">
        <v>28.04904556274414</v>
      </c>
      <c r="P44" s="54">
        <v>0.05000000074505806</v>
      </c>
      <c r="Q44" s="54">
        <v>0.2092013955116272</v>
      </c>
      <c r="R44" s="54">
        <v>0.00020935821521561593</v>
      </c>
      <c r="S44" s="54">
        <v>0</v>
      </c>
      <c r="T44" s="54">
        <v>0</v>
      </c>
      <c r="U44" s="71">
        <v>0</v>
      </c>
      <c r="V44" s="79">
        <v>0</v>
      </c>
      <c r="W44" s="80">
        <v>95.2618637084961</v>
      </c>
      <c r="X44" s="71">
        <v>16.84027671813965</v>
      </c>
      <c r="Y44" s="71">
        <v>15</v>
      </c>
      <c r="Z44" s="71">
        <v>36.62326431274414</v>
      </c>
      <c r="AA44" s="71">
        <v>16.786026000976562</v>
      </c>
      <c r="AB44" s="71">
        <v>20.14974021911621</v>
      </c>
      <c r="AC44" s="71">
        <v>15</v>
      </c>
      <c r="AD44" s="71">
        <v>39.058162689208984</v>
      </c>
      <c r="AE44" s="58">
        <v>51.13751220703125</v>
      </c>
      <c r="AF44" s="58">
        <v>93.32682800292969</v>
      </c>
      <c r="AG44" s="58"/>
      <c r="AH44" s="58">
        <v>0</v>
      </c>
      <c r="AI44" s="58">
        <v>0</v>
      </c>
      <c r="AJ44" s="58">
        <v>0</v>
      </c>
      <c r="AK44" s="58">
        <v>85.99175262451172</v>
      </c>
      <c r="AL44" s="59">
        <v>44.55729293823242</v>
      </c>
      <c r="AM44" s="81">
        <v>0.07000000029802322</v>
      </c>
      <c r="AN44" s="72">
        <v>0.07000000029802322</v>
      </c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>
        <v>0</v>
      </c>
      <c r="D45" s="54">
        <v>2.004122688958887E-05</v>
      </c>
      <c r="E45" s="54">
        <v>47.00520706176758</v>
      </c>
      <c r="F45" s="54"/>
      <c r="G45" s="54"/>
      <c r="H45" s="54">
        <v>0</v>
      </c>
      <c r="I45" s="54">
        <v>0</v>
      </c>
      <c r="J45" s="54">
        <v>25.788484573364258</v>
      </c>
      <c r="K45" s="54">
        <v>40</v>
      </c>
      <c r="L45" s="54">
        <v>49.97649002075195</v>
      </c>
      <c r="M45" s="54">
        <v>0</v>
      </c>
      <c r="N45" s="54">
        <v>0</v>
      </c>
      <c r="O45" s="54">
        <v>28.112340927124023</v>
      </c>
      <c r="P45" s="54">
        <v>0.05000000074505806</v>
      </c>
      <c r="Q45" s="54">
        <v>0.2092013955116272</v>
      </c>
      <c r="R45" s="54">
        <v>0.00020832824520766735</v>
      </c>
      <c r="S45" s="54">
        <v>0</v>
      </c>
      <c r="T45" s="54">
        <v>0</v>
      </c>
      <c r="U45" s="71">
        <v>0</v>
      </c>
      <c r="V45" s="79">
        <v>0</v>
      </c>
      <c r="W45" s="80">
        <v>94.9508056640625</v>
      </c>
      <c r="X45" s="71">
        <v>16.250722885131836</v>
      </c>
      <c r="Y45" s="71">
        <v>25</v>
      </c>
      <c r="Z45" s="71">
        <v>61.51041793823242</v>
      </c>
      <c r="AA45" s="71">
        <v>16.422527313232422</v>
      </c>
      <c r="AB45" s="71">
        <v>81.33138275146484</v>
      </c>
      <c r="AC45" s="71">
        <v>20</v>
      </c>
      <c r="AD45" s="71">
        <v>51.5538215637207</v>
      </c>
      <c r="AE45" s="58">
        <v>16.979528427124023</v>
      </c>
      <c r="AF45" s="58">
        <v>20.04123306274414</v>
      </c>
      <c r="AG45" s="58"/>
      <c r="AH45" s="58">
        <v>0</v>
      </c>
      <c r="AI45" s="58">
        <v>0</v>
      </c>
      <c r="AJ45" s="58">
        <v>0</v>
      </c>
      <c r="AK45" s="58">
        <v>85.99175262451172</v>
      </c>
      <c r="AL45" s="59">
        <v>44.22454071044922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>
        <v>0</v>
      </c>
      <c r="D46" s="54">
        <v>1.182603864435805E-05</v>
      </c>
      <c r="E46" s="54">
        <v>51.3093147277832</v>
      </c>
      <c r="F46" s="54"/>
      <c r="G46" s="54"/>
      <c r="H46" s="54">
        <v>0</v>
      </c>
      <c r="I46" s="54">
        <v>0</v>
      </c>
      <c r="J46" s="54">
        <v>25.779441833496094</v>
      </c>
      <c r="K46" s="54">
        <v>40</v>
      </c>
      <c r="L46" s="54">
        <v>48.85525131225586</v>
      </c>
      <c r="M46" s="54">
        <v>0</v>
      </c>
      <c r="N46" s="54">
        <v>0</v>
      </c>
      <c r="O46" s="54">
        <v>28.003833770751953</v>
      </c>
      <c r="P46" s="54">
        <v>0.05000000074505806</v>
      </c>
      <c r="Q46" s="54">
        <v>0.2137586772441864</v>
      </c>
      <c r="R46" s="54">
        <v>0.00020959472749382257</v>
      </c>
      <c r="S46" s="54">
        <v>0</v>
      </c>
      <c r="T46" s="54">
        <v>0</v>
      </c>
      <c r="U46" s="71">
        <v>0</v>
      </c>
      <c r="V46" s="79">
        <v>0</v>
      </c>
      <c r="W46" s="80">
        <v>95.01591491699219</v>
      </c>
      <c r="X46" s="71">
        <v>17.722801208496094</v>
      </c>
      <c r="Y46" s="71">
        <v>15</v>
      </c>
      <c r="Z46" s="71">
        <v>36.35416793823242</v>
      </c>
      <c r="AA46" s="71">
        <v>18.19661521911621</v>
      </c>
      <c r="AB46" s="71">
        <v>69.10265350341797</v>
      </c>
      <c r="AC46" s="71">
        <v>10</v>
      </c>
      <c r="AD46" s="71">
        <v>24.986980438232422</v>
      </c>
      <c r="AE46" s="58">
        <v>15.8203125</v>
      </c>
      <c r="AF46" s="58">
        <v>18.52756118774414</v>
      </c>
      <c r="AG46" s="58"/>
      <c r="AH46" s="58">
        <v>0</v>
      </c>
      <c r="AI46" s="58">
        <v>0</v>
      </c>
      <c r="AJ46" s="58">
        <v>0</v>
      </c>
      <c r="AK46" s="58">
        <v>85.9664306640625</v>
      </c>
      <c r="AL46" s="59">
        <v>43.94965362548828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>
        <v>0</v>
      </c>
      <c r="D47" s="54">
        <v>7.603645372000756E-06</v>
      </c>
      <c r="E47" s="54">
        <v>47.16435241699219</v>
      </c>
      <c r="F47" s="54"/>
      <c r="G47" s="54"/>
      <c r="H47" s="54">
        <v>0</v>
      </c>
      <c r="I47" s="54">
        <v>0</v>
      </c>
      <c r="J47" s="54">
        <v>25.79752540588379</v>
      </c>
      <c r="K47" s="54">
        <v>40</v>
      </c>
      <c r="L47" s="54">
        <v>47.89677429199219</v>
      </c>
      <c r="M47" s="54">
        <v>0</v>
      </c>
      <c r="N47" s="54">
        <v>0</v>
      </c>
      <c r="O47" s="54">
        <v>27.99479103088379</v>
      </c>
      <c r="P47" s="54">
        <v>0.05000000074505806</v>
      </c>
      <c r="Q47" s="54">
        <v>0.20478877425193787</v>
      </c>
      <c r="R47" s="54">
        <v>0.00020775604934897274</v>
      </c>
      <c r="S47" s="54">
        <v>0</v>
      </c>
      <c r="T47" s="54">
        <v>0</v>
      </c>
      <c r="U47" s="71">
        <v>0</v>
      </c>
      <c r="V47" s="79">
        <v>0</v>
      </c>
      <c r="W47" s="80">
        <v>89.35546875</v>
      </c>
      <c r="X47" s="71">
        <v>17.58897590637207</v>
      </c>
      <c r="Y47" s="71">
        <v>28.5</v>
      </c>
      <c r="Z47" s="71">
        <v>68.93663787841797</v>
      </c>
      <c r="AA47" s="71">
        <v>18.76085090637207</v>
      </c>
      <c r="AB47" s="71">
        <v>61.46918869018555</v>
      </c>
      <c r="AC47" s="71">
        <v>33</v>
      </c>
      <c r="AD47" s="71">
        <v>85.91580200195312</v>
      </c>
      <c r="AE47" s="58">
        <v>15.56532096862793</v>
      </c>
      <c r="AF47" s="58">
        <v>18.22374153137207</v>
      </c>
      <c r="AG47" s="58"/>
      <c r="AH47" s="58">
        <v>0</v>
      </c>
      <c r="AI47" s="58">
        <v>0</v>
      </c>
      <c r="AJ47" s="58">
        <v>0</v>
      </c>
      <c r="AK47" s="58">
        <v>85.9664306640625</v>
      </c>
      <c r="AL47" s="59">
        <v>43.69791793823242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>
        <v>0</v>
      </c>
      <c r="D48" s="54">
        <v>6.583929007319966E-06</v>
      </c>
      <c r="E48" s="54">
        <v>43.04108810424805</v>
      </c>
      <c r="F48" s="54"/>
      <c r="G48" s="54"/>
      <c r="H48" s="54">
        <v>0</v>
      </c>
      <c r="I48" s="54">
        <v>0</v>
      </c>
      <c r="J48" s="54">
        <v>25.815610885620117</v>
      </c>
      <c r="K48" s="54">
        <v>40</v>
      </c>
      <c r="L48" s="54">
        <v>47.90581512451172</v>
      </c>
      <c r="M48" s="54">
        <v>0</v>
      </c>
      <c r="N48" s="54">
        <v>0</v>
      </c>
      <c r="O48" s="54">
        <v>27.958621978759766</v>
      </c>
      <c r="P48" s="54">
        <v>0.05000000074505806</v>
      </c>
      <c r="Q48" s="54">
        <v>0.2100694477558136</v>
      </c>
      <c r="R48" s="54">
        <v>0.00020899200171697885</v>
      </c>
      <c r="S48" s="54">
        <v>0</v>
      </c>
      <c r="T48" s="54">
        <v>0</v>
      </c>
      <c r="U48" s="71">
        <v>0</v>
      </c>
      <c r="V48" s="79">
        <v>0</v>
      </c>
      <c r="W48" s="80">
        <v>90.6069107055664</v>
      </c>
      <c r="X48" s="71">
        <v>18.106191635131836</v>
      </c>
      <c r="Y48" s="71">
        <v>25</v>
      </c>
      <c r="Z48" s="71">
        <v>60.720489501953125</v>
      </c>
      <c r="AA48" s="71">
        <v>18.48958396911621</v>
      </c>
      <c r="AB48" s="71">
        <v>56.85221481323242</v>
      </c>
      <c r="AC48" s="71">
        <v>15</v>
      </c>
      <c r="AD48" s="71">
        <v>37.68229293823242</v>
      </c>
      <c r="AE48" s="58">
        <v>15.377242088317871</v>
      </c>
      <c r="AF48" s="58">
        <v>18.05013084411621</v>
      </c>
      <c r="AG48" s="58"/>
      <c r="AH48" s="58">
        <v>0</v>
      </c>
      <c r="AI48" s="58">
        <v>0</v>
      </c>
      <c r="AJ48" s="58">
        <v>0</v>
      </c>
      <c r="AK48" s="58">
        <v>85.95919799804688</v>
      </c>
      <c r="AL48" s="59">
        <v>43.454864501953125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>
        <v>0</v>
      </c>
      <c r="D49" s="54">
        <v>0</v>
      </c>
      <c r="E49" s="54">
        <v>44.76272964477539</v>
      </c>
      <c r="F49" s="54"/>
      <c r="G49" s="54"/>
      <c r="H49" s="54">
        <v>0</v>
      </c>
      <c r="I49" s="54">
        <v>0</v>
      </c>
      <c r="J49" s="54">
        <v>25.79752540588379</v>
      </c>
      <c r="K49" s="54">
        <v>40</v>
      </c>
      <c r="L49" s="54">
        <v>47.83347702026367</v>
      </c>
      <c r="M49" s="54">
        <v>0</v>
      </c>
      <c r="N49" s="54">
        <v>0</v>
      </c>
      <c r="O49" s="54">
        <v>27.976707458496094</v>
      </c>
      <c r="P49" s="54">
        <v>0.05000000074505806</v>
      </c>
      <c r="Q49" s="54">
        <v>0.20558449625968933</v>
      </c>
      <c r="R49" s="54">
        <v>0.00020912170293740928</v>
      </c>
      <c r="S49" s="54">
        <v>0</v>
      </c>
      <c r="T49" s="54">
        <v>0</v>
      </c>
      <c r="U49" s="71">
        <v>0</v>
      </c>
      <c r="V49" s="79">
        <v>0</v>
      </c>
      <c r="W49" s="80">
        <v>91.75708770751953</v>
      </c>
      <c r="X49" s="71">
        <v>18.93446159362793</v>
      </c>
      <c r="Y49" s="71">
        <v>10</v>
      </c>
      <c r="Z49" s="71">
        <v>22.33506965637207</v>
      </c>
      <c r="AA49" s="71">
        <v>18.07183265686035</v>
      </c>
      <c r="AB49" s="71">
        <v>53.841148376464844</v>
      </c>
      <c r="AC49" s="71">
        <v>10</v>
      </c>
      <c r="AD49" s="71">
        <v>24.782987594604492</v>
      </c>
      <c r="AE49" s="58">
        <v>15.257884979248047</v>
      </c>
      <c r="AF49" s="58">
        <v>18.033855438232422</v>
      </c>
      <c r="AG49" s="58"/>
      <c r="AH49" s="58">
        <v>0</v>
      </c>
      <c r="AI49" s="58">
        <v>0</v>
      </c>
      <c r="AJ49" s="58">
        <v>0</v>
      </c>
      <c r="AK49" s="58">
        <v>85.94834899902344</v>
      </c>
      <c r="AL49" s="59">
        <v>43.200233459472656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>
        <v>0</v>
      </c>
      <c r="D50" s="54">
        <v>1.257801068277331E-05</v>
      </c>
      <c r="E50" s="54">
        <v>45.298030853271484</v>
      </c>
      <c r="F50" s="54"/>
      <c r="G50" s="54"/>
      <c r="H50" s="54">
        <v>0</v>
      </c>
      <c r="I50" s="54">
        <v>0</v>
      </c>
      <c r="J50" s="54">
        <v>25.734230041503906</v>
      </c>
      <c r="K50" s="54">
        <v>40</v>
      </c>
      <c r="L50" s="54">
        <v>49.35257339477539</v>
      </c>
      <c r="M50" s="54">
        <v>0</v>
      </c>
      <c r="N50" s="54">
        <v>0</v>
      </c>
      <c r="O50" s="54">
        <v>27.768735885620117</v>
      </c>
      <c r="P50" s="54">
        <v>0.05000000074505806</v>
      </c>
      <c r="Q50" s="54">
        <v>0.10062211006879807</v>
      </c>
      <c r="R50" s="54">
        <v>0.00013516235048882663</v>
      </c>
      <c r="S50" s="54">
        <v>0</v>
      </c>
      <c r="T50" s="54">
        <v>0</v>
      </c>
      <c r="U50" s="71">
        <v>0</v>
      </c>
      <c r="V50" s="79">
        <v>0</v>
      </c>
      <c r="W50" s="80">
        <v>91.13497924804688</v>
      </c>
      <c r="X50" s="71">
        <v>17.2562198638916</v>
      </c>
      <c r="Y50" s="71">
        <v>30</v>
      </c>
      <c r="Z50" s="71">
        <v>71.88802337646484</v>
      </c>
      <c r="AA50" s="71">
        <v>17.936199188232422</v>
      </c>
      <c r="AB50" s="71">
        <v>52.18641662597656</v>
      </c>
      <c r="AC50" s="71">
        <v>30</v>
      </c>
      <c r="AD50" s="71">
        <v>77.3263931274414</v>
      </c>
      <c r="AE50" s="58">
        <v>15.442346572875977</v>
      </c>
      <c r="AF50" s="58">
        <v>18.53841209411621</v>
      </c>
      <c r="AG50" s="58"/>
      <c r="AH50" s="58">
        <v>0</v>
      </c>
      <c r="AI50" s="58">
        <v>0</v>
      </c>
      <c r="AJ50" s="58">
        <v>0</v>
      </c>
      <c r="AK50" s="58">
        <v>85.93388366699219</v>
      </c>
      <c r="AL50" s="59">
        <v>42.89641571044922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>
        <v>0</v>
      </c>
      <c r="D51" s="63">
        <v>9.602069440006744E-06</v>
      </c>
      <c r="E51" s="63">
        <v>43.48958206176758</v>
      </c>
      <c r="F51" s="63"/>
      <c r="G51" s="63"/>
      <c r="H51" s="63">
        <v>0</v>
      </c>
      <c r="I51" s="63">
        <v>0</v>
      </c>
      <c r="J51" s="63">
        <v>25.68901824951172</v>
      </c>
      <c r="K51" s="63">
        <v>40</v>
      </c>
      <c r="L51" s="63">
        <v>50.383392333984375</v>
      </c>
      <c r="M51" s="63">
        <v>0</v>
      </c>
      <c r="N51" s="63">
        <v>0</v>
      </c>
      <c r="O51" s="63">
        <v>27.605974197387695</v>
      </c>
      <c r="P51" s="63">
        <v>0.05000000074505806</v>
      </c>
      <c r="Q51" s="63">
        <v>0.15154802799224854</v>
      </c>
      <c r="R51" s="63">
        <v>0.00015114594134502113</v>
      </c>
      <c r="S51" s="63">
        <v>0</v>
      </c>
      <c r="T51" s="63">
        <v>0</v>
      </c>
      <c r="U51" s="74">
        <v>0</v>
      </c>
      <c r="V51" s="82">
        <v>0</v>
      </c>
      <c r="W51" s="83">
        <v>96.72309112548828</v>
      </c>
      <c r="X51" s="74">
        <v>17.03558921813965</v>
      </c>
      <c r="Y51" s="74">
        <v>30</v>
      </c>
      <c r="Z51" s="74">
        <v>0</v>
      </c>
      <c r="AA51" s="74">
        <v>18.02842903137207</v>
      </c>
      <c r="AB51" s="74">
        <v>50.878910064697266</v>
      </c>
      <c r="AC51" s="74">
        <v>50</v>
      </c>
      <c r="AD51" s="74">
        <v>123.79341125488281</v>
      </c>
      <c r="AE51" s="67">
        <v>14.928747177124023</v>
      </c>
      <c r="AF51" s="67">
        <v>17.92534828186035</v>
      </c>
      <c r="AG51" s="67">
        <v>223.10000610351562</v>
      </c>
      <c r="AH51" s="67">
        <v>0</v>
      </c>
      <c r="AI51" s="67">
        <v>0</v>
      </c>
      <c r="AJ51" s="67">
        <v>0</v>
      </c>
      <c r="AK51" s="67">
        <v>71.08651733398438</v>
      </c>
      <c r="AL51" s="68">
        <v>43.47511672973633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7" t="s">
        <v>372</v>
      </c>
      <c r="C52" s="148"/>
      <c r="D52" s="9" t="s">
        <v>19</v>
      </c>
      <c r="E52" s="124" t="s">
        <v>20</v>
      </c>
      <c r="F52" s="127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9"/>
      <c r="AQ52" s="129"/>
      <c r="AR52" s="130"/>
    </row>
    <row r="53" spans="2:44" ht="13.5" customHeight="1" x14ac:dyDescent="0.25">
      <c r="B53" s="123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31"/>
      <c r="AP53" s="131"/>
      <c r="AQ53" s="131"/>
      <c r="AR53" s="132"/>
    </row>
    <row r="54" spans="2:44" ht="13.5" customHeight="1" thickBot="1" x14ac:dyDescent="0.3">
      <c r="B54" s="13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33"/>
      <c r="AP54" s="133"/>
      <c r="AQ54" s="133"/>
      <c r="AR54" s="134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0" t="s">
        <v>230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</row>
    <row r="2" spans="2:58" ht="13" customHeight="1" x14ac:dyDescent="0.25">
      <c r="B2" s="197" t="s">
        <v>232</v>
      </c>
      <c r="C2" s="160"/>
      <c r="D2" s="160"/>
      <c r="E2" s="160"/>
      <c r="F2" s="160"/>
      <c r="G2" s="160"/>
      <c r="H2" s="160"/>
      <c r="I2" s="160"/>
      <c r="J2" s="160"/>
      <c r="K2" s="160"/>
      <c r="L2" s="165"/>
      <c r="M2" s="198" t="s">
        <v>231</v>
      </c>
      <c r="N2" s="160"/>
      <c r="O2" s="160"/>
      <c r="P2" s="160"/>
      <c r="Q2" s="160"/>
      <c r="R2" s="160"/>
      <c r="S2" s="160"/>
      <c r="T2" s="160"/>
      <c r="U2" s="160"/>
      <c r="V2" s="160"/>
      <c r="W2" s="165"/>
      <c r="X2" s="110" t="s">
        <v>233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5"/>
      <c r="AI2" s="198" t="s">
        <v>234</v>
      </c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5"/>
      <c r="AU2" s="110" t="s">
        <v>235</v>
      </c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99"/>
    </row>
    <row r="3" spans="2:58" ht="13" customHeight="1" x14ac:dyDescent="0.25">
      <c r="B3" s="201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204"/>
      <c r="N3" s="185"/>
      <c r="O3" s="185"/>
      <c r="P3" s="185"/>
      <c r="Q3" s="185"/>
      <c r="R3" s="185"/>
      <c r="S3" s="185"/>
      <c r="T3" s="185"/>
      <c r="U3" s="185"/>
      <c r="V3" s="185"/>
      <c r="W3" s="186"/>
      <c r="X3" s="192"/>
      <c r="Y3" s="185"/>
      <c r="Z3" s="185"/>
      <c r="AA3" s="185"/>
      <c r="AB3" s="185"/>
      <c r="AC3" s="185"/>
      <c r="AD3" s="185"/>
      <c r="AE3" s="185"/>
      <c r="AF3" s="185"/>
      <c r="AG3" s="185"/>
      <c r="AH3" s="186"/>
      <c r="AI3" s="214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6"/>
      <c r="AU3" s="192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94"/>
    </row>
    <row r="4" spans="2:58" ht="13" customHeight="1" x14ac:dyDescent="0.25">
      <c r="B4" s="202"/>
      <c r="C4" s="188"/>
      <c r="D4" s="188"/>
      <c r="E4" s="188"/>
      <c r="F4" s="188"/>
      <c r="G4" s="188"/>
      <c r="H4" s="188"/>
      <c r="I4" s="188"/>
      <c r="J4" s="188"/>
      <c r="K4" s="188"/>
      <c r="L4" s="189"/>
      <c r="M4" s="187"/>
      <c r="N4" s="188"/>
      <c r="O4" s="188"/>
      <c r="P4" s="188"/>
      <c r="Q4" s="188"/>
      <c r="R4" s="188"/>
      <c r="S4" s="188"/>
      <c r="T4" s="188"/>
      <c r="U4" s="188"/>
      <c r="V4" s="188"/>
      <c r="W4" s="189"/>
      <c r="X4" s="187"/>
      <c r="Y4" s="188"/>
      <c r="Z4" s="188"/>
      <c r="AA4" s="188"/>
      <c r="AB4" s="188"/>
      <c r="AC4" s="188"/>
      <c r="AD4" s="188"/>
      <c r="AE4" s="188"/>
      <c r="AF4" s="188"/>
      <c r="AG4" s="188"/>
      <c r="AH4" s="189"/>
      <c r="AI4" s="187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9"/>
      <c r="AU4" s="187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95"/>
    </row>
    <row r="5" spans="2:58" ht="13" customHeight="1" x14ac:dyDescent="0.25">
      <c r="B5" s="202"/>
      <c r="C5" s="188"/>
      <c r="D5" s="188"/>
      <c r="E5" s="188"/>
      <c r="F5" s="188"/>
      <c r="G5" s="188"/>
      <c r="H5" s="188"/>
      <c r="I5" s="188"/>
      <c r="J5" s="188"/>
      <c r="K5" s="188"/>
      <c r="L5" s="189"/>
      <c r="M5" s="187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87"/>
      <c r="Y5" s="188"/>
      <c r="Z5" s="188"/>
      <c r="AA5" s="188"/>
      <c r="AB5" s="188"/>
      <c r="AC5" s="188"/>
      <c r="AD5" s="188"/>
      <c r="AE5" s="188"/>
      <c r="AF5" s="188"/>
      <c r="AG5" s="188"/>
      <c r="AH5" s="189"/>
      <c r="AI5" s="187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9"/>
      <c r="AU5" s="187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95"/>
    </row>
    <row r="6" spans="2:58" ht="13" customHeight="1" x14ac:dyDescent="0.25">
      <c r="B6" s="202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87"/>
      <c r="N6" s="188"/>
      <c r="O6" s="188"/>
      <c r="P6" s="188"/>
      <c r="Q6" s="188"/>
      <c r="R6" s="188"/>
      <c r="S6" s="188"/>
      <c r="T6" s="188"/>
      <c r="U6" s="188"/>
      <c r="V6" s="188"/>
      <c r="W6" s="189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87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187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95"/>
    </row>
    <row r="7" spans="2:58" ht="13" customHeight="1" x14ac:dyDescent="0.25">
      <c r="B7" s="202"/>
      <c r="C7" s="188"/>
      <c r="D7" s="188"/>
      <c r="E7" s="188"/>
      <c r="F7" s="188"/>
      <c r="G7" s="188"/>
      <c r="H7" s="188"/>
      <c r="I7" s="188"/>
      <c r="J7" s="188"/>
      <c r="K7" s="188"/>
      <c r="L7" s="189"/>
      <c r="M7" s="187"/>
      <c r="N7" s="188"/>
      <c r="O7" s="188"/>
      <c r="P7" s="188"/>
      <c r="Q7" s="188"/>
      <c r="R7" s="188"/>
      <c r="S7" s="188"/>
      <c r="T7" s="188"/>
      <c r="U7" s="188"/>
      <c r="V7" s="188"/>
      <c r="W7" s="189"/>
      <c r="X7" s="187"/>
      <c r="Y7" s="188"/>
      <c r="Z7" s="188"/>
      <c r="AA7" s="188"/>
      <c r="AB7" s="188"/>
      <c r="AC7" s="188"/>
      <c r="AD7" s="188"/>
      <c r="AE7" s="188"/>
      <c r="AF7" s="188"/>
      <c r="AG7" s="188"/>
      <c r="AH7" s="189"/>
      <c r="AI7" s="187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9"/>
      <c r="AU7" s="187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95"/>
    </row>
    <row r="8" spans="2:58" ht="13" customHeight="1" x14ac:dyDescent="0.25">
      <c r="B8" s="202"/>
      <c r="C8" s="188"/>
      <c r="D8" s="188"/>
      <c r="E8" s="188"/>
      <c r="F8" s="188"/>
      <c r="G8" s="188"/>
      <c r="H8" s="188"/>
      <c r="I8" s="188"/>
      <c r="J8" s="188"/>
      <c r="K8" s="188"/>
      <c r="L8" s="189"/>
      <c r="M8" s="187"/>
      <c r="N8" s="188"/>
      <c r="O8" s="188"/>
      <c r="P8" s="188"/>
      <c r="Q8" s="188"/>
      <c r="R8" s="188"/>
      <c r="S8" s="188"/>
      <c r="T8" s="188"/>
      <c r="U8" s="188"/>
      <c r="V8" s="188"/>
      <c r="W8" s="189"/>
      <c r="X8" s="187"/>
      <c r="Y8" s="188"/>
      <c r="Z8" s="188"/>
      <c r="AA8" s="188"/>
      <c r="AB8" s="188"/>
      <c r="AC8" s="188"/>
      <c r="AD8" s="188"/>
      <c r="AE8" s="188"/>
      <c r="AF8" s="188"/>
      <c r="AG8" s="188"/>
      <c r="AH8" s="189"/>
      <c r="AI8" s="187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9"/>
      <c r="AU8" s="187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95"/>
    </row>
    <row r="9" spans="2:58" ht="13" customHeight="1" x14ac:dyDescent="0.25">
      <c r="B9" s="203"/>
      <c r="C9" s="191"/>
      <c r="D9" s="191"/>
      <c r="E9" s="191"/>
      <c r="F9" s="191"/>
      <c r="G9" s="191"/>
      <c r="H9" s="191"/>
      <c r="I9" s="191"/>
      <c r="J9" s="191"/>
      <c r="K9" s="191"/>
      <c r="L9" s="148"/>
      <c r="M9" s="190"/>
      <c r="N9" s="191"/>
      <c r="O9" s="191"/>
      <c r="P9" s="191"/>
      <c r="Q9" s="191"/>
      <c r="R9" s="191"/>
      <c r="S9" s="191"/>
      <c r="T9" s="191"/>
      <c r="U9" s="191"/>
      <c r="V9" s="191"/>
      <c r="W9" s="148"/>
      <c r="X9" s="190"/>
      <c r="Y9" s="191"/>
      <c r="Z9" s="191"/>
      <c r="AA9" s="191"/>
      <c r="AB9" s="191"/>
      <c r="AC9" s="191"/>
      <c r="AD9" s="191"/>
      <c r="AE9" s="191"/>
      <c r="AF9" s="191"/>
      <c r="AG9" s="191"/>
      <c r="AH9" s="148"/>
      <c r="AI9" s="190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48"/>
      <c r="AU9" s="190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6"/>
    </row>
    <row r="10" spans="2:58" ht="13" customHeight="1" x14ac:dyDescent="0.25">
      <c r="B10" s="180" t="s">
        <v>236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49"/>
      <c r="M10" s="200" t="s">
        <v>237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49"/>
      <c r="X10" s="155" t="s">
        <v>238</v>
      </c>
      <c r="Y10" s="178"/>
      <c r="Z10" s="178"/>
      <c r="AA10" s="178"/>
      <c r="AB10" s="178"/>
      <c r="AC10" s="178"/>
      <c r="AD10" s="178"/>
      <c r="AE10" s="178"/>
      <c r="AF10" s="178"/>
      <c r="AG10" s="178"/>
      <c r="AH10" s="149"/>
      <c r="AI10" s="155" t="s">
        <v>239</v>
      </c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49"/>
      <c r="AU10" s="131" t="s">
        <v>240</v>
      </c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82"/>
    </row>
    <row r="11" spans="2:58" ht="13" customHeight="1" x14ac:dyDescent="0.25">
      <c r="B11" s="201"/>
      <c r="C11" s="185"/>
      <c r="D11" s="185"/>
      <c r="E11" s="185"/>
      <c r="F11" s="185"/>
      <c r="G11" s="185"/>
      <c r="H11" s="185"/>
      <c r="I11" s="185"/>
      <c r="J11" s="185"/>
      <c r="K11" s="185"/>
      <c r="L11" s="186"/>
      <c r="M11" s="204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04"/>
      <c r="Y11" s="185"/>
      <c r="Z11" s="185"/>
      <c r="AA11" s="185"/>
      <c r="AB11" s="185"/>
      <c r="AC11" s="185"/>
      <c r="AD11" s="185"/>
      <c r="AE11" s="185"/>
      <c r="AF11" s="185"/>
      <c r="AG11" s="185"/>
      <c r="AH11" s="186"/>
      <c r="AI11" s="204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6"/>
      <c r="AU11" s="193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94"/>
    </row>
    <row r="12" spans="2:58" ht="13" customHeight="1" x14ac:dyDescent="0.25">
      <c r="B12" s="202"/>
      <c r="C12" s="188"/>
      <c r="D12" s="188"/>
      <c r="E12" s="188"/>
      <c r="F12" s="188"/>
      <c r="G12" s="188"/>
      <c r="H12" s="188"/>
      <c r="I12" s="188"/>
      <c r="J12" s="188"/>
      <c r="K12" s="188"/>
      <c r="L12" s="189"/>
      <c r="M12" s="187"/>
      <c r="N12" s="188"/>
      <c r="O12" s="188"/>
      <c r="P12" s="188"/>
      <c r="Q12" s="188"/>
      <c r="R12" s="188"/>
      <c r="S12" s="188"/>
      <c r="T12" s="188"/>
      <c r="U12" s="188"/>
      <c r="V12" s="188"/>
      <c r="W12" s="189"/>
      <c r="X12" s="187"/>
      <c r="Y12" s="188"/>
      <c r="Z12" s="188"/>
      <c r="AA12" s="188"/>
      <c r="AB12" s="188"/>
      <c r="AC12" s="188"/>
      <c r="AD12" s="188"/>
      <c r="AE12" s="188"/>
      <c r="AF12" s="188"/>
      <c r="AG12" s="188"/>
      <c r="AH12" s="189"/>
      <c r="AI12" s="187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9"/>
      <c r="AU12" s="187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95"/>
    </row>
    <row r="13" spans="2:58" ht="13" customHeight="1" x14ac:dyDescent="0.25">
      <c r="B13" s="202"/>
      <c r="C13" s="188"/>
      <c r="D13" s="188"/>
      <c r="E13" s="188"/>
      <c r="F13" s="188"/>
      <c r="G13" s="188"/>
      <c r="H13" s="188"/>
      <c r="I13" s="188"/>
      <c r="J13" s="188"/>
      <c r="K13" s="188"/>
      <c r="L13" s="189"/>
      <c r="M13" s="187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87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  <c r="AI13" s="187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9"/>
      <c r="AU13" s="187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95"/>
    </row>
    <row r="14" spans="2:58" ht="13" customHeight="1" x14ac:dyDescent="0.25">
      <c r="B14" s="202"/>
      <c r="C14" s="188"/>
      <c r="D14" s="188"/>
      <c r="E14" s="188"/>
      <c r="F14" s="188"/>
      <c r="G14" s="188"/>
      <c r="H14" s="188"/>
      <c r="I14" s="188"/>
      <c r="J14" s="188"/>
      <c r="K14" s="188"/>
      <c r="L14" s="189"/>
      <c r="M14" s="187"/>
      <c r="N14" s="188"/>
      <c r="O14" s="188"/>
      <c r="P14" s="188"/>
      <c r="Q14" s="188"/>
      <c r="R14" s="188"/>
      <c r="S14" s="188"/>
      <c r="T14" s="188"/>
      <c r="U14" s="188"/>
      <c r="V14" s="188"/>
      <c r="W14" s="189"/>
      <c r="X14" s="187"/>
      <c r="Y14" s="188"/>
      <c r="Z14" s="188"/>
      <c r="AA14" s="188"/>
      <c r="AB14" s="188"/>
      <c r="AC14" s="188"/>
      <c r="AD14" s="188"/>
      <c r="AE14" s="188"/>
      <c r="AF14" s="188"/>
      <c r="AG14" s="188"/>
      <c r="AH14" s="189"/>
      <c r="AI14" s="187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9"/>
      <c r="AU14" s="187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95"/>
    </row>
    <row r="15" spans="2:58" ht="13" customHeight="1" x14ac:dyDescent="0.25">
      <c r="B15" s="202"/>
      <c r="C15" s="188"/>
      <c r="D15" s="188"/>
      <c r="E15" s="188"/>
      <c r="F15" s="188"/>
      <c r="G15" s="188"/>
      <c r="H15" s="188"/>
      <c r="I15" s="188"/>
      <c r="J15" s="188"/>
      <c r="K15" s="188"/>
      <c r="L15" s="189"/>
      <c r="M15" s="187"/>
      <c r="N15" s="188"/>
      <c r="O15" s="188"/>
      <c r="P15" s="188"/>
      <c r="Q15" s="188"/>
      <c r="R15" s="188"/>
      <c r="S15" s="188"/>
      <c r="T15" s="188"/>
      <c r="U15" s="188"/>
      <c r="V15" s="188"/>
      <c r="W15" s="189"/>
      <c r="X15" s="187"/>
      <c r="Y15" s="188"/>
      <c r="Z15" s="188"/>
      <c r="AA15" s="188"/>
      <c r="AB15" s="188"/>
      <c r="AC15" s="188"/>
      <c r="AD15" s="188"/>
      <c r="AE15" s="188"/>
      <c r="AF15" s="188"/>
      <c r="AG15" s="188"/>
      <c r="AH15" s="189"/>
      <c r="AI15" s="187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9"/>
      <c r="AU15" s="187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95"/>
    </row>
    <row r="16" spans="2:58" ht="13" customHeight="1" x14ac:dyDescent="0.25">
      <c r="B16" s="202"/>
      <c r="C16" s="188"/>
      <c r="D16" s="188"/>
      <c r="E16" s="188"/>
      <c r="F16" s="188"/>
      <c r="G16" s="188"/>
      <c r="H16" s="188"/>
      <c r="I16" s="188"/>
      <c r="J16" s="188"/>
      <c r="K16" s="188"/>
      <c r="L16" s="189"/>
      <c r="M16" s="187"/>
      <c r="N16" s="188"/>
      <c r="O16" s="188"/>
      <c r="P16" s="188"/>
      <c r="Q16" s="188"/>
      <c r="R16" s="188"/>
      <c r="S16" s="188"/>
      <c r="T16" s="188"/>
      <c r="U16" s="188"/>
      <c r="V16" s="188"/>
      <c r="W16" s="189"/>
      <c r="X16" s="187"/>
      <c r="Y16" s="188"/>
      <c r="Z16" s="188"/>
      <c r="AA16" s="188"/>
      <c r="AB16" s="188"/>
      <c r="AC16" s="188"/>
      <c r="AD16" s="188"/>
      <c r="AE16" s="188"/>
      <c r="AF16" s="188"/>
      <c r="AG16" s="188"/>
      <c r="AH16" s="189"/>
      <c r="AI16" s="187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9"/>
      <c r="AU16" s="187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95"/>
    </row>
    <row r="17" spans="2:58" ht="13" customHeight="1" x14ac:dyDescent="0.25">
      <c r="B17" s="203"/>
      <c r="C17" s="191"/>
      <c r="D17" s="191"/>
      <c r="E17" s="191"/>
      <c r="F17" s="191"/>
      <c r="G17" s="191"/>
      <c r="H17" s="191"/>
      <c r="I17" s="191"/>
      <c r="J17" s="191"/>
      <c r="K17" s="191"/>
      <c r="L17" s="148"/>
      <c r="M17" s="190"/>
      <c r="N17" s="191"/>
      <c r="O17" s="191"/>
      <c r="P17" s="191"/>
      <c r="Q17" s="191"/>
      <c r="R17" s="191"/>
      <c r="S17" s="191"/>
      <c r="T17" s="191"/>
      <c r="U17" s="191"/>
      <c r="V17" s="191"/>
      <c r="W17" s="148"/>
      <c r="X17" s="190"/>
      <c r="Y17" s="191"/>
      <c r="Z17" s="191"/>
      <c r="AA17" s="191"/>
      <c r="AB17" s="191"/>
      <c r="AC17" s="191"/>
      <c r="AD17" s="191"/>
      <c r="AE17" s="191"/>
      <c r="AF17" s="191"/>
      <c r="AG17" s="191"/>
      <c r="AH17" s="148"/>
      <c r="AI17" s="190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48"/>
      <c r="AU17" s="190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6"/>
    </row>
    <row r="18" spans="2:58" ht="13" customHeight="1" x14ac:dyDescent="0.25">
      <c r="B18" s="180" t="s">
        <v>241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213" t="s">
        <v>242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49"/>
      <c r="X18" s="212" t="s">
        <v>243</v>
      </c>
      <c r="Y18" s="178"/>
      <c r="Z18" s="178"/>
      <c r="AA18" s="178"/>
      <c r="AB18" s="178"/>
      <c r="AC18" s="178"/>
      <c r="AD18" s="178"/>
      <c r="AE18" s="178"/>
      <c r="AF18" s="178"/>
      <c r="AG18" s="178"/>
      <c r="AH18" s="149"/>
      <c r="AI18" s="117" t="s">
        <v>244</v>
      </c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49"/>
      <c r="AU18" s="131" t="s">
        <v>245</v>
      </c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82"/>
    </row>
    <row r="19" spans="2:58" ht="13" customHeight="1" x14ac:dyDescent="0.25">
      <c r="B19" s="201"/>
      <c r="C19" s="185"/>
      <c r="D19" s="185"/>
      <c r="E19" s="185"/>
      <c r="F19" s="185"/>
      <c r="G19" s="185"/>
      <c r="H19" s="185"/>
      <c r="I19" s="185"/>
      <c r="J19" s="185"/>
      <c r="K19" s="185"/>
      <c r="L19" s="186"/>
      <c r="M19" s="215"/>
      <c r="N19" s="185"/>
      <c r="O19" s="185"/>
      <c r="P19" s="185"/>
      <c r="Q19" s="185"/>
      <c r="R19" s="185"/>
      <c r="S19" s="185"/>
      <c r="T19" s="185"/>
      <c r="U19" s="185"/>
      <c r="V19" s="185"/>
      <c r="W19" s="186"/>
      <c r="X19" s="184"/>
      <c r="Y19" s="185"/>
      <c r="Z19" s="185"/>
      <c r="AA19" s="185"/>
      <c r="AB19" s="185"/>
      <c r="AC19" s="185"/>
      <c r="AD19" s="185"/>
      <c r="AE19" s="185"/>
      <c r="AF19" s="185"/>
      <c r="AG19" s="185"/>
      <c r="AH19" s="186"/>
      <c r="AI19" s="192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6"/>
      <c r="AU19" s="193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94"/>
    </row>
    <row r="20" spans="2:58" ht="13" customHeight="1" x14ac:dyDescent="0.25">
      <c r="B20" s="202"/>
      <c r="C20" s="188"/>
      <c r="D20" s="188"/>
      <c r="E20" s="188"/>
      <c r="F20" s="188"/>
      <c r="G20" s="188"/>
      <c r="H20" s="188"/>
      <c r="I20" s="188"/>
      <c r="J20" s="188"/>
      <c r="K20" s="188"/>
      <c r="L20" s="189"/>
      <c r="M20" s="187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187"/>
      <c r="Y20" s="188"/>
      <c r="Z20" s="188"/>
      <c r="AA20" s="188"/>
      <c r="AB20" s="188"/>
      <c r="AC20" s="188"/>
      <c r="AD20" s="188"/>
      <c r="AE20" s="188"/>
      <c r="AF20" s="188"/>
      <c r="AG20" s="188"/>
      <c r="AH20" s="189"/>
      <c r="AI20" s="187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9"/>
      <c r="AU20" s="187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95"/>
    </row>
    <row r="21" spans="2:58" ht="13" customHeight="1" x14ac:dyDescent="0.25">
      <c r="B21" s="202"/>
      <c r="C21" s="188"/>
      <c r="D21" s="188"/>
      <c r="E21" s="188"/>
      <c r="F21" s="188"/>
      <c r="G21" s="188"/>
      <c r="H21" s="188"/>
      <c r="I21" s="188"/>
      <c r="J21" s="188"/>
      <c r="K21" s="188"/>
      <c r="L21" s="189"/>
      <c r="M21" s="187"/>
      <c r="N21" s="188"/>
      <c r="O21" s="188"/>
      <c r="P21" s="188"/>
      <c r="Q21" s="188"/>
      <c r="R21" s="188"/>
      <c r="S21" s="188"/>
      <c r="T21" s="188"/>
      <c r="U21" s="188"/>
      <c r="V21" s="188"/>
      <c r="W21" s="189"/>
      <c r="X21" s="187"/>
      <c r="Y21" s="188"/>
      <c r="Z21" s="188"/>
      <c r="AA21" s="188"/>
      <c r="AB21" s="188"/>
      <c r="AC21" s="188"/>
      <c r="AD21" s="188"/>
      <c r="AE21" s="188"/>
      <c r="AF21" s="188"/>
      <c r="AG21" s="188"/>
      <c r="AH21" s="189"/>
      <c r="AI21" s="187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9"/>
      <c r="AU21" s="187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95"/>
    </row>
    <row r="22" spans="2:58" ht="13" customHeight="1" x14ac:dyDescent="0.25">
      <c r="B22" s="202"/>
      <c r="C22" s="188"/>
      <c r="D22" s="188"/>
      <c r="E22" s="188"/>
      <c r="F22" s="188"/>
      <c r="G22" s="188"/>
      <c r="H22" s="188"/>
      <c r="I22" s="188"/>
      <c r="J22" s="188"/>
      <c r="K22" s="188"/>
      <c r="L22" s="189"/>
      <c r="M22" s="187"/>
      <c r="N22" s="188"/>
      <c r="O22" s="188"/>
      <c r="P22" s="188"/>
      <c r="Q22" s="188"/>
      <c r="R22" s="188"/>
      <c r="S22" s="188"/>
      <c r="T22" s="188"/>
      <c r="U22" s="188"/>
      <c r="V22" s="188"/>
      <c r="W22" s="189"/>
      <c r="X22" s="187"/>
      <c r="Y22" s="188"/>
      <c r="Z22" s="188"/>
      <c r="AA22" s="188"/>
      <c r="AB22" s="188"/>
      <c r="AC22" s="188"/>
      <c r="AD22" s="188"/>
      <c r="AE22" s="188"/>
      <c r="AF22" s="188"/>
      <c r="AG22" s="188"/>
      <c r="AH22" s="189"/>
      <c r="AI22" s="187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9"/>
      <c r="AU22" s="187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95"/>
    </row>
    <row r="23" spans="2:58" ht="13" customHeight="1" x14ac:dyDescent="0.25">
      <c r="B23" s="202"/>
      <c r="C23" s="188"/>
      <c r="D23" s="188"/>
      <c r="E23" s="188"/>
      <c r="F23" s="188"/>
      <c r="G23" s="188"/>
      <c r="H23" s="188"/>
      <c r="I23" s="188"/>
      <c r="J23" s="188"/>
      <c r="K23" s="188"/>
      <c r="L23" s="189"/>
      <c r="M23" s="187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87"/>
      <c r="Y23" s="188"/>
      <c r="Z23" s="188"/>
      <c r="AA23" s="188"/>
      <c r="AB23" s="188"/>
      <c r="AC23" s="188"/>
      <c r="AD23" s="188"/>
      <c r="AE23" s="188"/>
      <c r="AF23" s="188"/>
      <c r="AG23" s="188"/>
      <c r="AH23" s="189"/>
      <c r="AI23" s="187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9"/>
      <c r="AU23" s="187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95"/>
    </row>
    <row r="24" spans="2:58" ht="13" customHeight="1" x14ac:dyDescent="0.25">
      <c r="B24" s="203"/>
      <c r="C24" s="191"/>
      <c r="D24" s="191"/>
      <c r="E24" s="191"/>
      <c r="F24" s="191"/>
      <c r="G24" s="191"/>
      <c r="H24" s="191"/>
      <c r="I24" s="191"/>
      <c r="J24" s="191"/>
      <c r="K24" s="191"/>
      <c r="L24" s="148"/>
      <c r="M24" s="190"/>
      <c r="N24" s="191"/>
      <c r="O24" s="191"/>
      <c r="P24" s="191"/>
      <c r="Q24" s="191"/>
      <c r="R24" s="191"/>
      <c r="S24" s="191"/>
      <c r="T24" s="191"/>
      <c r="U24" s="191"/>
      <c r="V24" s="191"/>
      <c r="W24" s="148"/>
      <c r="X24" s="190"/>
      <c r="Y24" s="191"/>
      <c r="Z24" s="191"/>
      <c r="AA24" s="191"/>
      <c r="AB24" s="191"/>
      <c r="AC24" s="191"/>
      <c r="AD24" s="191"/>
      <c r="AE24" s="191"/>
      <c r="AF24" s="191"/>
      <c r="AG24" s="191"/>
      <c r="AH24" s="148"/>
      <c r="AI24" s="190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48"/>
      <c r="AU24" s="190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6"/>
    </row>
    <row r="25" spans="2:58" ht="13" customHeight="1" x14ac:dyDescent="0.25">
      <c r="B25" s="180" t="s">
        <v>246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49"/>
      <c r="M25" s="155" t="s">
        <v>247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49"/>
      <c r="X25" s="181" t="s">
        <v>248</v>
      </c>
      <c r="Y25" s="178"/>
      <c r="Z25" s="178"/>
      <c r="AA25" s="178"/>
      <c r="AB25" s="178"/>
      <c r="AC25" s="178"/>
      <c r="AD25" s="178"/>
      <c r="AE25" s="178"/>
      <c r="AF25" s="178"/>
      <c r="AG25" s="178"/>
      <c r="AH25" s="149"/>
      <c r="AI25" s="131" t="s">
        <v>249</v>
      </c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49"/>
      <c r="AU25" s="131" t="s">
        <v>250</v>
      </c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82"/>
    </row>
    <row r="26" spans="2:58" ht="13" customHeight="1" x14ac:dyDescent="0.25">
      <c r="B26" s="201"/>
      <c r="C26" s="185"/>
      <c r="D26" s="185"/>
      <c r="E26" s="185"/>
      <c r="F26" s="185"/>
      <c r="G26" s="185"/>
      <c r="H26" s="185"/>
      <c r="I26" s="185"/>
      <c r="J26" s="185"/>
      <c r="K26" s="185"/>
      <c r="L26" s="186"/>
      <c r="M26" s="209"/>
      <c r="N26" s="185"/>
      <c r="O26" s="185"/>
      <c r="P26" s="185"/>
      <c r="Q26" s="185"/>
      <c r="R26" s="185"/>
      <c r="S26" s="185"/>
      <c r="T26" s="185"/>
      <c r="U26" s="185"/>
      <c r="V26" s="185"/>
      <c r="W26" s="186"/>
      <c r="X26" s="205"/>
      <c r="Y26" s="185"/>
      <c r="Z26" s="185"/>
      <c r="AA26" s="185"/>
      <c r="AB26" s="185"/>
      <c r="AC26" s="185"/>
      <c r="AD26" s="185"/>
      <c r="AE26" s="185"/>
      <c r="AF26" s="185"/>
      <c r="AG26" s="185"/>
      <c r="AH26" s="186"/>
      <c r="AI26" s="193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6"/>
      <c r="AU26" s="193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94"/>
    </row>
    <row r="27" spans="2:58" ht="13" customHeight="1" x14ac:dyDescent="0.25">
      <c r="B27" s="202"/>
      <c r="C27" s="188"/>
      <c r="D27" s="188"/>
      <c r="E27" s="188"/>
      <c r="F27" s="188"/>
      <c r="G27" s="188"/>
      <c r="H27" s="188"/>
      <c r="I27" s="188"/>
      <c r="J27" s="188"/>
      <c r="K27" s="188"/>
      <c r="L27" s="189"/>
      <c r="M27" s="187"/>
      <c r="N27" s="188"/>
      <c r="O27" s="188"/>
      <c r="P27" s="188"/>
      <c r="Q27" s="188"/>
      <c r="R27" s="188"/>
      <c r="S27" s="188"/>
      <c r="T27" s="188"/>
      <c r="U27" s="188"/>
      <c r="V27" s="188"/>
      <c r="W27" s="189"/>
      <c r="X27" s="187"/>
      <c r="Y27" s="188"/>
      <c r="Z27" s="188"/>
      <c r="AA27" s="188"/>
      <c r="AB27" s="188"/>
      <c r="AC27" s="188"/>
      <c r="AD27" s="188"/>
      <c r="AE27" s="188"/>
      <c r="AF27" s="188"/>
      <c r="AG27" s="188"/>
      <c r="AH27" s="189"/>
      <c r="AI27" s="187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9"/>
      <c r="AU27" s="187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95"/>
    </row>
    <row r="28" spans="2:58" ht="13" customHeight="1" x14ac:dyDescent="0.25">
      <c r="B28" s="202"/>
      <c r="C28" s="188"/>
      <c r="D28" s="188"/>
      <c r="E28" s="188"/>
      <c r="F28" s="188"/>
      <c r="G28" s="188"/>
      <c r="H28" s="188"/>
      <c r="I28" s="188"/>
      <c r="J28" s="188"/>
      <c r="K28" s="188"/>
      <c r="L28" s="189"/>
      <c r="M28" s="187"/>
      <c r="N28" s="188"/>
      <c r="O28" s="188"/>
      <c r="P28" s="188"/>
      <c r="Q28" s="188"/>
      <c r="R28" s="188"/>
      <c r="S28" s="188"/>
      <c r="T28" s="188"/>
      <c r="U28" s="188"/>
      <c r="V28" s="188"/>
      <c r="W28" s="189"/>
      <c r="X28" s="187"/>
      <c r="Y28" s="188"/>
      <c r="Z28" s="188"/>
      <c r="AA28" s="188"/>
      <c r="AB28" s="188"/>
      <c r="AC28" s="188"/>
      <c r="AD28" s="188"/>
      <c r="AE28" s="188"/>
      <c r="AF28" s="188"/>
      <c r="AG28" s="188"/>
      <c r="AH28" s="189"/>
      <c r="AI28" s="187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9"/>
      <c r="AU28" s="187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95"/>
    </row>
    <row r="29" spans="2:58" ht="13" customHeight="1" x14ac:dyDescent="0.25">
      <c r="B29" s="202"/>
      <c r="C29" s="188"/>
      <c r="D29" s="188"/>
      <c r="E29" s="188"/>
      <c r="F29" s="188"/>
      <c r="G29" s="188"/>
      <c r="H29" s="188"/>
      <c r="I29" s="188"/>
      <c r="J29" s="188"/>
      <c r="K29" s="188"/>
      <c r="L29" s="189"/>
      <c r="M29" s="187"/>
      <c r="N29" s="188"/>
      <c r="O29" s="188"/>
      <c r="P29" s="188"/>
      <c r="Q29" s="188"/>
      <c r="R29" s="188"/>
      <c r="S29" s="188"/>
      <c r="T29" s="188"/>
      <c r="U29" s="188"/>
      <c r="V29" s="188"/>
      <c r="W29" s="189"/>
      <c r="X29" s="187"/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  <c r="AI29" s="187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9"/>
      <c r="AU29" s="187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95"/>
    </row>
    <row r="30" spans="2:58" ht="13" customHeight="1" x14ac:dyDescent="0.25">
      <c r="B30" s="202"/>
      <c r="C30" s="188"/>
      <c r="D30" s="188"/>
      <c r="E30" s="188"/>
      <c r="F30" s="188"/>
      <c r="G30" s="188"/>
      <c r="H30" s="188"/>
      <c r="I30" s="188"/>
      <c r="J30" s="188"/>
      <c r="K30" s="188"/>
      <c r="L30" s="189"/>
      <c r="M30" s="187"/>
      <c r="N30" s="188"/>
      <c r="O30" s="188"/>
      <c r="P30" s="188"/>
      <c r="Q30" s="188"/>
      <c r="R30" s="188"/>
      <c r="S30" s="188"/>
      <c r="T30" s="188"/>
      <c r="U30" s="188"/>
      <c r="V30" s="188"/>
      <c r="W30" s="189"/>
      <c r="X30" s="187"/>
      <c r="Y30" s="188"/>
      <c r="Z30" s="188"/>
      <c r="AA30" s="188"/>
      <c r="AB30" s="188"/>
      <c r="AC30" s="188"/>
      <c r="AD30" s="188"/>
      <c r="AE30" s="188"/>
      <c r="AF30" s="188"/>
      <c r="AG30" s="188"/>
      <c r="AH30" s="189"/>
      <c r="AI30" s="187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9"/>
      <c r="AU30" s="187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95"/>
    </row>
    <row r="31" spans="2:58" ht="13" customHeight="1" x14ac:dyDescent="0.25">
      <c r="B31" s="203"/>
      <c r="C31" s="191"/>
      <c r="D31" s="191"/>
      <c r="E31" s="191"/>
      <c r="F31" s="191"/>
      <c r="G31" s="191"/>
      <c r="H31" s="191"/>
      <c r="I31" s="191"/>
      <c r="J31" s="191"/>
      <c r="K31" s="191"/>
      <c r="L31" s="148"/>
      <c r="M31" s="190"/>
      <c r="N31" s="191"/>
      <c r="O31" s="191"/>
      <c r="P31" s="191"/>
      <c r="Q31" s="191"/>
      <c r="R31" s="191"/>
      <c r="S31" s="191"/>
      <c r="T31" s="191"/>
      <c r="U31" s="191"/>
      <c r="V31" s="191"/>
      <c r="W31" s="148"/>
      <c r="X31" s="190"/>
      <c r="Y31" s="191"/>
      <c r="Z31" s="191"/>
      <c r="AA31" s="191"/>
      <c r="AB31" s="191"/>
      <c r="AC31" s="191"/>
      <c r="AD31" s="191"/>
      <c r="AE31" s="191"/>
      <c r="AF31" s="191"/>
      <c r="AG31" s="191"/>
      <c r="AH31" s="148"/>
      <c r="AI31" s="190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48"/>
      <c r="AU31" s="190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6"/>
    </row>
    <row r="32" spans="2:58" ht="13" customHeight="1" x14ac:dyDescent="0.25">
      <c r="B32" s="180" t="s">
        <v>251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49"/>
      <c r="M32" s="183" t="s">
        <v>252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49"/>
      <c r="X32" s="181" t="s">
        <v>253</v>
      </c>
      <c r="Y32" s="178"/>
      <c r="Z32" s="178"/>
      <c r="AA32" s="178"/>
      <c r="AB32" s="178"/>
      <c r="AC32" s="178"/>
      <c r="AD32" s="178"/>
      <c r="AE32" s="178"/>
      <c r="AF32" s="178"/>
      <c r="AG32" s="178"/>
      <c r="AH32" s="149"/>
      <c r="AI32" s="131" t="s">
        <v>254</v>
      </c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49"/>
      <c r="AU32" s="131" t="s">
        <v>255</v>
      </c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82"/>
    </row>
    <row r="33" spans="2:58" ht="13" customHeight="1" x14ac:dyDescent="0.25">
      <c r="B33" s="201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204"/>
      <c r="N33" s="185"/>
      <c r="O33" s="185"/>
      <c r="P33" s="185"/>
      <c r="Q33" s="185"/>
      <c r="R33" s="185"/>
      <c r="S33" s="185"/>
      <c r="T33" s="185"/>
      <c r="U33" s="185"/>
      <c r="V33" s="185"/>
      <c r="W33" s="186"/>
      <c r="X33" s="205"/>
      <c r="Y33" s="185"/>
      <c r="Z33" s="185"/>
      <c r="AA33" s="185"/>
      <c r="AB33" s="185"/>
      <c r="AC33" s="185"/>
      <c r="AD33" s="185"/>
      <c r="AE33" s="185"/>
      <c r="AF33" s="185"/>
      <c r="AG33" s="185"/>
      <c r="AH33" s="186"/>
      <c r="AI33" s="193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6"/>
      <c r="AU33" s="193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94"/>
    </row>
    <row r="34" spans="2:58" ht="13" customHeight="1" x14ac:dyDescent="0.25">
      <c r="B34" s="202"/>
      <c r="C34" s="188"/>
      <c r="D34" s="188"/>
      <c r="E34" s="188"/>
      <c r="F34" s="188"/>
      <c r="G34" s="188"/>
      <c r="H34" s="188"/>
      <c r="I34" s="188"/>
      <c r="J34" s="188"/>
      <c r="K34" s="188"/>
      <c r="L34" s="189"/>
      <c r="M34" s="187"/>
      <c r="N34" s="188"/>
      <c r="O34" s="188"/>
      <c r="P34" s="188"/>
      <c r="Q34" s="188"/>
      <c r="R34" s="188"/>
      <c r="S34" s="188"/>
      <c r="T34" s="188"/>
      <c r="U34" s="188"/>
      <c r="V34" s="188"/>
      <c r="W34" s="189"/>
      <c r="X34" s="187"/>
      <c r="Y34" s="188"/>
      <c r="Z34" s="188"/>
      <c r="AA34" s="188"/>
      <c r="AB34" s="188"/>
      <c r="AC34" s="188"/>
      <c r="AD34" s="188"/>
      <c r="AE34" s="188"/>
      <c r="AF34" s="188"/>
      <c r="AG34" s="188"/>
      <c r="AH34" s="189"/>
      <c r="AI34" s="187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9"/>
      <c r="AU34" s="187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95"/>
    </row>
    <row r="35" spans="2:58" ht="13" customHeight="1" x14ac:dyDescent="0.25">
      <c r="B35" s="202"/>
      <c r="C35" s="188"/>
      <c r="D35" s="188"/>
      <c r="E35" s="188"/>
      <c r="F35" s="188"/>
      <c r="G35" s="188"/>
      <c r="H35" s="188"/>
      <c r="I35" s="188"/>
      <c r="J35" s="188"/>
      <c r="K35" s="188"/>
      <c r="L35" s="189"/>
      <c r="M35" s="187"/>
      <c r="N35" s="188"/>
      <c r="O35" s="188"/>
      <c r="P35" s="188"/>
      <c r="Q35" s="188"/>
      <c r="R35" s="188"/>
      <c r="S35" s="188"/>
      <c r="T35" s="188"/>
      <c r="U35" s="188"/>
      <c r="V35" s="188"/>
      <c r="W35" s="189"/>
      <c r="X35" s="187"/>
      <c r="Y35" s="188"/>
      <c r="Z35" s="188"/>
      <c r="AA35" s="188"/>
      <c r="AB35" s="188"/>
      <c r="AC35" s="188"/>
      <c r="AD35" s="188"/>
      <c r="AE35" s="188"/>
      <c r="AF35" s="188"/>
      <c r="AG35" s="188"/>
      <c r="AH35" s="189"/>
      <c r="AI35" s="187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9"/>
      <c r="AU35" s="187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95"/>
    </row>
    <row r="36" spans="2:58" ht="13" customHeight="1" x14ac:dyDescent="0.25">
      <c r="B36" s="202"/>
      <c r="C36" s="188"/>
      <c r="D36" s="188"/>
      <c r="E36" s="188"/>
      <c r="F36" s="188"/>
      <c r="G36" s="188"/>
      <c r="H36" s="188"/>
      <c r="I36" s="188"/>
      <c r="J36" s="188"/>
      <c r="K36" s="188"/>
      <c r="L36" s="189"/>
      <c r="M36" s="187"/>
      <c r="N36" s="188"/>
      <c r="O36" s="188"/>
      <c r="P36" s="188"/>
      <c r="Q36" s="188"/>
      <c r="R36" s="188"/>
      <c r="S36" s="188"/>
      <c r="T36" s="188"/>
      <c r="U36" s="188"/>
      <c r="V36" s="188"/>
      <c r="W36" s="189"/>
      <c r="X36" s="187"/>
      <c r="Y36" s="188"/>
      <c r="Z36" s="188"/>
      <c r="AA36" s="188"/>
      <c r="AB36" s="188"/>
      <c r="AC36" s="188"/>
      <c r="AD36" s="188"/>
      <c r="AE36" s="188"/>
      <c r="AF36" s="188"/>
      <c r="AG36" s="188"/>
      <c r="AH36" s="189"/>
      <c r="AI36" s="187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9"/>
      <c r="AU36" s="187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95"/>
    </row>
    <row r="37" spans="2:58" ht="13" customHeight="1" x14ac:dyDescent="0.25">
      <c r="B37" s="202"/>
      <c r="C37" s="188"/>
      <c r="D37" s="188"/>
      <c r="E37" s="188"/>
      <c r="F37" s="188"/>
      <c r="G37" s="188"/>
      <c r="H37" s="188"/>
      <c r="I37" s="188"/>
      <c r="J37" s="188"/>
      <c r="K37" s="188"/>
      <c r="L37" s="189"/>
      <c r="M37" s="187"/>
      <c r="N37" s="188"/>
      <c r="O37" s="188"/>
      <c r="P37" s="188"/>
      <c r="Q37" s="188"/>
      <c r="R37" s="188"/>
      <c r="S37" s="188"/>
      <c r="T37" s="188"/>
      <c r="U37" s="188"/>
      <c r="V37" s="188"/>
      <c r="W37" s="189"/>
      <c r="X37" s="187"/>
      <c r="Y37" s="188"/>
      <c r="Z37" s="188"/>
      <c r="AA37" s="188"/>
      <c r="AB37" s="188"/>
      <c r="AC37" s="188"/>
      <c r="AD37" s="188"/>
      <c r="AE37" s="188"/>
      <c r="AF37" s="188"/>
      <c r="AG37" s="188"/>
      <c r="AH37" s="189"/>
      <c r="AI37" s="187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9"/>
      <c r="AU37" s="187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95"/>
    </row>
    <row r="38" spans="2:58" ht="13" customHeight="1" x14ac:dyDescent="0.25">
      <c r="B38" s="203"/>
      <c r="C38" s="191"/>
      <c r="D38" s="191"/>
      <c r="E38" s="191"/>
      <c r="F38" s="191"/>
      <c r="G38" s="191"/>
      <c r="H38" s="191"/>
      <c r="I38" s="191"/>
      <c r="J38" s="191"/>
      <c r="K38" s="191"/>
      <c r="L38" s="148"/>
      <c r="M38" s="190"/>
      <c r="N38" s="191"/>
      <c r="O38" s="191"/>
      <c r="P38" s="191"/>
      <c r="Q38" s="191"/>
      <c r="R38" s="191"/>
      <c r="S38" s="191"/>
      <c r="T38" s="191"/>
      <c r="U38" s="191"/>
      <c r="V38" s="191"/>
      <c r="W38" s="148"/>
      <c r="X38" s="190"/>
      <c r="Y38" s="191"/>
      <c r="Z38" s="191"/>
      <c r="AA38" s="191"/>
      <c r="AB38" s="191"/>
      <c r="AC38" s="191"/>
      <c r="AD38" s="191"/>
      <c r="AE38" s="191"/>
      <c r="AF38" s="191"/>
      <c r="AG38" s="191"/>
      <c r="AH38" s="148"/>
      <c r="AI38" s="190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48"/>
      <c r="AU38" s="190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6"/>
    </row>
    <row r="39" spans="2:58" ht="13" customHeight="1" x14ac:dyDescent="0.25">
      <c r="B39" s="180" t="s">
        <v>256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49"/>
      <c r="M39" s="183" t="s">
        <v>257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49"/>
      <c r="X39" s="181" t="s">
        <v>258</v>
      </c>
      <c r="Y39" s="178"/>
      <c r="Z39" s="178"/>
      <c r="AA39" s="178"/>
      <c r="AB39" s="178"/>
      <c r="AC39" s="178"/>
      <c r="AD39" s="178"/>
      <c r="AE39" s="178"/>
      <c r="AF39" s="178"/>
      <c r="AG39" s="178"/>
      <c r="AH39" s="149"/>
      <c r="AI39" s="131" t="s">
        <v>259</v>
      </c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49"/>
      <c r="AU39" s="131" t="s">
        <v>260</v>
      </c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82"/>
    </row>
    <row r="40" spans="2:58" ht="13" customHeight="1" x14ac:dyDescent="0.25">
      <c r="B40" s="201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204"/>
      <c r="N40" s="185"/>
      <c r="O40" s="185"/>
      <c r="P40" s="185"/>
      <c r="Q40" s="185"/>
      <c r="R40" s="185"/>
      <c r="S40" s="185"/>
      <c r="T40" s="185"/>
      <c r="U40" s="185"/>
      <c r="V40" s="185"/>
      <c r="W40" s="186"/>
      <c r="X40" s="205"/>
      <c r="Y40" s="185"/>
      <c r="Z40" s="185"/>
      <c r="AA40" s="185"/>
      <c r="AB40" s="185"/>
      <c r="AC40" s="185"/>
      <c r="AD40" s="185"/>
      <c r="AE40" s="185"/>
      <c r="AF40" s="185"/>
      <c r="AG40" s="185"/>
      <c r="AH40" s="186"/>
      <c r="AI40" s="193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6"/>
      <c r="AU40" s="193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94"/>
    </row>
    <row r="41" spans="2:58" ht="13" customHeight="1" x14ac:dyDescent="0.25">
      <c r="B41" s="202"/>
      <c r="C41" s="188"/>
      <c r="D41" s="188"/>
      <c r="E41" s="188"/>
      <c r="F41" s="188"/>
      <c r="G41" s="188"/>
      <c r="H41" s="188"/>
      <c r="I41" s="188"/>
      <c r="J41" s="188"/>
      <c r="K41" s="188"/>
      <c r="L41" s="189"/>
      <c r="M41" s="187"/>
      <c r="N41" s="188"/>
      <c r="O41" s="188"/>
      <c r="P41" s="188"/>
      <c r="Q41" s="188"/>
      <c r="R41" s="188"/>
      <c r="S41" s="188"/>
      <c r="T41" s="188"/>
      <c r="U41" s="188"/>
      <c r="V41" s="188"/>
      <c r="W41" s="189"/>
      <c r="X41" s="187"/>
      <c r="Y41" s="188"/>
      <c r="Z41" s="188"/>
      <c r="AA41" s="188"/>
      <c r="AB41" s="188"/>
      <c r="AC41" s="188"/>
      <c r="AD41" s="188"/>
      <c r="AE41" s="188"/>
      <c r="AF41" s="188"/>
      <c r="AG41" s="188"/>
      <c r="AH41" s="189"/>
      <c r="AI41" s="187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9"/>
      <c r="AU41" s="187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95"/>
    </row>
    <row r="42" spans="2:58" ht="13" customHeight="1" x14ac:dyDescent="0.25">
      <c r="B42" s="202"/>
      <c r="C42" s="188"/>
      <c r="D42" s="188"/>
      <c r="E42" s="188"/>
      <c r="F42" s="188"/>
      <c r="G42" s="188"/>
      <c r="H42" s="188"/>
      <c r="I42" s="188"/>
      <c r="J42" s="188"/>
      <c r="K42" s="188"/>
      <c r="L42" s="189"/>
      <c r="M42" s="187"/>
      <c r="N42" s="188"/>
      <c r="O42" s="188"/>
      <c r="P42" s="188"/>
      <c r="Q42" s="188"/>
      <c r="R42" s="188"/>
      <c r="S42" s="188"/>
      <c r="T42" s="188"/>
      <c r="U42" s="188"/>
      <c r="V42" s="188"/>
      <c r="W42" s="189"/>
      <c r="X42" s="187"/>
      <c r="Y42" s="188"/>
      <c r="Z42" s="188"/>
      <c r="AA42" s="188"/>
      <c r="AB42" s="188"/>
      <c r="AC42" s="188"/>
      <c r="AD42" s="188"/>
      <c r="AE42" s="188"/>
      <c r="AF42" s="188"/>
      <c r="AG42" s="188"/>
      <c r="AH42" s="189"/>
      <c r="AI42" s="187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9"/>
      <c r="AU42" s="187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95"/>
    </row>
    <row r="43" spans="2:58" ht="13" customHeight="1" x14ac:dyDescent="0.25">
      <c r="B43" s="202"/>
      <c r="C43" s="188"/>
      <c r="D43" s="188"/>
      <c r="E43" s="188"/>
      <c r="F43" s="188"/>
      <c r="G43" s="188"/>
      <c r="H43" s="188"/>
      <c r="I43" s="188"/>
      <c r="J43" s="188"/>
      <c r="K43" s="188"/>
      <c r="L43" s="189"/>
      <c r="M43" s="187"/>
      <c r="N43" s="188"/>
      <c r="O43" s="188"/>
      <c r="P43" s="188"/>
      <c r="Q43" s="188"/>
      <c r="R43" s="188"/>
      <c r="S43" s="188"/>
      <c r="T43" s="188"/>
      <c r="U43" s="188"/>
      <c r="V43" s="188"/>
      <c r="W43" s="189"/>
      <c r="X43" s="187"/>
      <c r="Y43" s="188"/>
      <c r="Z43" s="188"/>
      <c r="AA43" s="188"/>
      <c r="AB43" s="188"/>
      <c r="AC43" s="188"/>
      <c r="AD43" s="188"/>
      <c r="AE43" s="188"/>
      <c r="AF43" s="188"/>
      <c r="AG43" s="188"/>
      <c r="AH43" s="189"/>
      <c r="AI43" s="187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9"/>
      <c r="AU43" s="187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95"/>
    </row>
    <row r="44" spans="2:58" ht="13" customHeight="1" x14ac:dyDescent="0.25">
      <c r="B44" s="202"/>
      <c r="C44" s="188"/>
      <c r="D44" s="188"/>
      <c r="E44" s="188"/>
      <c r="F44" s="188"/>
      <c r="G44" s="188"/>
      <c r="H44" s="188"/>
      <c r="I44" s="188"/>
      <c r="J44" s="188"/>
      <c r="K44" s="188"/>
      <c r="L44" s="189"/>
      <c r="M44" s="187"/>
      <c r="N44" s="188"/>
      <c r="O44" s="188"/>
      <c r="P44" s="188"/>
      <c r="Q44" s="188"/>
      <c r="R44" s="188"/>
      <c r="S44" s="188"/>
      <c r="T44" s="188"/>
      <c r="U44" s="188"/>
      <c r="V44" s="188"/>
      <c r="W44" s="189"/>
      <c r="X44" s="187"/>
      <c r="Y44" s="188"/>
      <c r="Z44" s="188"/>
      <c r="AA44" s="188"/>
      <c r="AB44" s="188"/>
      <c r="AC44" s="188"/>
      <c r="AD44" s="188"/>
      <c r="AE44" s="188"/>
      <c r="AF44" s="188"/>
      <c r="AG44" s="188"/>
      <c r="AH44" s="189"/>
      <c r="AI44" s="187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9"/>
      <c r="AU44" s="187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95"/>
    </row>
    <row r="45" spans="2:58" ht="13" customHeight="1" x14ac:dyDescent="0.25">
      <c r="B45" s="203"/>
      <c r="C45" s="191"/>
      <c r="D45" s="191"/>
      <c r="E45" s="191"/>
      <c r="F45" s="191"/>
      <c r="G45" s="191"/>
      <c r="H45" s="191"/>
      <c r="I45" s="191"/>
      <c r="J45" s="191"/>
      <c r="K45" s="191"/>
      <c r="L45" s="148"/>
      <c r="M45" s="190"/>
      <c r="N45" s="191"/>
      <c r="O45" s="191"/>
      <c r="P45" s="191"/>
      <c r="Q45" s="191"/>
      <c r="R45" s="191"/>
      <c r="S45" s="191"/>
      <c r="T45" s="191"/>
      <c r="U45" s="191"/>
      <c r="V45" s="191"/>
      <c r="W45" s="148"/>
      <c r="X45" s="190"/>
      <c r="Y45" s="191"/>
      <c r="Z45" s="191"/>
      <c r="AA45" s="191"/>
      <c r="AB45" s="191"/>
      <c r="AC45" s="191"/>
      <c r="AD45" s="191"/>
      <c r="AE45" s="191"/>
      <c r="AF45" s="191"/>
      <c r="AG45" s="191"/>
      <c r="AH45" s="148"/>
      <c r="AI45" s="190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48"/>
      <c r="AU45" s="190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6"/>
    </row>
    <row r="46" spans="2:58" ht="13" customHeight="1" x14ac:dyDescent="0.25">
      <c r="B46" s="180" t="s">
        <v>261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49"/>
      <c r="M46" s="155" t="s">
        <v>262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49"/>
      <c r="X46" s="181" t="s">
        <v>263</v>
      </c>
      <c r="Y46" s="178"/>
      <c r="Z46" s="178"/>
      <c r="AA46" s="178"/>
      <c r="AB46" s="178"/>
      <c r="AC46" s="178"/>
      <c r="AD46" s="178"/>
      <c r="AE46" s="178"/>
      <c r="AF46" s="178"/>
      <c r="AG46" s="178"/>
      <c r="AH46" s="149"/>
      <c r="AI46" s="131" t="s">
        <v>264</v>
      </c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49"/>
      <c r="AU46" s="131" t="s">
        <v>265</v>
      </c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82"/>
    </row>
    <row r="47" spans="2:58" ht="13" customHeight="1" x14ac:dyDescent="0.25">
      <c r="B47" s="201"/>
      <c r="C47" s="185"/>
      <c r="D47" s="185"/>
      <c r="E47" s="185"/>
      <c r="F47" s="185"/>
      <c r="G47" s="185"/>
      <c r="H47" s="185"/>
      <c r="I47" s="185"/>
      <c r="J47" s="185"/>
      <c r="K47" s="185"/>
      <c r="L47" s="186"/>
      <c r="M47" s="204"/>
      <c r="N47" s="185"/>
      <c r="O47" s="185"/>
      <c r="P47" s="185"/>
      <c r="Q47" s="185"/>
      <c r="R47" s="185"/>
      <c r="S47" s="185"/>
      <c r="T47" s="185"/>
      <c r="U47" s="185"/>
      <c r="V47" s="185"/>
      <c r="W47" s="186"/>
      <c r="X47" s="205"/>
      <c r="Y47" s="185"/>
      <c r="Z47" s="185"/>
      <c r="AA47" s="185"/>
      <c r="AB47" s="185"/>
      <c r="AC47" s="185"/>
      <c r="AD47" s="185"/>
      <c r="AE47" s="185"/>
      <c r="AF47" s="185"/>
      <c r="AG47" s="185"/>
      <c r="AH47" s="186"/>
      <c r="AI47" s="193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6"/>
      <c r="AU47" s="193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94"/>
    </row>
    <row r="48" spans="2:58" ht="13" customHeight="1" x14ac:dyDescent="0.25">
      <c r="B48" s="202"/>
      <c r="C48" s="188"/>
      <c r="D48" s="188"/>
      <c r="E48" s="188"/>
      <c r="F48" s="188"/>
      <c r="G48" s="188"/>
      <c r="H48" s="188"/>
      <c r="I48" s="188"/>
      <c r="J48" s="188"/>
      <c r="K48" s="188"/>
      <c r="L48" s="189"/>
      <c r="M48" s="187"/>
      <c r="N48" s="188"/>
      <c r="O48" s="188"/>
      <c r="P48" s="188"/>
      <c r="Q48" s="188"/>
      <c r="R48" s="188"/>
      <c r="S48" s="188"/>
      <c r="T48" s="188"/>
      <c r="U48" s="188"/>
      <c r="V48" s="188"/>
      <c r="W48" s="189"/>
      <c r="X48" s="187"/>
      <c r="Y48" s="188"/>
      <c r="Z48" s="188"/>
      <c r="AA48" s="188"/>
      <c r="AB48" s="188"/>
      <c r="AC48" s="188"/>
      <c r="AD48" s="188"/>
      <c r="AE48" s="188"/>
      <c r="AF48" s="188"/>
      <c r="AG48" s="188"/>
      <c r="AH48" s="189"/>
      <c r="AI48" s="187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9"/>
      <c r="AU48" s="187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95"/>
    </row>
    <row r="49" spans="2:58" ht="13" customHeight="1" x14ac:dyDescent="0.25">
      <c r="B49" s="202"/>
      <c r="C49" s="188"/>
      <c r="D49" s="188"/>
      <c r="E49" s="188"/>
      <c r="F49" s="188"/>
      <c r="G49" s="188"/>
      <c r="H49" s="188"/>
      <c r="I49" s="188"/>
      <c r="J49" s="188"/>
      <c r="K49" s="188"/>
      <c r="L49" s="189"/>
      <c r="M49" s="187"/>
      <c r="N49" s="188"/>
      <c r="O49" s="188"/>
      <c r="P49" s="188"/>
      <c r="Q49" s="188"/>
      <c r="R49" s="188"/>
      <c r="S49" s="188"/>
      <c r="T49" s="188"/>
      <c r="U49" s="188"/>
      <c r="V49" s="188"/>
      <c r="W49" s="189"/>
      <c r="X49" s="187"/>
      <c r="Y49" s="188"/>
      <c r="Z49" s="188"/>
      <c r="AA49" s="188"/>
      <c r="AB49" s="188"/>
      <c r="AC49" s="188"/>
      <c r="AD49" s="188"/>
      <c r="AE49" s="188"/>
      <c r="AF49" s="188"/>
      <c r="AG49" s="188"/>
      <c r="AH49" s="189"/>
      <c r="AI49" s="187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9"/>
      <c r="AU49" s="187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95"/>
    </row>
    <row r="50" spans="2:58" ht="13" customHeight="1" x14ac:dyDescent="0.25">
      <c r="B50" s="202"/>
      <c r="C50" s="188"/>
      <c r="D50" s="188"/>
      <c r="E50" s="188"/>
      <c r="F50" s="188"/>
      <c r="G50" s="188"/>
      <c r="H50" s="188"/>
      <c r="I50" s="188"/>
      <c r="J50" s="188"/>
      <c r="K50" s="188"/>
      <c r="L50" s="189"/>
      <c r="M50" s="187"/>
      <c r="N50" s="188"/>
      <c r="O50" s="188"/>
      <c r="P50" s="188"/>
      <c r="Q50" s="188"/>
      <c r="R50" s="188"/>
      <c r="S50" s="188"/>
      <c r="T50" s="188"/>
      <c r="U50" s="188"/>
      <c r="V50" s="188"/>
      <c r="W50" s="189"/>
      <c r="X50" s="187"/>
      <c r="Y50" s="188"/>
      <c r="Z50" s="188"/>
      <c r="AA50" s="188"/>
      <c r="AB50" s="188"/>
      <c r="AC50" s="188"/>
      <c r="AD50" s="188"/>
      <c r="AE50" s="188"/>
      <c r="AF50" s="188"/>
      <c r="AG50" s="188"/>
      <c r="AH50" s="189"/>
      <c r="AI50" s="187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9"/>
      <c r="AU50" s="187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95"/>
    </row>
    <row r="51" spans="2:58" ht="13" customHeight="1" x14ac:dyDescent="0.25">
      <c r="B51" s="202"/>
      <c r="C51" s="188"/>
      <c r="D51" s="188"/>
      <c r="E51" s="188"/>
      <c r="F51" s="188"/>
      <c r="G51" s="188"/>
      <c r="H51" s="188"/>
      <c r="I51" s="188"/>
      <c r="J51" s="188"/>
      <c r="K51" s="188"/>
      <c r="L51" s="189"/>
      <c r="M51" s="187"/>
      <c r="N51" s="188"/>
      <c r="O51" s="188"/>
      <c r="P51" s="188"/>
      <c r="Q51" s="188"/>
      <c r="R51" s="188"/>
      <c r="S51" s="188"/>
      <c r="T51" s="188"/>
      <c r="U51" s="188"/>
      <c r="V51" s="188"/>
      <c r="W51" s="189"/>
      <c r="X51" s="187"/>
      <c r="Y51" s="188"/>
      <c r="Z51" s="188"/>
      <c r="AA51" s="188"/>
      <c r="AB51" s="188"/>
      <c r="AC51" s="188"/>
      <c r="AD51" s="188"/>
      <c r="AE51" s="188"/>
      <c r="AF51" s="188"/>
      <c r="AG51" s="188"/>
      <c r="AH51" s="189"/>
      <c r="AI51" s="187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9"/>
      <c r="AU51" s="187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95"/>
    </row>
    <row r="52" spans="2:58" ht="13" customHeight="1" x14ac:dyDescent="0.25">
      <c r="B52" s="203"/>
      <c r="C52" s="191"/>
      <c r="D52" s="191"/>
      <c r="E52" s="191"/>
      <c r="F52" s="191"/>
      <c r="G52" s="191"/>
      <c r="H52" s="191"/>
      <c r="I52" s="191"/>
      <c r="J52" s="191"/>
      <c r="K52" s="191"/>
      <c r="L52" s="148"/>
      <c r="M52" s="190"/>
      <c r="N52" s="191"/>
      <c r="O52" s="191"/>
      <c r="P52" s="191"/>
      <c r="Q52" s="191"/>
      <c r="R52" s="191"/>
      <c r="S52" s="191"/>
      <c r="T52" s="191"/>
      <c r="U52" s="191"/>
      <c r="V52" s="191"/>
      <c r="W52" s="148"/>
      <c r="X52" s="190"/>
      <c r="Y52" s="191"/>
      <c r="Z52" s="191"/>
      <c r="AA52" s="191"/>
      <c r="AB52" s="191"/>
      <c r="AC52" s="191"/>
      <c r="AD52" s="191"/>
      <c r="AE52" s="191"/>
      <c r="AF52" s="191"/>
      <c r="AG52" s="191"/>
      <c r="AH52" s="148"/>
      <c r="AI52" s="190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48"/>
      <c r="AU52" s="190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6"/>
    </row>
    <row r="53" spans="2:58" ht="13" customHeight="1" x14ac:dyDescent="0.25">
      <c r="B53" s="180" t="s">
        <v>266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49"/>
      <c r="M53" s="183" t="s">
        <v>267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49"/>
      <c r="X53" s="181" t="s">
        <v>268</v>
      </c>
      <c r="Y53" s="178"/>
      <c r="Z53" s="178"/>
      <c r="AA53" s="178"/>
      <c r="AB53" s="178"/>
      <c r="AC53" s="178"/>
      <c r="AD53" s="178"/>
      <c r="AE53" s="178"/>
      <c r="AF53" s="178"/>
      <c r="AG53" s="178"/>
      <c r="AH53" s="149"/>
      <c r="AI53" s="131" t="s">
        <v>269</v>
      </c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49"/>
      <c r="AU53" s="131" t="s">
        <v>270</v>
      </c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82"/>
    </row>
    <row r="54" spans="2:58" ht="13" customHeight="1" x14ac:dyDescent="0.25">
      <c r="B54" s="201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209"/>
      <c r="N54" s="185"/>
      <c r="O54" s="185"/>
      <c r="P54" s="185"/>
      <c r="Q54" s="185"/>
      <c r="R54" s="185"/>
      <c r="S54" s="185"/>
      <c r="T54" s="185"/>
      <c r="U54" s="185"/>
      <c r="V54" s="185"/>
      <c r="W54" s="186"/>
      <c r="X54" s="205"/>
      <c r="Y54" s="185"/>
      <c r="Z54" s="185"/>
      <c r="AA54" s="185"/>
      <c r="AB54" s="185"/>
      <c r="AC54" s="185"/>
      <c r="AD54" s="185"/>
      <c r="AE54" s="185"/>
      <c r="AF54" s="185"/>
      <c r="AG54" s="185"/>
      <c r="AH54" s="186"/>
      <c r="AI54" s="193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93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94"/>
    </row>
    <row r="55" spans="2:58" ht="13" customHeight="1" x14ac:dyDescent="0.25">
      <c r="B55" s="202"/>
      <c r="C55" s="188"/>
      <c r="D55" s="188"/>
      <c r="E55" s="188"/>
      <c r="F55" s="188"/>
      <c r="G55" s="188"/>
      <c r="H55" s="188"/>
      <c r="I55" s="188"/>
      <c r="J55" s="188"/>
      <c r="K55" s="188"/>
      <c r="L55" s="189"/>
      <c r="M55" s="187"/>
      <c r="N55" s="188"/>
      <c r="O55" s="188"/>
      <c r="P55" s="188"/>
      <c r="Q55" s="188"/>
      <c r="R55" s="188"/>
      <c r="S55" s="188"/>
      <c r="T55" s="188"/>
      <c r="U55" s="188"/>
      <c r="V55" s="188"/>
      <c r="W55" s="189"/>
      <c r="X55" s="187"/>
      <c r="Y55" s="188"/>
      <c r="Z55" s="188"/>
      <c r="AA55" s="188"/>
      <c r="AB55" s="188"/>
      <c r="AC55" s="188"/>
      <c r="AD55" s="188"/>
      <c r="AE55" s="188"/>
      <c r="AF55" s="188"/>
      <c r="AG55" s="188"/>
      <c r="AH55" s="189"/>
      <c r="AI55" s="187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9"/>
      <c r="AU55" s="187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95"/>
    </row>
    <row r="56" spans="2:58" ht="13" customHeight="1" x14ac:dyDescent="0.25">
      <c r="B56" s="202"/>
      <c r="C56" s="188"/>
      <c r="D56" s="188"/>
      <c r="E56" s="188"/>
      <c r="F56" s="188"/>
      <c r="G56" s="188"/>
      <c r="H56" s="188"/>
      <c r="I56" s="188"/>
      <c r="J56" s="188"/>
      <c r="K56" s="188"/>
      <c r="L56" s="189"/>
      <c r="M56" s="187"/>
      <c r="N56" s="188"/>
      <c r="O56" s="188"/>
      <c r="P56" s="188"/>
      <c r="Q56" s="188"/>
      <c r="R56" s="188"/>
      <c r="S56" s="188"/>
      <c r="T56" s="188"/>
      <c r="U56" s="188"/>
      <c r="V56" s="188"/>
      <c r="W56" s="189"/>
      <c r="X56" s="187"/>
      <c r="Y56" s="188"/>
      <c r="Z56" s="188"/>
      <c r="AA56" s="188"/>
      <c r="AB56" s="188"/>
      <c r="AC56" s="188"/>
      <c r="AD56" s="188"/>
      <c r="AE56" s="188"/>
      <c r="AF56" s="188"/>
      <c r="AG56" s="188"/>
      <c r="AH56" s="189"/>
      <c r="AI56" s="187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9"/>
      <c r="AU56" s="18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95"/>
    </row>
    <row r="57" spans="2:58" ht="13" customHeight="1" x14ac:dyDescent="0.25">
      <c r="B57" s="202"/>
      <c r="C57" s="188"/>
      <c r="D57" s="188"/>
      <c r="E57" s="188"/>
      <c r="F57" s="188"/>
      <c r="G57" s="188"/>
      <c r="H57" s="188"/>
      <c r="I57" s="188"/>
      <c r="J57" s="188"/>
      <c r="K57" s="188"/>
      <c r="L57" s="189"/>
      <c r="M57" s="187"/>
      <c r="N57" s="188"/>
      <c r="O57" s="188"/>
      <c r="P57" s="188"/>
      <c r="Q57" s="188"/>
      <c r="R57" s="188"/>
      <c r="S57" s="188"/>
      <c r="T57" s="188"/>
      <c r="U57" s="188"/>
      <c r="V57" s="188"/>
      <c r="W57" s="189"/>
      <c r="X57" s="187"/>
      <c r="Y57" s="188"/>
      <c r="Z57" s="188"/>
      <c r="AA57" s="188"/>
      <c r="AB57" s="188"/>
      <c r="AC57" s="188"/>
      <c r="AD57" s="188"/>
      <c r="AE57" s="188"/>
      <c r="AF57" s="188"/>
      <c r="AG57" s="188"/>
      <c r="AH57" s="189"/>
      <c r="AI57" s="187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9"/>
      <c r="AU57" s="187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95"/>
    </row>
    <row r="58" spans="2:58" ht="13" customHeight="1" x14ac:dyDescent="0.25">
      <c r="B58" s="202"/>
      <c r="C58" s="188"/>
      <c r="D58" s="188"/>
      <c r="E58" s="188"/>
      <c r="F58" s="188"/>
      <c r="G58" s="188"/>
      <c r="H58" s="188"/>
      <c r="I58" s="188"/>
      <c r="J58" s="188"/>
      <c r="K58" s="188"/>
      <c r="L58" s="189"/>
      <c r="M58" s="187"/>
      <c r="N58" s="188"/>
      <c r="O58" s="188"/>
      <c r="P58" s="188"/>
      <c r="Q58" s="188"/>
      <c r="R58" s="188"/>
      <c r="S58" s="188"/>
      <c r="T58" s="188"/>
      <c r="U58" s="188"/>
      <c r="V58" s="188"/>
      <c r="W58" s="189"/>
      <c r="X58" s="187"/>
      <c r="Y58" s="188"/>
      <c r="Z58" s="188"/>
      <c r="AA58" s="188"/>
      <c r="AB58" s="188"/>
      <c r="AC58" s="188"/>
      <c r="AD58" s="188"/>
      <c r="AE58" s="188"/>
      <c r="AF58" s="188"/>
      <c r="AG58" s="188"/>
      <c r="AH58" s="189"/>
      <c r="AI58" s="187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9"/>
      <c r="AU58" s="187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95"/>
    </row>
    <row r="59" spans="2:58" ht="13" customHeight="1" x14ac:dyDescent="0.2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10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10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10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10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1"/>
    </row>
    <row r="60" spans="2:58" ht="13" customHeight="1" x14ac:dyDescent="0.25">
      <c r="B60" s="147" t="s">
        <v>372</v>
      </c>
      <c r="C60" s="148"/>
      <c r="D60" s="9" t="s">
        <v>19</v>
      </c>
      <c r="E60" s="124" t="s">
        <v>20</v>
      </c>
      <c r="F60" s="127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30"/>
    </row>
    <row r="61" spans="2:58" ht="13" customHeight="1" x14ac:dyDescent="0.25">
      <c r="B61" s="123" t="s">
        <v>226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2"/>
    </row>
    <row r="62" spans="2:58" ht="13" customHeight="1" thickBot="1" x14ac:dyDescent="0.3">
      <c r="B62" s="135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4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50" t="s">
        <v>227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</row>
    <row r="3" spans="2:47" ht="20.15" customHeight="1" x14ac:dyDescent="0.25">
      <c r="B3" s="152" t="s">
        <v>181</v>
      </c>
      <c r="C3" s="110" t="s">
        <v>163</v>
      </c>
      <c r="D3" s="160"/>
      <c r="E3" s="160"/>
      <c r="F3" s="160"/>
      <c r="G3" s="160"/>
      <c r="H3" s="161"/>
      <c r="I3" s="164" t="s">
        <v>8</v>
      </c>
      <c r="J3" s="160"/>
      <c r="K3" s="160"/>
      <c r="L3" s="160"/>
      <c r="M3" s="160"/>
      <c r="N3" s="160"/>
      <c r="O3" s="160"/>
      <c r="P3" s="165"/>
      <c r="Q3" s="110" t="s">
        <v>77</v>
      </c>
      <c r="R3" s="160"/>
      <c r="S3" s="165"/>
      <c r="T3" s="110" t="s">
        <v>10</v>
      </c>
      <c r="U3" s="160"/>
      <c r="V3" s="160"/>
      <c r="W3" s="165"/>
      <c r="X3" s="110" t="s">
        <v>80</v>
      </c>
      <c r="Y3" s="111"/>
      <c r="Z3" s="110" t="s">
        <v>11</v>
      </c>
      <c r="AA3" s="111"/>
      <c r="AB3" s="13" t="s">
        <v>13</v>
      </c>
      <c r="AC3" s="110" t="s">
        <v>14</v>
      </c>
      <c r="AD3" s="111"/>
      <c r="AE3" s="114" t="s">
        <v>88</v>
      </c>
      <c r="AF3" s="115"/>
      <c r="AG3" s="115"/>
      <c r="AH3" s="115"/>
      <c r="AI3" s="115"/>
      <c r="AJ3" s="115"/>
      <c r="AK3" s="116"/>
      <c r="AL3" s="110" t="s">
        <v>18</v>
      </c>
      <c r="AM3" s="156"/>
      <c r="AN3" s="157"/>
      <c r="AO3" s="156" t="s">
        <v>16</v>
      </c>
      <c r="AP3" s="156"/>
      <c r="AQ3" s="156"/>
      <c r="AR3" s="159"/>
    </row>
    <row r="4" spans="2:47" ht="30" customHeight="1" x14ac:dyDescent="0.25">
      <c r="B4" s="153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62" t="s">
        <v>62</v>
      </c>
      <c r="J4" s="163"/>
      <c r="K4" s="3" t="s">
        <v>6</v>
      </c>
      <c r="L4" s="3" t="s">
        <v>66</v>
      </c>
      <c r="M4" s="3" t="s">
        <v>164</v>
      </c>
      <c r="N4" s="3" t="s">
        <v>165</v>
      </c>
      <c r="O4" s="117" t="s">
        <v>7</v>
      </c>
      <c r="P4" s="118"/>
      <c r="Q4" s="155" t="s">
        <v>71</v>
      </c>
      <c r="R4" s="118"/>
      <c r="S4" s="3" t="s">
        <v>51</v>
      </c>
      <c r="T4" s="3" t="s">
        <v>75</v>
      </c>
      <c r="U4" s="155" t="s">
        <v>78</v>
      </c>
      <c r="V4" s="11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12" t="s">
        <v>89</v>
      </c>
      <c r="AF4" s="113"/>
      <c r="AG4" s="112" t="s">
        <v>92</v>
      </c>
      <c r="AH4" s="113"/>
      <c r="AI4" s="10" t="s">
        <v>166</v>
      </c>
      <c r="AJ4" s="10" t="s">
        <v>167</v>
      </c>
      <c r="AK4" s="11" t="s">
        <v>115</v>
      </c>
      <c r="AL4" s="155" t="s">
        <v>110</v>
      </c>
      <c r="AM4" s="118"/>
      <c r="AN4" s="29" t="s">
        <v>111</v>
      </c>
      <c r="AO4" s="26" t="s">
        <v>12</v>
      </c>
      <c r="AP4" s="3" t="s">
        <v>1</v>
      </c>
      <c r="AQ4" s="131" t="s">
        <v>161</v>
      </c>
      <c r="AR4" s="158"/>
      <c r="AU4" s="20"/>
    </row>
    <row r="5" spans="2:47" ht="20.15" customHeight="1" x14ac:dyDescent="0.25">
      <c r="B5" s="154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>
        <v>6.756365776062012</v>
      </c>
      <c r="D6" s="54">
        <v>18.787979125976562</v>
      </c>
      <c r="E6" s="54">
        <v>417.6906433105469</v>
      </c>
      <c r="F6" s="54"/>
      <c r="G6" s="54"/>
      <c r="H6" s="55">
        <v>417.9149169921875</v>
      </c>
      <c r="I6" s="56">
        <v>19.925491333007812</v>
      </c>
      <c r="J6" s="54"/>
      <c r="K6" s="54">
        <v>46.07204818725586</v>
      </c>
      <c r="L6" s="54">
        <v>1.462221622467041</v>
      </c>
      <c r="M6" s="54">
        <v>108.79449462890625</v>
      </c>
      <c r="N6" s="54">
        <v>113.59230041503906</v>
      </c>
      <c r="O6" s="54">
        <v>20.390649795532227</v>
      </c>
      <c r="P6" s="54"/>
      <c r="Q6" s="54"/>
      <c r="R6" s="54"/>
      <c r="S6" s="54">
        <v>139.59779357910156</v>
      </c>
      <c r="T6" s="54">
        <v>1.6100000143051147</v>
      </c>
      <c r="U6" s="54">
        <v>0.301431804895401</v>
      </c>
      <c r="V6" s="54"/>
      <c r="W6" s="54">
        <v>90.51649475097656</v>
      </c>
      <c r="X6" s="54">
        <v>0.5286421179771423</v>
      </c>
      <c r="Y6" s="54" t="s">
        <v>4</v>
      </c>
      <c r="Z6" s="54">
        <v>0.7308449149131775</v>
      </c>
      <c r="AA6" s="54">
        <v>148.9945068359375</v>
      </c>
      <c r="AB6" s="54">
        <v>163.1148681640625</v>
      </c>
      <c r="AC6" s="54">
        <v>0.40046295523643494</v>
      </c>
      <c r="AD6" s="54">
        <v>155.53384399414062</v>
      </c>
      <c r="AE6" s="57">
        <v>33.279998779296875</v>
      </c>
      <c r="AF6" s="57"/>
      <c r="AG6" s="57"/>
      <c r="AH6" s="57">
        <v>16.459999084472656</v>
      </c>
      <c r="AI6" s="57"/>
      <c r="AJ6" s="57"/>
      <c r="AK6" s="57">
        <v>7.010000228881836</v>
      </c>
      <c r="AL6" s="54">
        <v>106.32233428955078</v>
      </c>
      <c r="AM6" s="58"/>
      <c r="AN6" s="59">
        <v>65.40074920654297</v>
      </c>
      <c r="AO6" s="60"/>
      <c r="AP6" s="61">
        <v>-80.48321533203125</v>
      </c>
      <c r="AQ6" s="61">
        <v>0.23075810074806213</v>
      </c>
      <c r="AR6" s="62"/>
    </row>
    <row r="7" spans="2:47" ht="13.5" customHeight="1" x14ac:dyDescent="0.25">
      <c r="B7" s="14">
        <v>0.875</v>
      </c>
      <c r="C7" s="54">
        <v>5.7544846534729</v>
      </c>
      <c r="D7" s="54">
        <v>18.72287368774414</v>
      </c>
      <c r="E7" s="54">
        <v>416.34307861328125</v>
      </c>
      <c r="F7" s="54">
        <v>0.2672187387943268</v>
      </c>
      <c r="G7" s="54">
        <v>0</v>
      </c>
      <c r="H7" s="55">
        <v>417.66143798828125</v>
      </c>
      <c r="I7" s="56">
        <v>22.128183364868164</v>
      </c>
      <c r="J7" s="54">
        <v>0.020213866606354713</v>
      </c>
      <c r="K7" s="54">
        <v>43.98871612548828</v>
      </c>
      <c r="L7" s="54">
        <v>1.3953089714050293</v>
      </c>
      <c r="M7" s="54">
        <v>109.21224212646484</v>
      </c>
      <c r="N7" s="54">
        <v>111.97916412353516</v>
      </c>
      <c r="O7" s="54">
        <v>20.276521682739258</v>
      </c>
      <c r="P7" s="54">
        <v>20.2685546875</v>
      </c>
      <c r="Q7" s="54"/>
      <c r="R7" s="54">
        <v>2.5225830078125</v>
      </c>
      <c r="S7" s="54">
        <v>139.46035766601562</v>
      </c>
      <c r="T7" s="54">
        <v>1.6100000143051147</v>
      </c>
      <c r="U7" s="54">
        <v>0.3005346655845642</v>
      </c>
      <c r="V7" s="54">
        <v>0.30006250739097595</v>
      </c>
      <c r="W7" s="54">
        <v>90.35734558105469</v>
      </c>
      <c r="X7" s="54">
        <v>0.5312290191650391</v>
      </c>
      <c r="Y7" s="54" t="s">
        <v>82</v>
      </c>
      <c r="Z7" s="54">
        <v>0.7414352297782898</v>
      </c>
      <c r="AA7" s="54">
        <v>149.26937866210938</v>
      </c>
      <c r="AB7" s="54">
        <v>162.83274841308594</v>
      </c>
      <c r="AC7" s="54">
        <v>0.41301360726356506</v>
      </c>
      <c r="AD7" s="54">
        <v>155.1721649169922</v>
      </c>
      <c r="AE7" s="57"/>
      <c r="AF7" s="57"/>
      <c r="AG7" s="57"/>
      <c r="AH7" s="57"/>
      <c r="AI7" s="57"/>
      <c r="AJ7" s="57"/>
      <c r="AK7" s="57"/>
      <c r="AL7" s="54">
        <v>5.479600429534912</v>
      </c>
      <c r="AM7" s="58">
        <v>0.013813477009534836</v>
      </c>
      <c r="AN7" s="59">
        <v>66.3845443725586</v>
      </c>
      <c r="AO7" s="60"/>
      <c r="AP7" s="61">
        <v>-80.34577941894531</v>
      </c>
      <c r="AQ7" s="61">
        <v>0.2918836772441864</v>
      </c>
      <c r="AR7" s="62">
        <v>0.00029225158505141735</v>
      </c>
    </row>
    <row r="8" spans="2:47" ht="13.5" customHeight="1" x14ac:dyDescent="0.25">
      <c r="B8" s="41" t="s">
        <v>271</v>
      </c>
      <c r="C8" s="54">
        <v>6.691261291503906</v>
      </c>
      <c r="D8" s="54">
        <v>18.79340362548828</v>
      </c>
      <c r="E8" s="54">
        <v>416.3914489746094</v>
      </c>
      <c r="F8" s="54">
        <v>0.3363593816757202</v>
      </c>
      <c r="G8" s="54">
        <v>0</v>
      </c>
      <c r="H8" s="55">
        <v>417.0784606933594</v>
      </c>
      <c r="I8" s="56">
        <v>20.558448791503906</v>
      </c>
      <c r="J8" s="54">
        <v>0.01981543004512787</v>
      </c>
      <c r="K8" s="54">
        <v>43.41724395751953</v>
      </c>
      <c r="L8" s="54">
        <v>1.3634802103042603</v>
      </c>
      <c r="M8" s="54">
        <v>109.1525650024414</v>
      </c>
      <c r="N8" s="54">
        <v>111.15451049804688</v>
      </c>
      <c r="O8" s="54">
        <v>20.438858032226562</v>
      </c>
      <c r="P8" s="54">
        <v>20.2763671875</v>
      </c>
      <c r="Q8" s="54"/>
      <c r="R8" s="54">
        <v>2.560302734375</v>
      </c>
      <c r="S8" s="54">
        <v>139.25057983398438</v>
      </c>
      <c r="T8" s="54">
        <v>1.6100000143051147</v>
      </c>
      <c r="U8" s="54">
        <v>0.30116137862205505</v>
      </c>
      <c r="V8" s="54">
        <v>0.3001406192779541</v>
      </c>
      <c r="W8" s="54">
        <v>90.53819274902344</v>
      </c>
      <c r="X8" s="54">
        <v>0.5300428867340088</v>
      </c>
      <c r="Y8" s="54" t="s">
        <v>82</v>
      </c>
      <c r="Z8" s="54">
        <v>0.740567147731781</v>
      </c>
      <c r="AA8" s="54">
        <v>149.33448791503906</v>
      </c>
      <c r="AB8" s="54">
        <v>162.7965850830078</v>
      </c>
      <c r="AC8" s="54">
        <v>0.38274016976356506</v>
      </c>
      <c r="AD8" s="54">
        <v>155.22279357910156</v>
      </c>
      <c r="AE8" s="57"/>
      <c r="AF8" s="57"/>
      <c r="AG8" s="57"/>
      <c r="AH8" s="57"/>
      <c r="AI8" s="57"/>
      <c r="AJ8" s="57"/>
      <c r="AK8" s="57"/>
      <c r="AL8" s="54">
        <v>31.99146270751953</v>
      </c>
      <c r="AM8" s="58">
        <v>0.013784179463982582</v>
      </c>
      <c r="AN8" s="59">
        <v>64.47843933105469</v>
      </c>
      <c r="AO8" s="60"/>
      <c r="AP8" s="61">
        <v>-80.16493225097656</v>
      </c>
      <c r="AQ8" s="61">
        <v>0.31105324625968933</v>
      </c>
      <c r="AR8" s="62">
        <v>0.00029338072636164725</v>
      </c>
    </row>
    <row r="9" spans="2:47" ht="13.5" customHeight="1" x14ac:dyDescent="0.25">
      <c r="B9" s="14">
        <v>0.95833333333333337</v>
      </c>
      <c r="C9" s="54">
        <v>5.7942705154418945</v>
      </c>
      <c r="D9" s="54">
        <v>18.67404556274414</v>
      </c>
      <c r="E9" s="54">
        <v>416.2229309082031</v>
      </c>
      <c r="F9" s="54">
        <v>0.26393750309944153</v>
      </c>
      <c r="G9" s="54">
        <v>0</v>
      </c>
      <c r="H9" s="55">
        <v>416.8829345703125</v>
      </c>
      <c r="I9" s="56">
        <v>23.824508666992188</v>
      </c>
      <c r="J9" s="54">
        <v>0.019939452409744263</v>
      </c>
      <c r="K9" s="54">
        <v>43.82233810424805</v>
      </c>
      <c r="L9" s="54">
        <v>1.3786711692810059</v>
      </c>
      <c r="M9" s="54">
        <v>110.73133850097656</v>
      </c>
      <c r="N9" s="54">
        <v>111.08940887451172</v>
      </c>
      <c r="O9" s="54">
        <v>20.47058868408203</v>
      </c>
      <c r="P9" s="54">
        <v>20.2626953125</v>
      </c>
      <c r="Q9" s="54"/>
      <c r="R9" s="54">
        <v>2.599365234375</v>
      </c>
      <c r="S9" s="54">
        <v>139.50375366210938</v>
      </c>
      <c r="T9" s="54">
        <v>1.6100000143051147</v>
      </c>
      <c r="U9" s="54">
        <v>0.30135244131088257</v>
      </c>
      <c r="V9" s="54">
        <v>0.29990625381469727</v>
      </c>
      <c r="W9" s="54">
        <v>90.4586181640625</v>
      </c>
      <c r="X9" s="54">
        <v>0.5289386510848999</v>
      </c>
      <c r="Y9" s="54" t="s">
        <v>82</v>
      </c>
      <c r="Z9" s="54">
        <v>0.7279514074325562</v>
      </c>
      <c r="AA9" s="54">
        <v>149.19705200195312</v>
      </c>
      <c r="AB9" s="54">
        <v>162.8544464111328</v>
      </c>
      <c r="AC9" s="54">
        <v>0.44766348600387573</v>
      </c>
      <c r="AD9" s="54">
        <v>155.25897216796875</v>
      </c>
      <c r="AE9" s="57"/>
      <c r="AF9" s="57"/>
      <c r="AG9" s="57"/>
      <c r="AH9" s="57"/>
      <c r="AI9" s="57"/>
      <c r="AJ9" s="57"/>
      <c r="AK9" s="57"/>
      <c r="AL9" s="54">
        <v>0</v>
      </c>
      <c r="AM9" s="58">
        <v>0.011692382395267487</v>
      </c>
      <c r="AN9" s="59">
        <v>66.74262237548828</v>
      </c>
      <c r="AO9" s="60"/>
      <c r="AP9" s="61">
        <v>-80.19386291503906</v>
      </c>
      <c r="AQ9" s="61">
        <v>0.2918836772441864</v>
      </c>
      <c r="AR9" s="62">
        <v>0.0002931213239207864</v>
      </c>
    </row>
    <row r="10" spans="2:47" ht="13.5" customHeight="1" x14ac:dyDescent="0.25">
      <c r="B10" s="41" t="s">
        <v>272</v>
      </c>
      <c r="C10" s="54">
        <v>6.600839138031006</v>
      </c>
      <c r="D10" s="54">
        <v>18.690322875976562</v>
      </c>
      <c r="E10" s="54">
        <v>415.98016357421875</v>
      </c>
      <c r="F10" s="54">
        <v>0.33640626072883606</v>
      </c>
      <c r="G10" s="54">
        <v>0</v>
      </c>
      <c r="H10" s="55">
        <v>416.47711181640625</v>
      </c>
      <c r="I10" s="56">
        <v>24.30555534362793</v>
      </c>
      <c r="J10" s="54">
        <v>0.020294921472668648</v>
      </c>
      <c r="K10" s="54">
        <v>43.1640625</v>
      </c>
      <c r="L10" s="54">
        <v>1.3566985130310059</v>
      </c>
      <c r="M10" s="54">
        <v>105.82140350341797</v>
      </c>
      <c r="N10" s="54">
        <v>109.88859558105469</v>
      </c>
      <c r="O10" s="54">
        <v>20.167295455932617</v>
      </c>
      <c r="P10" s="54">
        <v>20.2626953125</v>
      </c>
      <c r="Q10" s="54"/>
      <c r="R10" s="54">
        <v>2.5894775390625</v>
      </c>
      <c r="S10" s="54">
        <v>139.43865966796875</v>
      </c>
      <c r="T10" s="54">
        <v>1.6100000143051147</v>
      </c>
      <c r="U10" s="54">
        <v>0.29905474185943604</v>
      </c>
      <c r="V10" s="54">
        <v>0.29993748664855957</v>
      </c>
      <c r="W10" s="54">
        <v>90.17650604248047</v>
      </c>
      <c r="X10" s="54">
        <v>0.5290353298187256</v>
      </c>
      <c r="Y10" s="54" t="s">
        <v>82</v>
      </c>
      <c r="Z10" s="54">
        <v>0.7451968193054199</v>
      </c>
      <c r="AA10" s="54">
        <v>149.04513549804688</v>
      </c>
      <c r="AB10" s="54">
        <v>162.92678833007812</v>
      </c>
      <c r="AC10" s="54">
        <v>0.40263310074806213</v>
      </c>
      <c r="AD10" s="54">
        <v>155.07089233398438</v>
      </c>
      <c r="AE10" s="57"/>
      <c r="AF10" s="57"/>
      <c r="AG10" s="57"/>
      <c r="AH10" s="57"/>
      <c r="AI10" s="57"/>
      <c r="AJ10" s="57"/>
      <c r="AK10" s="57"/>
      <c r="AL10" s="54">
        <v>3.60966420173645</v>
      </c>
      <c r="AM10" s="58">
        <v>0.013684569858014584</v>
      </c>
      <c r="AN10" s="59">
        <v>64.60503387451172</v>
      </c>
      <c r="AO10" s="60"/>
      <c r="AP10" s="61">
        <v>-80.35301208496094</v>
      </c>
      <c r="AQ10" s="61">
        <v>0.2999131977558136</v>
      </c>
      <c r="AR10" s="62">
        <v>0.00029368590912781656</v>
      </c>
    </row>
    <row r="11" spans="2:47" ht="13.5" customHeight="1" x14ac:dyDescent="0.25">
      <c r="B11" s="14">
        <v>4.1666666666666664E-2</v>
      </c>
      <c r="C11" s="54">
        <v>5.392795085906982</v>
      </c>
      <c r="D11" s="54">
        <v>18.641494750976562</v>
      </c>
      <c r="E11" s="54">
        <v>415.75311279296875</v>
      </c>
      <c r="F11" s="54">
        <v>0.2618750035762787</v>
      </c>
      <c r="G11" s="54">
        <v>0</v>
      </c>
      <c r="H11" s="55">
        <v>416.3670349121094</v>
      </c>
      <c r="I11" s="56">
        <v>21.26736068725586</v>
      </c>
      <c r="J11" s="54">
        <v>0.019912108778953552</v>
      </c>
      <c r="K11" s="54">
        <v>43.66319274902344</v>
      </c>
      <c r="L11" s="54">
        <v>1.3850008249282837</v>
      </c>
      <c r="M11" s="54">
        <v>107.56836700439453</v>
      </c>
      <c r="N11" s="54">
        <v>111.7476806640625</v>
      </c>
      <c r="O11" s="54">
        <v>20.386516571044922</v>
      </c>
      <c r="P11" s="54">
        <v>20.263671875</v>
      </c>
      <c r="Q11" s="54"/>
      <c r="R11" s="54">
        <v>2.570068359375</v>
      </c>
      <c r="S11" s="54">
        <v>139.53993225097656</v>
      </c>
      <c r="T11" s="54">
        <v>1.6100000143051147</v>
      </c>
      <c r="U11" s="54">
        <v>0.3002118468284607</v>
      </c>
      <c r="V11" s="54">
        <v>0.2999218702316284</v>
      </c>
      <c r="W11" s="54">
        <v>90.64669799804688</v>
      </c>
      <c r="X11" s="54">
        <v>0.5309016704559326</v>
      </c>
      <c r="Y11" s="54" t="s">
        <v>82</v>
      </c>
      <c r="Z11" s="54">
        <v>0.7423611283302307</v>
      </c>
      <c r="AA11" s="54">
        <v>149.7323455810547</v>
      </c>
      <c r="AB11" s="54">
        <v>162.7965850830078</v>
      </c>
      <c r="AC11" s="54">
        <v>0.49540653824806213</v>
      </c>
      <c r="AD11" s="54">
        <v>154.90451049804688</v>
      </c>
      <c r="AE11" s="57"/>
      <c r="AF11" s="57"/>
      <c r="AG11" s="57"/>
      <c r="AH11" s="57"/>
      <c r="AI11" s="57"/>
      <c r="AJ11" s="57"/>
      <c r="AK11" s="57"/>
      <c r="AL11" s="54">
        <v>3.8592302799224854</v>
      </c>
      <c r="AM11" s="58">
        <v>0.013315429911017418</v>
      </c>
      <c r="AN11" s="59">
        <v>63.755062103271484</v>
      </c>
      <c r="AO11" s="60"/>
      <c r="AP11" s="61">
        <v>-80.18663024902344</v>
      </c>
      <c r="AQ11" s="61">
        <v>0.30584490299224854</v>
      </c>
      <c r="AR11" s="62">
        <v>0.0002931823837570846</v>
      </c>
    </row>
    <row r="12" spans="2:47" ht="13.5" customHeight="1" x14ac:dyDescent="0.25">
      <c r="B12" s="41" t="s">
        <v>273</v>
      </c>
      <c r="C12" s="54">
        <v>6.130642414093018</v>
      </c>
      <c r="D12" s="54">
        <v>18.56553840637207</v>
      </c>
      <c r="E12" s="54">
        <v>415.4981994628906</v>
      </c>
      <c r="F12" s="54">
        <v>0.3362500071525574</v>
      </c>
      <c r="G12" s="54">
        <v>0</v>
      </c>
      <c r="H12" s="55">
        <v>416.01318359375</v>
      </c>
      <c r="I12" s="56">
        <v>24.558738708496094</v>
      </c>
      <c r="J12" s="54">
        <v>0.02001660130918026</v>
      </c>
      <c r="K12" s="54">
        <v>42.26707077026367</v>
      </c>
      <c r="L12" s="54">
        <v>1.3296622037887573</v>
      </c>
      <c r="M12" s="54">
        <v>105.40907287597656</v>
      </c>
      <c r="N12" s="54">
        <v>109.21585845947266</v>
      </c>
      <c r="O12" s="54">
        <v>20.26885414123535</v>
      </c>
      <c r="P12" s="54">
        <v>20.259765625</v>
      </c>
      <c r="Q12" s="54"/>
      <c r="R12" s="54">
        <v>2.618896484375</v>
      </c>
      <c r="S12" s="54">
        <v>139.23611450195312</v>
      </c>
      <c r="T12" s="54">
        <v>1.6100000143051147</v>
      </c>
      <c r="U12" s="54">
        <v>0.3010038435459137</v>
      </c>
      <c r="V12" s="54">
        <v>0.2999218702316284</v>
      </c>
      <c r="W12" s="54">
        <v>91.20370483398438</v>
      </c>
      <c r="X12" s="54">
        <v>0.5281792283058167</v>
      </c>
      <c r="Y12" s="54" t="s">
        <v>82</v>
      </c>
      <c r="Z12" s="54">
        <v>0.7329861521720886</v>
      </c>
      <c r="AA12" s="54">
        <v>148.66897583007812</v>
      </c>
      <c r="AB12" s="54">
        <v>162.6012725830078</v>
      </c>
      <c r="AC12" s="54">
        <v>0.33109086751937866</v>
      </c>
      <c r="AD12" s="54">
        <v>154.66580200195312</v>
      </c>
      <c r="AE12" s="57"/>
      <c r="AF12" s="57"/>
      <c r="AG12" s="57"/>
      <c r="AH12" s="57"/>
      <c r="AI12" s="57"/>
      <c r="AJ12" s="57"/>
      <c r="AK12" s="57"/>
      <c r="AL12" s="54">
        <v>0</v>
      </c>
      <c r="AM12" s="58">
        <v>0.012152343988418579</v>
      </c>
      <c r="AN12" s="59">
        <v>65.88179779052734</v>
      </c>
      <c r="AO12" s="60"/>
      <c r="AP12" s="61">
        <v>-80.2445068359375</v>
      </c>
      <c r="AQ12" s="61">
        <v>0.2786458432674408</v>
      </c>
      <c r="AR12" s="62">
        <v>0.00029681395972147584</v>
      </c>
    </row>
    <row r="13" spans="2:47" ht="13.5" customHeight="1" x14ac:dyDescent="0.25">
      <c r="B13" s="14">
        <v>0.125</v>
      </c>
      <c r="C13" s="54">
        <v>5.5013017654418945</v>
      </c>
      <c r="D13" s="54">
        <v>18.61436653137207</v>
      </c>
      <c r="E13" s="54">
        <v>415.3746337890625</v>
      </c>
      <c r="F13" s="54">
        <v>0.2664531171321869</v>
      </c>
      <c r="G13" s="54">
        <v>0</v>
      </c>
      <c r="H13" s="55">
        <v>415.8697509765625</v>
      </c>
      <c r="I13" s="56">
        <v>0</v>
      </c>
      <c r="J13" s="54">
        <v>0.020096680149435997</v>
      </c>
      <c r="K13" s="54">
        <v>40.986690521240234</v>
      </c>
      <c r="L13" s="54">
        <v>1.2821904420852661</v>
      </c>
      <c r="M13" s="54">
        <v>109.28277587890625</v>
      </c>
      <c r="N13" s="54">
        <v>110.44560241699219</v>
      </c>
      <c r="O13" s="54">
        <v>20.36081314086914</v>
      </c>
      <c r="P13" s="54">
        <v>20.26171875</v>
      </c>
      <c r="Q13" s="54"/>
      <c r="R13" s="54">
        <v>2.5860595703125</v>
      </c>
      <c r="S13" s="54">
        <v>139.85098266601562</v>
      </c>
      <c r="T13" s="54">
        <v>1.6100000143051147</v>
      </c>
      <c r="U13" s="54">
        <v>0.30176272988319397</v>
      </c>
      <c r="V13" s="54">
        <v>0.29993748664855957</v>
      </c>
      <c r="W13" s="54">
        <v>90.43692016601562</v>
      </c>
      <c r="X13" s="54">
        <v>0.5302876830101013</v>
      </c>
      <c r="Y13" s="54" t="s">
        <v>82</v>
      </c>
      <c r="Z13" s="54">
        <v>0.7288773655891418</v>
      </c>
      <c r="AA13" s="54">
        <v>149.3200225830078</v>
      </c>
      <c r="AB13" s="54">
        <v>162.70977783203125</v>
      </c>
      <c r="AC13" s="54">
        <v>0.3875868022441864</v>
      </c>
      <c r="AD13" s="54">
        <v>154.8828125</v>
      </c>
      <c r="AE13" s="57"/>
      <c r="AF13" s="57"/>
      <c r="AG13" s="57"/>
      <c r="AH13" s="57"/>
      <c r="AI13" s="57"/>
      <c r="AJ13" s="57"/>
      <c r="AK13" s="57"/>
      <c r="AL13" s="54">
        <v>20.85503387451172</v>
      </c>
      <c r="AM13" s="58">
        <v>0.013074218295514584</v>
      </c>
      <c r="AN13" s="59">
        <v>63.910587310791016</v>
      </c>
      <c r="AO13" s="60"/>
      <c r="AP13" s="61">
        <v>-80.3240737915039</v>
      </c>
      <c r="AQ13" s="61">
        <v>0.28703704476356506</v>
      </c>
      <c r="AR13" s="62">
        <v>0.0002954711962956935</v>
      </c>
    </row>
    <row r="14" spans="2:47" ht="13.5" customHeight="1" x14ac:dyDescent="0.25">
      <c r="B14" s="14">
        <v>0.16666666666666666</v>
      </c>
      <c r="C14" s="54">
        <v>6.4778642654418945</v>
      </c>
      <c r="D14" s="54">
        <v>18.522136688232422</v>
      </c>
      <c r="E14" s="54">
        <v>414.55133056640625</v>
      </c>
      <c r="F14" s="54">
        <v>0.3363906145095825</v>
      </c>
      <c r="G14" s="54">
        <v>0</v>
      </c>
      <c r="H14" s="55">
        <v>415.7448425292969</v>
      </c>
      <c r="I14" s="56">
        <v>18.558303833007812</v>
      </c>
      <c r="J14" s="54">
        <v>0.019984375685453415</v>
      </c>
      <c r="K14" s="54">
        <v>46.30352783203125</v>
      </c>
      <c r="L14" s="54">
        <v>1.5105071067810059</v>
      </c>
      <c r="M14" s="54">
        <v>109.60286712646484</v>
      </c>
      <c r="N14" s="54">
        <v>111.34259033203125</v>
      </c>
      <c r="O14" s="54">
        <v>20.275707244873047</v>
      </c>
      <c r="P14" s="54">
        <v>20.2958984375</v>
      </c>
      <c r="Q14" s="54"/>
      <c r="R14" s="54">
        <v>2.6160888671875</v>
      </c>
      <c r="S14" s="54">
        <v>139.2288818359375</v>
      </c>
      <c r="T14" s="54">
        <v>1.6100000143051147</v>
      </c>
      <c r="U14" s="54">
        <v>0.2960425317287445</v>
      </c>
      <c r="V14" s="54">
        <v>0.30028125643730164</v>
      </c>
      <c r="W14" s="54">
        <v>89.55439758300781</v>
      </c>
      <c r="X14" s="54">
        <v>0.5314713716506958</v>
      </c>
      <c r="Y14" s="54" t="s">
        <v>82</v>
      </c>
      <c r="Z14" s="54">
        <v>0.7669560313224792</v>
      </c>
      <c r="AA14" s="54">
        <v>148.84982299804688</v>
      </c>
      <c r="AB14" s="54">
        <v>162.95571899414062</v>
      </c>
      <c r="AC14" s="54">
        <v>0.36009839177131653</v>
      </c>
      <c r="AD14" s="54">
        <v>155.5410919189453</v>
      </c>
      <c r="AE14" s="57"/>
      <c r="AF14" s="57"/>
      <c r="AG14" s="57"/>
      <c r="AH14" s="57"/>
      <c r="AI14" s="57"/>
      <c r="AJ14" s="57"/>
      <c r="AK14" s="57"/>
      <c r="AL14" s="54">
        <v>3.2732927799224854</v>
      </c>
      <c r="AM14" s="58">
        <v>0.013196288608014584</v>
      </c>
      <c r="AN14" s="59">
        <v>66.09881591796875</v>
      </c>
      <c r="AO14" s="60"/>
      <c r="AP14" s="61">
        <v>-80.28790283203125</v>
      </c>
      <c r="AQ14" s="61">
        <v>0.27958622574806213</v>
      </c>
      <c r="AR14" s="62">
        <v>0.00029408265254460275</v>
      </c>
    </row>
    <row r="15" spans="2:47" ht="13.5" customHeight="1" x14ac:dyDescent="0.25">
      <c r="B15" s="14">
        <v>0.20833333333333334</v>
      </c>
      <c r="C15" s="54">
        <v>5.251736164093018</v>
      </c>
      <c r="D15" s="54">
        <v>18.44075584411621</v>
      </c>
      <c r="E15" s="54">
        <v>413.9595031738281</v>
      </c>
      <c r="F15" s="54">
        <v>0.2668437361717224</v>
      </c>
      <c r="G15" s="54">
        <v>0</v>
      </c>
      <c r="H15" s="55">
        <v>415.457275390625</v>
      </c>
      <c r="I15" s="56">
        <v>23.039642333984375</v>
      </c>
      <c r="J15" s="54">
        <v>0.020344726741313934</v>
      </c>
      <c r="K15" s="54">
        <v>43.995948791503906</v>
      </c>
      <c r="L15" s="54">
        <v>1.4073351621627808</v>
      </c>
      <c r="M15" s="54">
        <v>111.08941650390625</v>
      </c>
      <c r="N15" s="54">
        <v>111.95746612548828</v>
      </c>
      <c r="O15" s="54">
        <v>19.931591033935547</v>
      </c>
      <c r="P15" s="54">
        <v>20.259765625</v>
      </c>
      <c r="Q15" s="54"/>
      <c r="R15" s="54">
        <v>2.5631103515625</v>
      </c>
      <c r="S15" s="54">
        <v>139.47482299804688</v>
      </c>
      <c r="T15" s="54">
        <v>1.6100000143051147</v>
      </c>
      <c r="U15" s="54">
        <v>0.2973325252532959</v>
      </c>
      <c r="V15" s="54">
        <v>0.2999218702316284</v>
      </c>
      <c r="W15" s="54">
        <v>90.7045669555664</v>
      </c>
      <c r="X15" s="54">
        <v>0.5334362387657166</v>
      </c>
      <c r="Y15" s="54" t="s">
        <v>82</v>
      </c>
      <c r="Z15" s="54">
        <v>0.7412616014480591</v>
      </c>
      <c r="AA15" s="54">
        <v>148.77748107910156</v>
      </c>
      <c r="AB15" s="54">
        <v>162.55062866210938</v>
      </c>
      <c r="AC15" s="54">
        <v>0.37084057927131653</v>
      </c>
      <c r="AD15" s="54">
        <v>154.75259399414062</v>
      </c>
      <c r="AE15" s="57"/>
      <c r="AF15" s="57"/>
      <c r="AG15" s="57"/>
      <c r="AH15" s="57"/>
      <c r="AI15" s="57"/>
      <c r="AJ15" s="57"/>
      <c r="AK15" s="57"/>
      <c r="AL15" s="54">
        <v>35.36241149902344</v>
      </c>
      <c r="AM15" s="58">
        <v>0.014597656205296516</v>
      </c>
      <c r="AN15" s="59">
        <v>65.1656494140625</v>
      </c>
      <c r="AO15" s="60"/>
      <c r="AP15" s="61">
        <v>-80.17216491699219</v>
      </c>
      <c r="AQ15" s="61">
        <v>0.30410879850387573</v>
      </c>
      <c r="AR15" s="62">
        <v>0.00029280089074745774</v>
      </c>
    </row>
    <row r="16" spans="2:47" ht="13.5" customHeight="1" x14ac:dyDescent="0.25">
      <c r="B16" s="14">
        <v>0.25</v>
      </c>
      <c r="C16" s="54">
        <v>6.34765625</v>
      </c>
      <c r="D16" s="54">
        <v>18.570964813232422</v>
      </c>
      <c r="E16" s="54">
        <v>414.18914794921875</v>
      </c>
      <c r="F16" s="54">
        <v>0.33623436093330383</v>
      </c>
      <c r="G16" s="54">
        <v>0</v>
      </c>
      <c r="H16" s="55">
        <v>415.68231201171875</v>
      </c>
      <c r="I16" s="56">
        <v>11.165364265441895</v>
      </c>
      <c r="J16" s="54">
        <v>0.020297851413488388</v>
      </c>
      <c r="K16" s="54">
        <v>44.16232681274414</v>
      </c>
      <c r="L16" s="54">
        <v>1.4086915254592896</v>
      </c>
      <c r="M16" s="54">
        <v>106.3693618774414</v>
      </c>
      <c r="N16" s="54">
        <v>108.21759033203125</v>
      </c>
      <c r="O16" s="54">
        <v>20.188467025756836</v>
      </c>
      <c r="P16" s="54">
        <v>20.26953125</v>
      </c>
      <c r="Q16" s="54"/>
      <c r="R16" s="54">
        <v>2.5797119140625</v>
      </c>
      <c r="S16" s="54">
        <v>139.5760955810547</v>
      </c>
      <c r="T16" s="54">
        <v>1.6100000143051147</v>
      </c>
      <c r="U16" s="54">
        <v>0.2988847494125366</v>
      </c>
      <c r="V16" s="54">
        <v>0.30003124475479126</v>
      </c>
      <c r="W16" s="54">
        <v>90.46585845947266</v>
      </c>
      <c r="X16" s="54">
        <v>0.5320597290992737</v>
      </c>
      <c r="Y16" s="54" t="s">
        <v>82</v>
      </c>
      <c r="Z16" s="54">
        <v>0.741319477558136</v>
      </c>
      <c r="AA16" s="54">
        <v>149.7106475830078</v>
      </c>
      <c r="AB16" s="54">
        <v>162.90509033203125</v>
      </c>
      <c r="AC16" s="54">
        <v>0.40216290950775146</v>
      </c>
      <c r="AD16" s="54">
        <v>155.14321899414062</v>
      </c>
      <c r="AE16" s="57"/>
      <c r="AF16" s="57"/>
      <c r="AG16" s="57"/>
      <c r="AH16" s="57"/>
      <c r="AI16" s="57"/>
      <c r="AJ16" s="57"/>
      <c r="AK16" s="57"/>
      <c r="AL16" s="54">
        <v>12.091290473937988</v>
      </c>
      <c r="AM16" s="58">
        <v>0.012798828072845936</v>
      </c>
      <c r="AN16" s="59">
        <v>61.40046310424805</v>
      </c>
      <c r="AO16" s="60"/>
      <c r="AP16" s="61">
        <v>-80.1287612915039</v>
      </c>
      <c r="AQ16" s="61">
        <v>0.30432581901550293</v>
      </c>
      <c r="AR16" s="62">
        <v>0.0002935485972557217</v>
      </c>
    </row>
    <row r="17" spans="2:44" ht="13.5" customHeight="1" x14ac:dyDescent="0.25">
      <c r="B17" s="14">
        <v>0.29166666666666669</v>
      </c>
      <c r="C17" s="54">
        <v>5.190248966217041</v>
      </c>
      <c r="D17" s="54">
        <v>18.71202278137207</v>
      </c>
      <c r="E17" s="54">
        <v>414.0715026855469</v>
      </c>
      <c r="F17" s="54">
        <v>0.2630312442779541</v>
      </c>
      <c r="G17" s="54">
        <v>0</v>
      </c>
      <c r="H17" s="55">
        <v>415.2060241699219</v>
      </c>
      <c r="I17" s="56">
        <v>24.963830947875977</v>
      </c>
      <c r="J17" s="54">
        <v>0.019758788868784904</v>
      </c>
      <c r="K17" s="54">
        <v>43.43171310424805</v>
      </c>
      <c r="L17" s="54">
        <v>1.3708044290542603</v>
      </c>
      <c r="M17" s="54">
        <v>108.86502075195312</v>
      </c>
      <c r="N17" s="54">
        <v>110.9375</v>
      </c>
      <c r="O17" s="54">
        <v>20.08016586303711</v>
      </c>
      <c r="P17" s="54">
        <v>20.251953125</v>
      </c>
      <c r="Q17" s="54"/>
      <c r="R17" s="54">
        <v>2.6094970703125</v>
      </c>
      <c r="S17" s="54">
        <v>139.69183349609375</v>
      </c>
      <c r="T17" s="54">
        <v>1.6100000143051147</v>
      </c>
      <c r="U17" s="54">
        <v>0.2983700931072235</v>
      </c>
      <c r="V17" s="54">
        <v>0.2997968792915344</v>
      </c>
      <c r="W17" s="54">
        <v>90.33564758300781</v>
      </c>
      <c r="X17" s="54">
        <v>0.5326850414276123</v>
      </c>
      <c r="Y17" s="54" t="s">
        <v>82</v>
      </c>
      <c r="Z17" s="54">
        <v>0.7437500357627869</v>
      </c>
      <c r="AA17" s="54">
        <v>149.78298950195312</v>
      </c>
      <c r="AB17" s="54">
        <v>162.83998107910156</v>
      </c>
      <c r="AC17" s="54">
        <v>0.41554543375968933</v>
      </c>
      <c r="AD17" s="54">
        <v>155.21556091308594</v>
      </c>
      <c r="AE17" s="57"/>
      <c r="AF17" s="57"/>
      <c r="AG17" s="57"/>
      <c r="AH17" s="57"/>
      <c r="AI17" s="57"/>
      <c r="AJ17" s="57"/>
      <c r="AK17" s="57"/>
      <c r="AL17" s="54">
        <v>16.98133659362793</v>
      </c>
      <c r="AM17" s="58">
        <v>0.01361523475497961</v>
      </c>
      <c r="AN17" s="59">
        <v>66.23625183105469</v>
      </c>
      <c r="AO17" s="60"/>
      <c r="AP17" s="61">
        <v>-80.14323425292969</v>
      </c>
      <c r="AQ17" s="61">
        <v>0.2947772145271301</v>
      </c>
      <c r="AR17" s="62">
        <v>0.000293563847662881</v>
      </c>
    </row>
    <row r="18" spans="2:44" ht="13.5" customHeight="1" x14ac:dyDescent="0.25">
      <c r="B18" s="42">
        <v>0.33333333333333331</v>
      </c>
      <c r="C18" s="63">
        <v>6.391058921813965</v>
      </c>
      <c r="D18" s="63">
        <v>18.777128219604492</v>
      </c>
      <c r="E18" s="63">
        <v>414.5265197753906</v>
      </c>
      <c r="F18" s="63">
        <v>0.3363281190395355</v>
      </c>
      <c r="G18" s="63">
        <v>0</v>
      </c>
      <c r="H18" s="64">
        <v>414.7721862792969</v>
      </c>
      <c r="I18" s="65">
        <v>13.418692588806152</v>
      </c>
      <c r="J18" s="63">
        <v>0.020149413496255875</v>
      </c>
      <c r="K18" s="63">
        <v>41.963253021240234</v>
      </c>
      <c r="L18" s="63">
        <v>1.320439100265503</v>
      </c>
      <c r="M18" s="63">
        <v>110.25933837890625</v>
      </c>
      <c r="N18" s="63">
        <v>111.09664154052734</v>
      </c>
      <c r="O18" s="63">
        <v>20.245996475219727</v>
      </c>
      <c r="P18" s="63">
        <v>20.27734375</v>
      </c>
      <c r="Q18" s="63"/>
      <c r="R18" s="63">
        <v>2.5411376953125</v>
      </c>
      <c r="S18" s="63">
        <v>139.73524475097656</v>
      </c>
      <c r="T18" s="63">
        <v>1.6100000143051147</v>
      </c>
      <c r="U18" s="63">
        <v>0.29961299896240234</v>
      </c>
      <c r="V18" s="63">
        <v>0.30018749833106995</v>
      </c>
      <c r="W18" s="63">
        <v>90.69733428955078</v>
      </c>
      <c r="X18" s="63">
        <v>0.5298686027526855</v>
      </c>
      <c r="Y18" s="63">
        <v>0.5279908776283264</v>
      </c>
      <c r="Z18" s="63">
        <v>0.7336227297782898</v>
      </c>
      <c r="AA18" s="63">
        <v>149.5659637451172</v>
      </c>
      <c r="AB18" s="63">
        <v>162.8544464111328</v>
      </c>
      <c r="AC18" s="63">
        <v>0.38841870427131653</v>
      </c>
      <c r="AD18" s="63">
        <v>155.36024475097656</v>
      </c>
      <c r="AE18" s="66">
        <v>33.099998474121094</v>
      </c>
      <c r="AF18" s="66"/>
      <c r="AG18" s="66"/>
      <c r="AH18" s="66">
        <v>13.710000038146973</v>
      </c>
      <c r="AI18" s="66">
        <v>23.979999542236328</v>
      </c>
      <c r="AJ18" s="66">
        <v>6.449999809265137</v>
      </c>
      <c r="AK18" s="66">
        <v>7.03000020980835</v>
      </c>
      <c r="AL18" s="63">
        <v>0</v>
      </c>
      <c r="AM18" s="67">
        <v>0.014510742388665676</v>
      </c>
      <c r="AN18" s="68">
        <v>65.14756774902344</v>
      </c>
      <c r="AO18" s="60"/>
      <c r="AP18" s="61">
        <v>-79.96961975097656</v>
      </c>
      <c r="AQ18" s="61">
        <v>0.29347512125968933</v>
      </c>
      <c r="AR18" s="69">
        <v>0.00029377746977843344</v>
      </c>
    </row>
    <row r="19" spans="2:44" ht="18" customHeight="1" x14ac:dyDescent="0.25">
      <c r="B19" s="122" t="s">
        <v>181</v>
      </c>
      <c r="C19" s="36" t="s">
        <v>168</v>
      </c>
      <c r="D19" s="36" t="s">
        <v>171</v>
      </c>
      <c r="E19" s="137" t="s">
        <v>17</v>
      </c>
      <c r="F19" s="138"/>
      <c r="G19" s="139"/>
      <c r="H19" s="140" t="s">
        <v>108</v>
      </c>
      <c r="I19" s="138"/>
      <c r="J19" s="138"/>
      <c r="K19" s="138"/>
      <c r="L19" s="141"/>
      <c r="M19" s="142" t="s">
        <v>123</v>
      </c>
      <c r="N19" s="138"/>
      <c r="O19" s="138"/>
      <c r="P19" s="138"/>
      <c r="Q19" s="139"/>
      <c r="R19" s="140" t="s">
        <v>147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9"/>
      <c r="AG19" s="143" t="s">
        <v>24</v>
      </c>
      <c r="AH19" s="139"/>
      <c r="AI19" s="119" t="s">
        <v>173</v>
      </c>
      <c r="AJ19" s="120"/>
      <c r="AK19" s="120"/>
      <c r="AL19" s="120"/>
      <c r="AM19" s="121"/>
      <c r="AN19" s="143" t="s">
        <v>47</v>
      </c>
      <c r="AO19" s="144"/>
      <c r="AP19" s="138" t="s">
        <v>180</v>
      </c>
      <c r="AQ19" s="145"/>
      <c r="AR19" s="146"/>
    </row>
    <row r="20" spans="2:44" ht="20.15" customHeight="1" x14ac:dyDescent="0.25">
      <c r="B20" s="123"/>
      <c r="C20" s="3" t="s">
        <v>169</v>
      </c>
      <c r="D20" s="3" t="s">
        <v>113</v>
      </c>
      <c r="E20" s="3" t="s">
        <v>15</v>
      </c>
      <c r="F20" s="117" t="s">
        <v>100</v>
      </c>
      <c r="G20" s="118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31" t="s">
        <v>148</v>
      </c>
      <c r="AE20" s="118"/>
      <c r="AF20" s="17" t="s">
        <v>151</v>
      </c>
      <c r="AG20" s="17" t="s">
        <v>153</v>
      </c>
      <c r="AH20" s="17" t="s">
        <v>155</v>
      </c>
      <c r="AI20" s="112" t="s">
        <v>89</v>
      </c>
      <c r="AJ20" s="113"/>
      <c r="AK20" s="112" t="s">
        <v>92</v>
      </c>
      <c r="AL20" s="113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2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>
        <v>-80.48321533203125</v>
      </c>
      <c r="D22" s="54">
        <v>-80.29513549804688</v>
      </c>
      <c r="E22" s="54">
        <v>103.13584899902344</v>
      </c>
      <c r="F22" s="54">
        <v>0.08260995149612427</v>
      </c>
      <c r="G22" s="54"/>
      <c r="H22" s="54"/>
      <c r="I22" s="54"/>
      <c r="J22" s="54"/>
      <c r="K22" s="54"/>
      <c r="L22" s="55"/>
      <c r="M22" s="70">
        <v>25.6546573638916</v>
      </c>
      <c r="N22" s="54">
        <v>46.94733810424805</v>
      </c>
      <c r="O22" s="54">
        <v>39.5</v>
      </c>
      <c r="P22" s="54">
        <v>22</v>
      </c>
      <c r="Q22" s="54">
        <v>3.426649332046509</v>
      </c>
      <c r="R22" s="54">
        <v>19.571035385131836</v>
      </c>
      <c r="S22" s="71">
        <v>94.75187683105469</v>
      </c>
      <c r="T22" s="71">
        <v>0</v>
      </c>
      <c r="U22" s="71">
        <v>0</v>
      </c>
      <c r="V22" s="71">
        <v>18.02842903137207</v>
      </c>
      <c r="W22" s="71">
        <v>50.878910064697266</v>
      </c>
      <c r="X22" s="71">
        <v>28</v>
      </c>
      <c r="Y22" s="71">
        <v>73.30096435546875</v>
      </c>
      <c r="Z22" s="71">
        <v>14.928747177124023</v>
      </c>
      <c r="AA22" s="71">
        <v>17.92534828186035</v>
      </c>
      <c r="AB22" s="71"/>
      <c r="AC22" s="58"/>
      <c r="AD22" s="58">
        <v>1.5482856035232544</v>
      </c>
      <c r="AE22" s="58"/>
      <c r="AF22" s="58">
        <v>20.12803840637207</v>
      </c>
      <c r="AG22" s="58">
        <v>21.281827926635742</v>
      </c>
      <c r="AH22" s="58"/>
      <c r="AI22" s="72"/>
      <c r="AJ22" s="72"/>
      <c r="AK22" s="72"/>
      <c r="AL22" s="72"/>
      <c r="AM22" s="72"/>
      <c r="AN22" s="58">
        <v>51.21527862548828</v>
      </c>
      <c r="AO22" s="59">
        <v>50</v>
      </c>
      <c r="AP22" s="60">
        <v>25.074146270751953</v>
      </c>
      <c r="AQ22" s="61">
        <v>41.44241714477539</v>
      </c>
      <c r="AR22" s="62">
        <v>0.09766387939453125</v>
      </c>
    </row>
    <row r="23" spans="2:44" ht="13.5" customHeight="1" x14ac:dyDescent="0.25">
      <c r="B23" s="14">
        <v>0.875</v>
      </c>
      <c r="C23" s="54">
        <v>-80.34577941894531</v>
      </c>
      <c r="D23" s="54">
        <v>-80.19386291503906</v>
      </c>
      <c r="E23" s="54">
        <v>103.13223266601562</v>
      </c>
      <c r="F23" s="54">
        <v>0.1000434011220932</v>
      </c>
      <c r="G23" s="54">
        <v>8.044815331231803E-05</v>
      </c>
      <c r="H23" s="54"/>
      <c r="I23" s="54"/>
      <c r="J23" s="54"/>
      <c r="K23" s="54"/>
      <c r="L23" s="55"/>
      <c r="M23" s="70">
        <v>25.795717239379883</v>
      </c>
      <c r="N23" s="54">
        <v>46.67245101928711</v>
      </c>
      <c r="O23" s="54">
        <v>39.5</v>
      </c>
      <c r="P23" s="54">
        <v>22</v>
      </c>
      <c r="Q23" s="54">
        <v>3.534722328186035</v>
      </c>
      <c r="R23" s="54">
        <v>19.4046573638916</v>
      </c>
      <c r="S23" s="71">
        <v>93.5365982055664</v>
      </c>
      <c r="T23" s="71">
        <v>0</v>
      </c>
      <c r="U23" s="71">
        <v>0</v>
      </c>
      <c r="V23" s="71">
        <v>18.277996063232422</v>
      </c>
      <c r="W23" s="71">
        <v>49.831817626953125</v>
      </c>
      <c r="X23" s="71">
        <v>28</v>
      </c>
      <c r="Y23" s="71">
        <v>72.5048828125</v>
      </c>
      <c r="Z23" s="71">
        <v>14.726200103759766</v>
      </c>
      <c r="AA23" s="71">
        <v>17.567276000976562</v>
      </c>
      <c r="AB23" s="71"/>
      <c r="AC23" s="58"/>
      <c r="AD23" s="58">
        <v>0</v>
      </c>
      <c r="AE23" s="58">
        <v>0.0010571898892521858</v>
      </c>
      <c r="AF23" s="58">
        <v>20.200376510620117</v>
      </c>
      <c r="AG23" s="58">
        <v>15.9035005569458</v>
      </c>
      <c r="AH23" s="58">
        <v>484.1000061035156</v>
      </c>
      <c r="AI23" s="72"/>
      <c r="AJ23" s="72"/>
      <c r="AK23" s="72"/>
      <c r="AL23" s="72"/>
      <c r="AM23" s="72"/>
      <c r="AN23" s="58">
        <v>50.23147964477539</v>
      </c>
      <c r="AO23" s="59">
        <v>50</v>
      </c>
      <c r="AP23" s="60">
        <v>24.79383659362793</v>
      </c>
      <c r="AQ23" s="61">
        <v>40.596065521240234</v>
      </c>
      <c r="AR23" s="62">
        <v>0.075958251953125</v>
      </c>
    </row>
    <row r="24" spans="2:44" ht="13.5" customHeight="1" x14ac:dyDescent="0.25">
      <c r="B24" s="41" t="s">
        <v>271</v>
      </c>
      <c r="C24" s="54">
        <v>-80.16493225097656</v>
      </c>
      <c r="D24" s="54">
        <v>-80.08535766601562</v>
      </c>
      <c r="E24" s="54">
        <v>103.13584899902344</v>
      </c>
      <c r="F24" s="54">
        <v>0.05953414365649223</v>
      </c>
      <c r="G24" s="54">
        <v>8.077621168922633E-05</v>
      </c>
      <c r="H24" s="54"/>
      <c r="I24" s="54"/>
      <c r="J24" s="54"/>
      <c r="K24" s="54"/>
      <c r="L24" s="55"/>
      <c r="M24" s="70">
        <v>25.777631759643555</v>
      </c>
      <c r="N24" s="54">
        <v>47.59114456176758</v>
      </c>
      <c r="O24" s="54">
        <v>39.5</v>
      </c>
      <c r="P24" s="54">
        <v>22</v>
      </c>
      <c r="Q24" s="54">
        <v>3.4435763359069824</v>
      </c>
      <c r="R24" s="54">
        <v>19.278066635131836</v>
      </c>
      <c r="S24" s="71">
        <v>95.08824920654297</v>
      </c>
      <c r="T24" s="71">
        <v>0</v>
      </c>
      <c r="U24" s="71">
        <v>0</v>
      </c>
      <c r="V24" s="71">
        <v>18.484159469604492</v>
      </c>
      <c r="W24" s="71">
        <v>48.87152862548828</v>
      </c>
      <c r="X24" s="71">
        <v>28</v>
      </c>
      <c r="Y24" s="71">
        <v>73.36263275146484</v>
      </c>
      <c r="Z24" s="71">
        <v>14.765986442565918</v>
      </c>
      <c r="AA24" s="71">
        <v>18.033855438232422</v>
      </c>
      <c r="AB24" s="71"/>
      <c r="AC24" s="58"/>
      <c r="AD24" s="58">
        <v>0</v>
      </c>
      <c r="AE24" s="58">
        <v>0.0011489257449284196</v>
      </c>
      <c r="AF24" s="58">
        <v>20.247394561767578</v>
      </c>
      <c r="AG24" s="58">
        <v>17.668546676635742</v>
      </c>
      <c r="AH24" s="58">
        <v>603.2000122070312</v>
      </c>
      <c r="AI24" s="72"/>
      <c r="AJ24" s="72"/>
      <c r="AK24" s="72"/>
      <c r="AL24" s="72"/>
      <c r="AM24" s="72"/>
      <c r="AN24" s="58">
        <v>49.24045181274414</v>
      </c>
      <c r="AO24" s="59">
        <v>50</v>
      </c>
      <c r="AP24" s="60">
        <v>24.911386489868164</v>
      </c>
      <c r="AQ24" s="61">
        <v>39.948638916015625</v>
      </c>
      <c r="AR24" s="62">
        <v>0.0868072509765625</v>
      </c>
    </row>
    <row r="25" spans="2:44" ht="13.5" customHeight="1" x14ac:dyDescent="0.25">
      <c r="B25" s="14">
        <v>0.95833333333333337</v>
      </c>
      <c r="C25" s="54">
        <v>-80.19386291503906</v>
      </c>
      <c r="D25" s="54">
        <v>-80.28067016601562</v>
      </c>
      <c r="E25" s="54">
        <v>103.125</v>
      </c>
      <c r="F25" s="54">
        <v>0.10076678544282913</v>
      </c>
      <c r="G25" s="54">
        <v>8.085631998255849E-05</v>
      </c>
      <c r="H25" s="54"/>
      <c r="I25" s="54"/>
      <c r="J25" s="54"/>
      <c r="K25" s="54"/>
      <c r="L25" s="55"/>
      <c r="M25" s="70">
        <v>26.0452823638916</v>
      </c>
      <c r="N25" s="54">
        <v>46.40118408203125</v>
      </c>
      <c r="O25" s="54">
        <v>39.5</v>
      </c>
      <c r="P25" s="54">
        <v>22</v>
      </c>
      <c r="Q25" s="54">
        <v>3.5</v>
      </c>
      <c r="R25" s="54">
        <v>19.274450302124023</v>
      </c>
      <c r="S25" s="71">
        <v>93.93807983398438</v>
      </c>
      <c r="T25" s="71">
        <v>0</v>
      </c>
      <c r="U25" s="71">
        <v>0</v>
      </c>
      <c r="V25" s="71">
        <v>18.739151000976562</v>
      </c>
      <c r="W25" s="71">
        <v>47.954647064208984</v>
      </c>
      <c r="X25" s="71">
        <v>28</v>
      </c>
      <c r="Y25" s="71">
        <v>72.5217056274414</v>
      </c>
      <c r="Z25" s="71">
        <v>14.632161140441895</v>
      </c>
      <c r="AA25" s="71">
        <v>18.142362594604492</v>
      </c>
      <c r="AB25" s="71"/>
      <c r="AC25" s="58"/>
      <c r="AD25" s="58">
        <v>0</v>
      </c>
      <c r="AE25" s="58">
        <v>0.001175170880742371</v>
      </c>
      <c r="AF25" s="58">
        <v>20.251012802124023</v>
      </c>
      <c r="AG25" s="58">
        <v>20.352285385131836</v>
      </c>
      <c r="AH25" s="58"/>
      <c r="AI25" s="72"/>
      <c r="AJ25" s="72"/>
      <c r="AK25" s="72"/>
      <c r="AL25" s="72"/>
      <c r="AM25" s="72"/>
      <c r="AN25" s="58">
        <v>48.2421875</v>
      </c>
      <c r="AO25" s="59">
        <v>50</v>
      </c>
      <c r="AP25" s="60">
        <v>25.345413208007812</v>
      </c>
      <c r="AQ25" s="61">
        <v>39.8835334777832</v>
      </c>
      <c r="AR25" s="62">
        <v>0.0868072509765625</v>
      </c>
    </row>
    <row r="26" spans="2:44" ht="13.5" customHeight="1" x14ac:dyDescent="0.25">
      <c r="B26" s="41" t="s">
        <v>272</v>
      </c>
      <c r="C26" s="54">
        <v>-80.35301208496094</v>
      </c>
      <c r="D26" s="54">
        <v>-80.30237579345703</v>
      </c>
      <c r="E26" s="54">
        <v>103.13223266601562</v>
      </c>
      <c r="F26" s="54">
        <v>0.0822482630610466</v>
      </c>
      <c r="G26" s="54">
        <v>8.175658877007663E-05</v>
      </c>
      <c r="H26" s="54"/>
      <c r="I26" s="54"/>
      <c r="J26" s="54"/>
      <c r="K26" s="54"/>
      <c r="L26" s="55"/>
      <c r="M26" s="70">
        <v>26.171875</v>
      </c>
      <c r="N26" s="54">
        <v>46.274593353271484</v>
      </c>
      <c r="O26" s="54">
        <v>39.5</v>
      </c>
      <c r="P26" s="54">
        <v>22</v>
      </c>
      <c r="Q26" s="54">
        <v>3.448350667953491</v>
      </c>
      <c r="R26" s="54">
        <v>19.274450302124023</v>
      </c>
      <c r="S26" s="71">
        <v>94.27806854248047</v>
      </c>
      <c r="T26" s="71">
        <v>0</v>
      </c>
      <c r="U26" s="71">
        <v>0</v>
      </c>
      <c r="V26" s="71">
        <v>19.24913215637207</v>
      </c>
      <c r="W26" s="71">
        <v>46.7393684387207</v>
      </c>
      <c r="X26" s="71">
        <v>26</v>
      </c>
      <c r="Y26" s="71">
        <v>68.03114318847656</v>
      </c>
      <c r="Z26" s="71">
        <v>14.297597885131836</v>
      </c>
      <c r="AA26" s="71">
        <v>18.14778709411621</v>
      </c>
      <c r="AB26" s="71"/>
      <c r="AC26" s="58"/>
      <c r="AD26" s="58">
        <v>1.5482856035232544</v>
      </c>
      <c r="AE26" s="58">
        <v>0.0012078246800228953</v>
      </c>
      <c r="AF26" s="58">
        <v>20.30164909362793</v>
      </c>
      <c r="AG26" s="58">
        <v>21.19140625</v>
      </c>
      <c r="AH26" s="58"/>
      <c r="AI26" s="72"/>
      <c r="AJ26" s="72"/>
      <c r="AK26" s="72"/>
      <c r="AL26" s="72"/>
      <c r="AM26" s="72"/>
      <c r="AN26" s="58">
        <v>46.6218147277832</v>
      </c>
      <c r="AO26" s="59">
        <v>50</v>
      </c>
      <c r="AP26" s="60">
        <v>24.721498489379883</v>
      </c>
      <c r="AQ26" s="61">
        <v>39.579715728759766</v>
      </c>
      <c r="AR26" s="62">
        <v>0.10851287841796875</v>
      </c>
    </row>
    <row r="27" spans="2:44" ht="13.5" customHeight="1" x14ac:dyDescent="0.25">
      <c r="B27" s="14">
        <v>4.1666666666666664E-2</v>
      </c>
      <c r="C27" s="54">
        <v>-80.18663024902344</v>
      </c>
      <c r="D27" s="54">
        <v>-80.19386291503906</v>
      </c>
      <c r="E27" s="54">
        <v>103.13223266601562</v>
      </c>
      <c r="F27" s="54">
        <v>0.08130787312984467</v>
      </c>
      <c r="G27" s="54">
        <v>8.102035644697025E-05</v>
      </c>
      <c r="H27" s="54"/>
      <c r="I27" s="54"/>
      <c r="J27" s="54"/>
      <c r="K27" s="54"/>
      <c r="L27" s="55"/>
      <c r="M27" s="70">
        <v>26.11762046813965</v>
      </c>
      <c r="N27" s="54">
        <v>45.786312103271484</v>
      </c>
      <c r="O27" s="54">
        <v>39.5</v>
      </c>
      <c r="P27" s="54">
        <v>22</v>
      </c>
      <c r="Q27" s="54">
        <v>3.464409828186035</v>
      </c>
      <c r="R27" s="54">
        <v>19.28168296813965</v>
      </c>
      <c r="S27" s="71">
        <v>92.52025604248047</v>
      </c>
      <c r="T27" s="71">
        <v>0</v>
      </c>
      <c r="U27" s="71">
        <v>0</v>
      </c>
      <c r="V27" s="71">
        <v>20.12803840637207</v>
      </c>
      <c r="W27" s="71">
        <v>45.632598876953125</v>
      </c>
      <c r="X27" s="71">
        <v>26</v>
      </c>
      <c r="Y27" s="71">
        <v>67.20142364501953</v>
      </c>
      <c r="Z27" s="71">
        <v>13.988353729248047</v>
      </c>
      <c r="AA27" s="71">
        <v>18.16948890686035</v>
      </c>
      <c r="AB27" s="71"/>
      <c r="AC27" s="58"/>
      <c r="AD27" s="58">
        <v>1.5482856035232544</v>
      </c>
      <c r="AE27" s="58">
        <v>0.0010060424683615565</v>
      </c>
      <c r="AF27" s="58">
        <v>20.373987197875977</v>
      </c>
      <c r="AG27" s="58">
        <v>21.29991340637207</v>
      </c>
      <c r="AH27" s="58"/>
      <c r="AI27" s="72"/>
      <c r="AJ27" s="72"/>
      <c r="AK27" s="72"/>
      <c r="AL27" s="72"/>
      <c r="AM27" s="72"/>
      <c r="AN27" s="58">
        <v>45.32696533203125</v>
      </c>
      <c r="AO27" s="59">
        <v>50</v>
      </c>
      <c r="AP27" s="60">
        <v>24.676286697387695</v>
      </c>
      <c r="AQ27" s="61">
        <v>39.894386291503906</v>
      </c>
      <c r="AR27" s="62">
        <v>0.11936187744140625</v>
      </c>
    </row>
    <row r="28" spans="2:44" ht="13.5" customHeight="1" x14ac:dyDescent="0.25">
      <c r="B28" s="41" t="s">
        <v>273</v>
      </c>
      <c r="C28" s="54">
        <v>-80.2445068359375</v>
      </c>
      <c r="D28" s="54">
        <v>-80.10706329345703</v>
      </c>
      <c r="E28" s="54">
        <v>103.13223266601562</v>
      </c>
      <c r="F28" s="54">
        <v>0.07667823880910873</v>
      </c>
      <c r="G28" s="54">
        <v>7.825088687241077E-05</v>
      </c>
      <c r="H28" s="54"/>
      <c r="I28" s="54"/>
      <c r="J28" s="54"/>
      <c r="K28" s="54"/>
      <c r="L28" s="55"/>
      <c r="M28" s="70">
        <v>26.25868034362793</v>
      </c>
      <c r="N28" s="54">
        <v>45.612701416015625</v>
      </c>
      <c r="O28" s="54">
        <v>39.5</v>
      </c>
      <c r="P28" s="54">
        <v>22</v>
      </c>
      <c r="Q28" s="54">
        <v>3.4036457538604736</v>
      </c>
      <c r="R28" s="54">
        <v>19.133390426635742</v>
      </c>
      <c r="S28" s="71">
        <v>94.69400787353516</v>
      </c>
      <c r="T28" s="71">
        <v>0</v>
      </c>
      <c r="U28" s="71">
        <v>0</v>
      </c>
      <c r="V28" s="71">
        <v>20.448135375976562</v>
      </c>
      <c r="W28" s="71">
        <v>44.55295181274414</v>
      </c>
      <c r="X28" s="71">
        <v>26</v>
      </c>
      <c r="Y28" s="71">
        <v>67.5994644165039</v>
      </c>
      <c r="Z28" s="71">
        <v>14.022713661193848</v>
      </c>
      <c r="AA28" s="71">
        <v>18.348526000976562</v>
      </c>
      <c r="AB28" s="71"/>
      <c r="AC28" s="58"/>
      <c r="AD28" s="58">
        <v>0</v>
      </c>
      <c r="AE28" s="58">
        <v>0.0012319335946813226</v>
      </c>
      <c r="AF28" s="58">
        <v>20.39930534362793</v>
      </c>
      <c r="AG28" s="58">
        <v>18.417245864868164</v>
      </c>
      <c r="AH28" s="58"/>
      <c r="AI28" s="72"/>
      <c r="AJ28" s="72"/>
      <c r="AK28" s="72"/>
      <c r="AL28" s="72"/>
      <c r="AM28" s="72"/>
      <c r="AN28" s="58">
        <v>44.2274284362793</v>
      </c>
      <c r="AO28" s="59">
        <v>50</v>
      </c>
      <c r="AP28" s="60">
        <v>24.06141471862793</v>
      </c>
      <c r="AQ28" s="61">
        <v>39.221641540527344</v>
      </c>
      <c r="AR28" s="62">
        <v>0.10851287841796875</v>
      </c>
    </row>
    <row r="29" spans="2:44" ht="13.5" customHeight="1" x14ac:dyDescent="0.25">
      <c r="B29" s="14">
        <v>0.125</v>
      </c>
      <c r="C29" s="54">
        <v>-80.3240737915039</v>
      </c>
      <c r="D29" s="54">
        <v>-80.14323425292969</v>
      </c>
      <c r="E29" s="54">
        <v>103.13223266601562</v>
      </c>
      <c r="F29" s="54">
        <v>0.07826967537403107</v>
      </c>
      <c r="G29" s="54">
        <v>7.933044253150001E-05</v>
      </c>
      <c r="H29" s="54"/>
      <c r="I29" s="54"/>
      <c r="J29" s="54"/>
      <c r="K29" s="54"/>
      <c r="L29" s="55"/>
      <c r="M29" s="70">
        <v>26.233362197875977</v>
      </c>
      <c r="N29" s="54">
        <v>45.243778228759766</v>
      </c>
      <c r="O29" s="54">
        <v>39.5</v>
      </c>
      <c r="P29" s="54">
        <v>22</v>
      </c>
      <c r="Q29" s="54">
        <v>3.504340410232544</v>
      </c>
      <c r="R29" s="54">
        <v>19.12977409362793</v>
      </c>
      <c r="S29" s="71">
        <v>93.48234558105469</v>
      </c>
      <c r="T29" s="71">
        <v>0</v>
      </c>
      <c r="U29" s="71">
        <v>0</v>
      </c>
      <c r="V29" s="71">
        <v>20.947267532348633</v>
      </c>
      <c r="W29" s="71">
        <v>43.923614501953125</v>
      </c>
      <c r="X29" s="71">
        <v>26</v>
      </c>
      <c r="Y29" s="71">
        <v>67.36400604248047</v>
      </c>
      <c r="Z29" s="71">
        <v>13.729744911193848</v>
      </c>
      <c r="AA29" s="71">
        <v>18.39192771911621</v>
      </c>
      <c r="AB29" s="71"/>
      <c r="AC29" s="58"/>
      <c r="AD29" s="58">
        <v>1.54833984375</v>
      </c>
      <c r="AE29" s="58">
        <v>0.0013239745749160647</v>
      </c>
      <c r="AF29" s="58">
        <v>20.457176208496094</v>
      </c>
      <c r="AG29" s="58">
        <v>21.07204818725586</v>
      </c>
      <c r="AH29" s="58"/>
      <c r="AI29" s="72"/>
      <c r="AJ29" s="72"/>
      <c r="AK29" s="72"/>
      <c r="AL29" s="72"/>
      <c r="AM29" s="72"/>
      <c r="AN29" s="58">
        <v>43.366607666015625</v>
      </c>
      <c r="AO29" s="59">
        <v>50</v>
      </c>
      <c r="AP29" s="60">
        <v>23.889612197875977</v>
      </c>
      <c r="AQ29" s="61">
        <v>39.453125</v>
      </c>
      <c r="AR29" s="62">
        <v>0.10851287841796875</v>
      </c>
    </row>
    <row r="30" spans="2:44" ht="13.5" customHeight="1" x14ac:dyDescent="0.25">
      <c r="B30" s="14">
        <v>0.16666666666666666</v>
      </c>
      <c r="C30" s="54">
        <v>-80.28790283203125</v>
      </c>
      <c r="D30" s="54">
        <v>-80.20833587646484</v>
      </c>
      <c r="E30" s="54">
        <v>103.13223266601562</v>
      </c>
      <c r="F30" s="54">
        <v>0.0551215298473835</v>
      </c>
      <c r="G30" s="54">
        <v>8.078003156697378E-05</v>
      </c>
      <c r="H30" s="54"/>
      <c r="I30" s="54"/>
      <c r="J30" s="54"/>
      <c r="K30" s="54"/>
      <c r="L30" s="55"/>
      <c r="M30" s="70">
        <v>25.958477020263672</v>
      </c>
      <c r="N30" s="54">
        <v>45.558448791503906</v>
      </c>
      <c r="O30" s="54">
        <v>39.5</v>
      </c>
      <c r="P30" s="54">
        <v>22</v>
      </c>
      <c r="Q30" s="54">
        <v>3.3919270038604736</v>
      </c>
      <c r="R30" s="54">
        <v>19.35763931274414</v>
      </c>
      <c r="S30" s="71">
        <v>95.13888549804688</v>
      </c>
      <c r="T30" s="71">
        <v>0</v>
      </c>
      <c r="U30" s="71">
        <v>0</v>
      </c>
      <c r="V30" s="71">
        <v>21.571182250976562</v>
      </c>
      <c r="W30" s="71">
        <v>43.40277862548828</v>
      </c>
      <c r="X30" s="71">
        <v>26</v>
      </c>
      <c r="Y30" s="71">
        <v>67.93022918701172</v>
      </c>
      <c r="Z30" s="71">
        <v>13.740595817565918</v>
      </c>
      <c r="AA30" s="71">
        <v>18.581815719604492</v>
      </c>
      <c r="AB30" s="71"/>
      <c r="AC30" s="58"/>
      <c r="AD30" s="58">
        <v>1.5483940839767456</v>
      </c>
      <c r="AE30" s="58">
        <v>0.0014915161300450563</v>
      </c>
      <c r="AF30" s="58">
        <v>20.547597885131836</v>
      </c>
      <c r="AG30" s="58">
        <v>22.377748489379883</v>
      </c>
      <c r="AH30" s="58"/>
      <c r="AI30" s="72"/>
      <c r="AJ30" s="72"/>
      <c r="AK30" s="72"/>
      <c r="AL30" s="72"/>
      <c r="AM30" s="72"/>
      <c r="AN30" s="58">
        <v>42.65046310424805</v>
      </c>
      <c r="AO30" s="59">
        <v>50</v>
      </c>
      <c r="AP30" s="60">
        <v>23.38324737548828</v>
      </c>
      <c r="AQ30" s="61">
        <v>43.17852783203125</v>
      </c>
      <c r="AR30" s="62">
        <v>0.09766387939453125</v>
      </c>
    </row>
    <row r="31" spans="2:44" ht="13.5" customHeight="1" x14ac:dyDescent="0.25">
      <c r="B31" s="14">
        <v>0.20833333333333334</v>
      </c>
      <c r="C31" s="54">
        <v>-80.17216491699219</v>
      </c>
      <c r="D31" s="54">
        <v>-80.07089233398438</v>
      </c>
      <c r="E31" s="54">
        <v>103.12861633300781</v>
      </c>
      <c r="F31" s="54">
        <v>0.09512442350387573</v>
      </c>
      <c r="G31" s="54">
        <v>8.119201811496168E-05</v>
      </c>
      <c r="H31" s="54"/>
      <c r="I31" s="54"/>
      <c r="J31" s="54"/>
      <c r="K31" s="54"/>
      <c r="L31" s="55"/>
      <c r="M31" s="70">
        <v>25.6546573638916</v>
      </c>
      <c r="N31" s="54">
        <v>44.23828125</v>
      </c>
      <c r="O31" s="54">
        <v>39.5</v>
      </c>
      <c r="P31" s="54">
        <v>22</v>
      </c>
      <c r="Q31" s="54">
        <v>3.48828125</v>
      </c>
      <c r="R31" s="54">
        <v>19.28168296813965</v>
      </c>
      <c r="S31" s="71">
        <v>92.6251449584961</v>
      </c>
      <c r="T31" s="71">
        <v>0</v>
      </c>
      <c r="U31" s="71">
        <v>0</v>
      </c>
      <c r="V31" s="71">
        <v>22.558595657348633</v>
      </c>
      <c r="W31" s="71">
        <v>42.57270050048828</v>
      </c>
      <c r="X31" s="71">
        <v>26</v>
      </c>
      <c r="Y31" s="71">
        <v>67.77325439453125</v>
      </c>
      <c r="Z31" s="71">
        <v>13.677300453186035</v>
      </c>
      <c r="AA31" s="71">
        <v>18.51128578186035</v>
      </c>
      <c r="AB31" s="71"/>
      <c r="AC31" s="58"/>
      <c r="AD31" s="58">
        <v>1.5483940839767456</v>
      </c>
      <c r="AE31" s="58">
        <v>0.0013941649813205004</v>
      </c>
      <c r="AF31" s="58">
        <v>20.56206512451172</v>
      </c>
      <c r="AG31" s="58">
        <v>24.8734073638916</v>
      </c>
      <c r="AH31" s="58"/>
      <c r="AI31" s="72"/>
      <c r="AJ31" s="72"/>
      <c r="AK31" s="72"/>
      <c r="AL31" s="72"/>
      <c r="AM31" s="72"/>
      <c r="AN31" s="58">
        <v>41.84027862548828</v>
      </c>
      <c r="AO31" s="59">
        <v>50</v>
      </c>
      <c r="AP31" s="60">
        <v>23.54600715637207</v>
      </c>
      <c r="AQ31" s="61">
        <v>40.27054214477539</v>
      </c>
      <c r="AR31" s="62">
        <v>0.10851287841796875</v>
      </c>
    </row>
    <row r="32" spans="2:44" ht="13.5" customHeight="1" x14ac:dyDescent="0.25">
      <c r="B32" s="14">
        <v>0.25</v>
      </c>
      <c r="C32" s="54">
        <v>-80.1287612915039</v>
      </c>
      <c r="D32" s="54">
        <v>-80.03472137451172</v>
      </c>
      <c r="E32" s="54">
        <v>103.13223266601562</v>
      </c>
      <c r="F32" s="54">
        <v>0.07863136380910873</v>
      </c>
      <c r="G32" s="54">
        <v>8.252334373537451E-05</v>
      </c>
      <c r="H32" s="54"/>
      <c r="I32" s="54"/>
      <c r="J32" s="54"/>
      <c r="K32" s="54"/>
      <c r="L32" s="55"/>
      <c r="M32" s="70">
        <v>26.001880645751953</v>
      </c>
      <c r="N32" s="54">
        <v>45.33781814575195</v>
      </c>
      <c r="O32" s="54">
        <v>39.5</v>
      </c>
      <c r="P32" s="54">
        <v>22</v>
      </c>
      <c r="Q32" s="54">
        <v>3.5368924140930176</v>
      </c>
      <c r="R32" s="54">
        <v>19.299768447875977</v>
      </c>
      <c r="S32" s="71">
        <v>92.9976806640625</v>
      </c>
      <c r="T32" s="71">
        <v>0</v>
      </c>
      <c r="U32" s="71">
        <v>0</v>
      </c>
      <c r="V32" s="71">
        <v>23.231338500976562</v>
      </c>
      <c r="W32" s="71">
        <v>41.829429626464844</v>
      </c>
      <c r="X32" s="71">
        <v>26</v>
      </c>
      <c r="Y32" s="71">
        <v>67.94144439697266</v>
      </c>
      <c r="Z32" s="71">
        <v>13.695384979248047</v>
      </c>
      <c r="AA32" s="71">
        <v>18.58724021911621</v>
      </c>
      <c r="AB32" s="71"/>
      <c r="AC32" s="58"/>
      <c r="AD32" s="58">
        <v>0</v>
      </c>
      <c r="AE32" s="58">
        <v>0.000917846686206758</v>
      </c>
      <c r="AF32" s="58">
        <v>20.609085083007812</v>
      </c>
      <c r="AG32" s="58">
        <v>15.686487197875977</v>
      </c>
      <c r="AH32" s="58"/>
      <c r="AI32" s="72"/>
      <c r="AJ32" s="72"/>
      <c r="AK32" s="72"/>
      <c r="AL32" s="72"/>
      <c r="AM32" s="72"/>
      <c r="AN32" s="58">
        <v>41.355613708496094</v>
      </c>
      <c r="AO32" s="59">
        <v>50</v>
      </c>
      <c r="AP32" s="60">
        <v>23.889612197875977</v>
      </c>
      <c r="AQ32" s="61">
        <v>40.02097702026367</v>
      </c>
      <c r="AR32" s="62">
        <v>0.10851287841796875</v>
      </c>
    </row>
    <row r="33" spans="2:44" ht="13.5" customHeight="1" x14ac:dyDescent="0.25">
      <c r="B33" s="14">
        <v>0.29166666666666669</v>
      </c>
      <c r="C33" s="54">
        <v>-80.14323425292969</v>
      </c>
      <c r="D33" s="54">
        <v>-80.14323425292969</v>
      </c>
      <c r="E33" s="54">
        <v>103.12861633300781</v>
      </c>
      <c r="F33" s="54">
        <v>0.0581597238779068</v>
      </c>
      <c r="G33" s="54">
        <v>8.102416904876009E-05</v>
      </c>
      <c r="H33" s="54"/>
      <c r="I33" s="54"/>
      <c r="J33" s="54"/>
      <c r="K33" s="54"/>
      <c r="L33" s="55"/>
      <c r="M33" s="70">
        <v>25.969327926635742</v>
      </c>
      <c r="N33" s="54">
        <v>45.68503952026367</v>
      </c>
      <c r="O33" s="54">
        <v>39.5</v>
      </c>
      <c r="P33" s="54">
        <v>22</v>
      </c>
      <c r="Q33" s="54">
        <v>3.4518229961395264</v>
      </c>
      <c r="R33" s="54">
        <v>19.296152114868164</v>
      </c>
      <c r="S33" s="71">
        <v>92.63961029052734</v>
      </c>
      <c r="T33" s="71">
        <v>0</v>
      </c>
      <c r="U33" s="71">
        <v>0</v>
      </c>
      <c r="V33" s="71">
        <v>23.36154556274414</v>
      </c>
      <c r="W33" s="71">
        <v>41.682945251464844</v>
      </c>
      <c r="X33" s="71">
        <v>26</v>
      </c>
      <c r="Y33" s="71">
        <v>66.9939956665039</v>
      </c>
      <c r="Z33" s="71">
        <v>13.890697479248047</v>
      </c>
      <c r="AA33" s="71">
        <v>19.07552146911621</v>
      </c>
      <c r="AB33" s="71"/>
      <c r="AC33" s="58"/>
      <c r="AD33" s="58">
        <v>1.5482856035232544</v>
      </c>
      <c r="AE33" s="58">
        <v>0.0010875244624912739</v>
      </c>
      <c r="AF33" s="58">
        <v>20.666955947875977</v>
      </c>
      <c r="AG33" s="58">
        <v>20.35590171813965</v>
      </c>
      <c r="AH33" s="58"/>
      <c r="AI33" s="72"/>
      <c r="AJ33" s="72"/>
      <c r="AK33" s="72"/>
      <c r="AL33" s="72"/>
      <c r="AM33" s="72"/>
      <c r="AN33" s="58">
        <v>40.53819274902344</v>
      </c>
      <c r="AO33" s="59">
        <v>50</v>
      </c>
      <c r="AP33" s="60">
        <v>23.392288208007812</v>
      </c>
      <c r="AQ33" s="61">
        <v>39.416954040527344</v>
      </c>
      <c r="AR33" s="62">
        <v>0.09766387939453125</v>
      </c>
    </row>
    <row r="34" spans="2:44" ht="13.5" customHeight="1" x14ac:dyDescent="0.25">
      <c r="B34" s="42">
        <v>0.33333333333333331</v>
      </c>
      <c r="C34" s="63">
        <v>-79.96961975097656</v>
      </c>
      <c r="D34" s="63">
        <v>-80.06365966796875</v>
      </c>
      <c r="E34" s="63">
        <v>103.13223266601562</v>
      </c>
      <c r="F34" s="63">
        <v>0.07024016231298447</v>
      </c>
      <c r="G34" s="63">
        <v>7.93495200923644E-05</v>
      </c>
      <c r="H34" s="63"/>
      <c r="I34" s="63"/>
      <c r="J34" s="63"/>
      <c r="K34" s="63"/>
      <c r="L34" s="64"/>
      <c r="M34" s="73">
        <v>26.265913009643555</v>
      </c>
      <c r="N34" s="63">
        <v>46.220340728759766</v>
      </c>
      <c r="O34" s="63">
        <v>39.5</v>
      </c>
      <c r="P34" s="63">
        <v>22</v>
      </c>
      <c r="Q34" s="63">
        <v>3.391059160232544</v>
      </c>
      <c r="R34" s="63">
        <v>19.41189193725586</v>
      </c>
      <c r="S34" s="74">
        <v>94.53486633300781</v>
      </c>
      <c r="T34" s="74">
        <v>0</v>
      </c>
      <c r="U34" s="74">
        <v>0</v>
      </c>
      <c r="V34" s="74">
        <v>28.748916625976562</v>
      </c>
      <c r="W34" s="74">
        <v>90.60872650146484</v>
      </c>
      <c r="X34" s="74">
        <v>26</v>
      </c>
      <c r="Y34" s="74">
        <v>68.35069274902344</v>
      </c>
      <c r="Z34" s="74">
        <v>14.6827974319458</v>
      </c>
      <c r="AA34" s="74">
        <v>18.912761688232422</v>
      </c>
      <c r="AB34" s="74"/>
      <c r="AC34" s="67"/>
      <c r="AD34" s="67">
        <v>0</v>
      </c>
      <c r="AE34" s="67">
        <v>0.0005135497776791453</v>
      </c>
      <c r="AF34" s="67">
        <v>20.685039520263672</v>
      </c>
      <c r="AG34" s="67">
        <v>18.308738708496094</v>
      </c>
      <c r="AH34" s="67"/>
      <c r="AI34" s="75"/>
      <c r="AJ34" s="75"/>
      <c r="AK34" s="75"/>
      <c r="AL34" s="75"/>
      <c r="AM34" s="75"/>
      <c r="AN34" s="67">
        <v>40.219905853271484</v>
      </c>
      <c r="AO34" s="68">
        <v>50</v>
      </c>
      <c r="AP34" s="76">
        <v>23.292823791503906</v>
      </c>
      <c r="AQ34" s="77">
        <v>39.33376693725586</v>
      </c>
      <c r="AR34" s="78">
        <v>0.0868072509765625</v>
      </c>
    </row>
    <row r="35" spans="2:44" ht="15" customHeight="1" x14ac:dyDescent="0.25">
      <c r="B35" s="136" t="s">
        <v>181</v>
      </c>
      <c r="C35" s="137" t="s">
        <v>38</v>
      </c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7" t="s">
        <v>216</v>
      </c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9"/>
      <c r="AK35" s="143" t="s">
        <v>48</v>
      </c>
      <c r="AL35" s="141"/>
      <c r="AM35" s="170" t="s">
        <v>223</v>
      </c>
      <c r="AN35" s="171"/>
      <c r="AO35" s="43"/>
      <c r="AP35" s="43"/>
      <c r="AQ35" s="43"/>
      <c r="AR35" s="44"/>
    </row>
    <row r="36" spans="2:44" ht="20.15" customHeight="1" x14ac:dyDescent="0.25">
      <c r="B36" s="123"/>
      <c r="C36" s="117" t="s">
        <v>32</v>
      </c>
      <c r="D36" s="149"/>
      <c r="E36" s="117" t="s">
        <v>33</v>
      </c>
      <c r="F36" s="178"/>
      <c r="G36" s="149"/>
      <c r="H36" s="172" t="s">
        <v>276</v>
      </c>
      <c r="I36" s="173"/>
      <c r="J36" s="4" t="s">
        <v>27</v>
      </c>
      <c r="K36" s="4" t="s">
        <v>30</v>
      </c>
      <c r="L36" s="4" t="s">
        <v>191</v>
      </c>
      <c r="M36" s="174" t="s">
        <v>192</v>
      </c>
      <c r="N36" s="175"/>
      <c r="O36" s="4" t="s">
        <v>26</v>
      </c>
      <c r="P36" s="4" t="s">
        <v>197</v>
      </c>
      <c r="Q36" s="117" t="s">
        <v>199</v>
      </c>
      <c r="R36" s="179"/>
      <c r="S36" s="117" t="s">
        <v>202</v>
      </c>
      <c r="T36" s="179"/>
      <c r="U36" s="117" t="s">
        <v>201</v>
      </c>
      <c r="V36" s="176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31" t="s">
        <v>46</v>
      </c>
      <c r="AI36" s="177"/>
      <c r="AJ36" s="118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2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2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>
        <v>0</v>
      </c>
      <c r="D39" s="50"/>
      <c r="E39" s="50">
        <v>43.48958206176758</v>
      </c>
      <c r="F39" s="50"/>
      <c r="G39" s="50"/>
      <c r="H39" s="50">
        <v>0</v>
      </c>
      <c r="I39" s="50"/>
      <c r="J39" s="50">
        <v>25.68901824951172</v>
      </c>
      <c r="K39" s="50">
        <v>40</v>
      </c>
      <c r="L39" s="50">
        <v>50.383392333984375</v>
      </c>
      <c r="M39" s="50">
        <v>0</v>
      </c>
      <c r="N39" s="50"/>
      <c r="O39" s="50">
        <v>27.605974197387695</v>
      </c>
      <c r="P39" s="50">
        <v>0.05000000074505806</v>
      </c>
      <c r="Q39" s="50">
        <v>0.15154802799224854</v>
      </c>
      <c r="R39" s="50"/>
      <c r="S39" s="50">
        <v>0</v>
      </c>
      <c r="T39" s="50"/>
      <c r="U39" s="51">
        <v>0</v>
      </c>
      <c r="V39" s="52"/>
      <c r="W39" s="53">
        <v>96.72309112548828</v>
      </c>
      <c r="X39" s="51">
        <v>17.03558921813965</v>
      </c>
      <c r="Y39" s="51">
        <v>30</v>
      </c>
      <c r="Z39" s="51">
        <v>0</v>
      </c>
      <c r="AA39" s="51">
        <v>18.02842903137207</v>
      </c>
      <c r="AB39" s="51">
        <v>50.878910064697266</v>
      </c>
      <c r="AC39" s="51">
        <v>50</v>
      </c>
      <c r="AD39" s="51">
        <v>123.79341125488281</v>
      </c>
      <c r="AE39" s="45">
        <v>14.928747177124023</v>
      </c>
      <c r="AF39" s="45">
        <v>17.92534828186035</v>
      </c>
      <c r="AG39" s="45">
        <v>223.10000610351562</v>
      </c>
      <c r="AH39" s="45">
        <v>0</v>
      </c>
      <c r="AI39" s="45">
        <v>0</v>
      </c>
      <c r="AJ39" s="45"/>
      <c r="AK39" s="45">
        <v>71.08651733398438</v>
      </c>
      <c r="AL39" s="47">
        <v>43.47511672973633</v>
      </c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>
        <v>0</v>
      </c>
      <c r="D40" s="54">
        <v>9.523153494228609E-06</v>
      </c>
      <c r="E40" s="54">
        <v>40.29224395751953</v>
      </c>
      <c r="F40" s="54"/>
      <c r="G40" s="54"/>
      <c r="H40" s="54">
        <v>0</v>
      </c>
      <c r="I40" s="54">
        <v>0</v>
      </c>
      <c r="J40" s="54">
        <v>25.517215728759766</v>
      </c>
      <c r="K40" s="54">
        <v>40</v>
      </c>
      <c r="L40" s="54">
        <v>49.171730041503906</v>
      </c>
      <c r="M40" s="54">
        <v>0</v>
      </c>
      <c r="N40" s="54">
        <v>0</v>
      </c>
      <c r="O40" s="54">
        <v>27.39800262451172</v>
      </c>
      <c r="P40" s="54">
        <v>0.05000000074505806</v>
      </c>
      <c r="Q40" s="54">
        <v>0.20565682649612427</v>
      </c>
      <c r="R40" s="54">
        <v>0.00018217468459624797</v>
      </c>
      <c r="S40" s="54">
        <v>0</v>
      </c>
      <c r="T40" s="54">
        <v>0</v>
      </c>
      <c r="U40" s="71">
        <v>0</v>
      </c>
      <c r="V40" s="79">
        <v>0</v>
      </c>
      <c r="W40" s="80">
        <v>89.71353912353516</v>
      </c>
      <c r="X40" s="71">
        <v>21.911169052124023</v>
      </c>
      <c r="Y40" s="71">
        <v>50</v>
      </c>
      <c r="Z40" s="71">
        <v>100.5685806274414</v>
      </c>
      <c r="AA40" s="71">
        <v>18.277996063232422</v>
      </c>
      <c r="AB40" s="71">
        <v>49.831817626953125</v>
      </c>
      <c r="AC40" s="71">
        <v>50</v>
      </c>
      <c r="AD40" s="71">
        <v>97.63021087646484</v>
      </c>
      <c r="AE40" s="58">
        <v>14.726200103759766</v>
      </c>
      <c r="AF40" s="58">
        <v>17.567276000976562</v>
      </c>
      <c r="AG40" s="58"/>
      <c r="AH40" s="58">
        <v>0</v>
      </c>
      <c r="AI40" s="58">
        <v>0</v>
      </c>
      <c r="AJ40" s="58">
        <v>0</v>
      </c>
      <c r="AK40" s="58">
        <v>89.8943862915039</v>
      </c>
      <c r="AL40" s="59">
        <v>61.189239501953125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>
        <v>0</v>
      </c>
      <c r="D41" s="54">
        <v>1.4002323496242752E-06</v>
      </c>
      <c r="E41" s="54">
        <v>45.949073791503906</v>
      </c>
      <c r="F41" s="54"/>
      <c r="G41" s="54"/>
      <c r="H41" s="54">
        <v>0</v>
      </c>
      <c r="I41" s="54">
        <v>0</v>
      </c>
      <c r="J41" s="54">
        <v>25.327329635620117</v>
      </c>
      <c r="K41" s="54">
        <v>40</v>
      </c>
      <c r="L41" s="54">
        <v>48.466434478759766</v>
      </c>
      <c r="M41" s="54">
        <v>0</v>
      </c>
      <c r="N41" s="54">
        <v>0</v>
      </c>
      <c r="O41" s="54">
        <v>27.108652114868164</v>
      </c>
      <c r="P41" s="54">
        <v>0.05000000074505806</v>
      </c>
      <c r="Q41" s="54">
        <v>0.1890190988779068</v>
      </c>
      <c r="R41" s="54">
        <v>0.0001823349011829123</v>
      </c>
      <c r="S41" s="54">
        <v>0</v>
      </c>
      <c r="T41" s="54">
        <v>0</v>
      </c>
      <c r="U41" s="71">
        <v>0</v>
      </c>
      <c r="V41" s="79">
        <v>0</v>
      </c>
      <c r="W41" s="80">
        <v>90.35011291503906</v>
      </c>
      <c r="X41" s="71">
        <v>18.485965728759766</v>
      </c>
      <c r="Y41" s="71">
        <v>50</v>
      </c>
      <c r="Z41" s="71">
        <v>123.8758773803711</v>
      </c>
      <c r="AA41" s="71">
        <v>18.484159469604492</v>
      </c>
      <c r="AB41" s="71">
        <v>48.87152862548828</v>
      </c>
      <c r="AC41" s="71">
        <v>50</v>
      </c>
      <c r="AD41" s="71">
        <v>123.7977523803711</v>
      </c>
      <c r="AE41" s="58">
        <v>14.765986442565918</v>
      </c>
      <c r="AF41" s="58">
        <v>18.033855438232422</v>
      </c>
      <c r="AG41" s="58">
        <v>221.5</v>
      </c>
      <c r="AH41" s="58">
        <v>0</v>
      </c>
      <c r="AI41" s="58">
        <v>0</v>
      </c>
      <c r="AJ41" s="58">
        <v>0</v>
      </c>
      <c r="AK41" s="58">
        <v>92.44068145751953</v>
      </c>
      <c r="AL41" s="59">
        <v>51.74768829345703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>
        <v>0</v>
      </c>
      <c r="D42" s="54">
        <v>3.10683253701427E-06</v>
      </c>
      <c r="E42" s="54">
        <v>43.23640060424805</v>
      </c>
      <c r="F42" s="54"/>
      <c r="G42" s="54"/>
      <c r="H42" s="54">
        <v>0</v>
      </c>
      <c r="I42" s="54">
        <v>0</v>
      </c>
      <c r="J42" s="54">
        <v>25.17361068725586</v>
      </c>
      <c r="K42" s="54">
        <v>40</v>
      </c>
      <c r="L42" s="54">
        <v>49.12651824951172</v>
      </c>
      <c r="M42" s="54">
        <v>0</v>
      </c>
      <c r="N42" s="54">
        <v>0</v>
      </c>
      <c r="O42" s="54">
        <v>26.837383270263672</v>
      </c>
      <c r="P42" s="54">
        <v>0.05000000074505806</v>
      </c>
      <c r="Q42" s="54">
        <v>0.17693865299224854</v>
      </c>
      <c r="R42" s="54">
        <v>0.00018704986723605543</v>
      </c>
      <c r="S42" s="54">
        <v>0</v>
      </c>
      <c r="T42" s="54">
        <v>0</v>
      </c>
      <c r="U42" s="71">
        <v>0</v>
      </c>
      <c r="V42" s="79">
        <v>0</v>
      </c>
      <c r="W42" s="80">
        <v>96.29991149902344</v>
      </c>
      <c r="X42" s="71">
        <v>16.746238708496094</v>
      </c>
      <c r="Y42" s="71">
        <v>40</v>
      </c>
      <c r="Z42" s="71">
        <v>104.21875762939453</v>
      </c>
      <c r="AA42" s="71">
        <v>18.739151000976562</v>
      </c>
      <c r="AB42" s="71">
        <v>47.954647064208984</v>
      </c>
      <c r="AC42" s="71">
        <v>42</v>
      </c>
      <c r="AD42" s="71">
        <v>108.8888931274414</v>
      </c>
      <c r="AE42" s="58">
        <v>14.632161140441895</v>
      </c>
      <c r="AF42" s="58">
        <v>18.142362594604492</v>
      </c>
      <c r="AG42" s="58"/>
      <c r="AH42" s="58">
        <v>0</v>
      </c>
      <c r="AI42" s="58">
        <v>0</v>
      </c>
      <c r="AJ42" s="58">
        <v>0</v>
      </c>
      <c r="AK42" s="58">
        <v>92.4587631225586</v>
      </c>
      <c r="AL42" s="59">
        <v>52.13831329345703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>
        <v>0</v>
      </c>
      <c r="D43" s="54">
        <v>1.0967254659988157E-08</v>
      </c>
      <c r="E43" s="54">
        <v>40.986690521240234</v>
      </c>
      <c r="F43" s="54"/>
      <c r="G43" s="54"/>
      <c r="H43" s="54">
        <v>0</v>
      </c>
      <c r="I43" s="54">
        <v>0</v>
      </c>
      <c r="J43" s="54">
        <v>24.90234375</v>
      </c>
      <c r="K43" s="54">
        <v>40</v>
      </c>
      <c r="L43" s="54">
        <v>49.75043487548828</v>
      </c>
      <c r="M43" s="54">
        <v>0</v>
      </c>
      <c r="N43" s="54">
        <v>0</v>
      </c>
      <c r="O43" s="54">
        <v>26.611328125</v>
      </c>
      <c r="P43" s="54">
        <v>0.05000000074505806</v>
      </c>
      <c r="Q43" s="54">
        <v>0.18909144401550293</v>
      </c>
      <c r="R43" s="54">
        <v>0.00012717438221443444</v>
      </c>
      <c r="S43" s="54">
        <v>0</v>
      </c>
      <c r="T43" s="54">
        <v>0</v>
      </c>
      <c r="U43" s="71">
        <v>0</v>
      </c>
      <c r="V43" s="79">
        <v>0</v>
      </c>
      <c r="W43" s="80">
        <v>92.76258850097656</v>
      </c>
      <c r="X43" s="71">
        <v>15.455005645751953</v>
      </c>
      <c r="Y43" s="71">
        <v>38</v>
      </c>
      <c r="Z43" s="71">
        <v>98.94966125488281</v>
      </c>
      <c r="AA43" s="71">
        <v>19.24913215637207</v>
      </c>
      <c r="AB43" s="71">
        <v>46.7393684387207</v>
      </c>
      <c r="AC43" s="71">
        <v>38</v>
      </c>
      <c r="AD43" s="71">
        <v>98.09461975097656</v>
      </c>
      <c r="AE43" s="58">
        <v>14.297597885131836</v>
      </c>
      <c r="AF43" s="58">
        <v>18.14778709411621</v>
      </c>
      <c r="AG43" s="58"/>
      <c r="AH43" s="58">
        <v>0</v>
      </c>
      <c r="AI43" s="58">
        <v>0</v>
      </c>
      <c r="AJ43" s="58">
        <v>0</v>
      </c>
      <c r="AK43" s="58">
        <v>92.42621612548828</v>
      </c>
      <c r="AL43" s="59">
        <v>52.340858459472656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>
        <v>0</v>
      </c>
      <c r="D44" s="54">
        <v>3.976106654590694E-06</v>
      </c>
      <c r="E44" s="54">
        <v>39.08420181274414</v>
      </c>
      <c r="F44" s="54"/>
      <c r="G44" s="54"/>
      <c r="H44" s="54">
        <v>0</v>
      </c>
      <c r="I44" s="54">
        <v>0</v>
      </c>
      <c r="J44" s="54">
        <v>24.676286697387695</v>
      </c>
      <c r="K44" s="54">
        <v>40</v>
      </c>
      <c r="L44" s="54">
        <v>49.64192581176758</v>
      </c>
      <c r="M44" s="54">
        <v>0</v>
      </c>
      <c r="N44" s="54">
        <v>0</v>
      </c>
      <c r="O44" s="54">
        <v>26.321975708007812</v>
      </c>
      <c r="P44" s="54">
        <v>0.05000000074505806</v>
      </c>
      <c r="Q44" s="54">
        <v>0.20435474812984467</v>
      </c>
      <c r="R44" s="54">
        <v>0.0001942977833095938</v>
      </c>
      <c r="S44" s="54">
        <v>0</v>
      </c>
      <c r="T44" s="54">
        <v>0</v>
      </c>
      <c r="U44" s="71">
        <v>0</v>
      </c>
      <c r="V44" s="79">
        <v>0</v>
      </c>
      <c r="W44" s="80">
        <v>90.72265625</v>
      </c>
      <c r="X44" s="71">
        <v>16.695602416992188</v>
      </c>
      <c r="Y44" s="71">
        <v>45</v>
      </c>
      <c r="Z44" s="71">
        <v>117.8732681274414</v>
      </c>
      <c r="AA44" s="71">
        <v>20.12803840637207</v>
      </c>
      <c r="AB44" s="71">
        <v>45.632598876953125</v>
      </c>
      <c r="AC44" s="71">
        <v>45</v>
      </c>
      <c r="AD44" s="71">
        <v>117.0008773803711</v>
      </c>
      <c r="AE44" s="58">
        <v>13.988353729248047</v>
      </c>
      <c r="AF44" s="58">
        <v>18.16948890686035</v>
      </c>
      <c r="AG44" s="58"/>
      <c r="AH44" s="58">
        <v>0</v>
      </c>
      <c r="AI44" s="58">
        <v>0</v>
      </c>
      <c r="AJ44" s="58">
        <v>0</v>
      </c>
      <c r="AK44" s="58">
        <v>92.3828125</v>
      </c>
      <c r="AL44" s="59">
        <v>52.52315139770508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>
        <v>0</v>
      </c>
      <c r="D45" s="54">
        <v>0</v>
      </c>
      <c r="E45" s="54">
        <v>37.40596008300781</v>
      </c>
      <c r="F45" s="54"/>
      <c r="G45" s="54"/>
      <c r="H45" s="54">
        <v>0</v>
      </c>
      <c r="I45" s="54">
        <v>0</v>
      </c>
      <c r="J45" s="54">
        <v>24.341724395751953</v>
      </c>
      <c r="K45" s="54">
        <v>40</v>
      </c>
      <c r="L45" s="54">
        <v>49.57863235473633</v>
      </c>
      <c r="M45" s="54">
        <v>0</v>
      </c>
      <c r="N45" s="54">
        <v>0</v>
      </c>
      <c r="O45" s="54">
        <v>25.951244354248047</v>
      </c>
      <c r="P45" s="54">
        <v>0.05000000074505806</v>
      </c>
      <c r="Q45" s="54">
        <v>0.21195022761821747</v>
      </c>
      <c r="R45" s="54">
        <v>0.0002092819195240736</v>
      </c>
      <c r="S45" s="54">
        <v>0</v>
      </c>
      <c r="T45" s="54">
        <v>0</v>
      </c>
      <c r="U45" s="71">
        <v>0</v>
      </c>
      <c r="V45" s="79">
        <v>0</v>
      </c>
      <c r="W45" s="80">
        <v>95.47887420654297</v>
      </c>
      <c r="X45" s="71">
        <v>17.292388916015625</v>
      </c>
      <c r="Y45" s="71">
        <v>50</v>
      </c>
      <c r="Z45" s="71">
        <v>123.87153625488281</v>
      </c>
      <c r="AA45" s="71">
        <v>20.448135375976562</v>
      </c>
      <c r="AB45" s="71">
        <v>44.55295181274414</v>
      </c>
      <c r="AC45" s="71">
        <v>50</v>
      </c>
      <c r="AD45" s="71">
        <v>123.80208587646484</v>
      </c>
      <c r="AE45" s="58">
        <v>14.022713661193848</v>
      </c>
      <c r="AF45" s="58">
        <v>18.348526000976562</v>
      </c>
      <c r="AG45" s="58"/>
      <c r="AH45" s="58">
        <v>0</v>
      </c>
      <c r="AI45" s="58">
        <v>0</v>
      </c>
      <c r="AJ45" s="58">
        <v>0</v>
      </c>
      <c r="AK45" s="58">
        <v>92.3321762084961</v>
      </c>
      <c r="AL45" s="59">
        <v>52.595489501953125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>
        <v>0</v>
      </c>
      <c r="D46" s="54">
        <v>2.9315947358554695E-06</v>
      </c>
      <c r="E46" s="54">
        <v>35.37326431274414</v>
      </c>
      <c r="F46" s="54"/>
      <c r="G46" s="54"/>
      <c r="H46" s="54">
        <v>0</v>
      </c>
      <c r="I46" s="54">
        <v>0</v>
      </c>
      <c r="J46" s="54">
        <v>24.11566925048828</v>
      </c>
      <c r="K46" s="54">
        <v>40</v>
      </c>
      <c r="L46" s="54">
        <v>48.80099868774414</v>
      </c>
      <c r="M46" s="54">
        <v>0</v>
      </c>
      <c r="N46" s="54">
        <v>0</v>
      </c>
      <c r="O46" s="54">
        <v>25.869863510131836</v>
      </c>
      <c r="P46" s="54">
        <v>0.05000000074505806</v>
      </c>
      <c r="Q46" s="54">
        <v>0.1898871511220932</v>
      </c>
      <c r="R46" s="54">
        <v>0.00020262908947188407</v>
      </c>
      <c r="S46" s="54">
        <v>0</v>
      </c>
      <c r="T46" s="54">
        <v>0</v>
      </c>
      <c r="U46" s="71">
        <v>0</v>
      </c>
      <c r="V46" s="79">
        <v>0</v>
      </c>
      <c r="W46" s="80">
        <v>92.15856170654297</v>
      </c>
      <c r="X46" s="71">
        <v>17.042823791503906</v>
      </c>
      <c r="Y46" s="71">
        <v>45</v>
      </c>
      <c r="Z46" s="71">
        <v>117.6649398803711</v>
      </c>
      <c r="AA46" s="71">
        <v>20.947267532348633</v>
      </c>
      <c r="AB46" s="71">
        <v>43.923614501953125</v>
      </c>
      <c r="AC46" s="71">
        <v>45</v>
      </c>
      <c r="AD46" s="71">
        <v>117.45226287841797</v>
      </c>
      <c r="AE46" s="58">
        <v>13.729744911193848</v>
      </c>
      <c r="AF46" s="58">
        <v>18.39192771911621</v>
      </c>
      <c r="AG46" s="58"/>
      <c r="AH46" s="58">
        <v>0</v>
      </c>
      <c r="AI46" s="58">
        <v>0</v>
      </c>
      <c r="AJ46" s="58">
        <v>0</v>
      </c>
      <c r="AK46" s="58">
        <v>92.3321762084961</v>
      </c>
      <c r="AL46" s="59">
        <v>52.53761672973633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>
        <v>0</v>
      </c>
      <c r="D47" s="54">
        <v>0</v>
      </c>
      <c r="E47" s="54">
        <v>43.87297439575195</v>
      </c>
      <c r="F47" s="54"/>
      <c r="G47" s="54"/>
      <c r="H47" s="54">
        <v>0</v>
      </c>
      <c r="I47" s="54">
        <v>0</v>
      </c>
      <c r="J47" s="54">
        <v>23.826316833496094</v>
      </c>
      <c r="K47" s="54">
        <v>40</v>
      </c>
      <c r="L47" s="54">
        <v>48.01432418823242</v>
      </c>
      <c r="M47" s="54">
        <v>0</v>
      </c>
      <c r="N47" s="54">
        <v>0</v>
      </c>
      <c r="O47" s="54">
        <v>25.71614646911621</v>
      </c>
      <c r="P47" s="54">
        <v>0.05000000074505806</v>
      </c>
      <c r="Q47" s="54">
        <v>0.1610243022441864</v>
      </c>
      <c r="R47" s="54">
        <v>0.00018541717145126313</v>
      </c>
      <c r="S47" s="54">
        <v>0</v>
      </c>
      <c r="T47" s="54">
        <v>0</v>
      </c>
      <c r="U47" s="71">
        <v>0</v>
      </c>
      <c r="V47" s="79">
        <v>0</v>
      </c>
      <c r="W47" s="80">
        <v>97.04499053955078</v>
      </c>
      <c r="X47" s="71">
        <v>16.033708572387695</v>
      </c>
      <c r="Y47" s="71">
        <v>42</v>
      </c>
      <c r="Z47" s="71">
        <v>108.97135925292969</v>
      </c>
      <c r="AA47" s="71">
        <v>21.571182250976562</v>
      </c>
      <c r="AB47" s="71">
        <v>43.40277862548828</v>
      </c>
      <c r="AC47" s="71">
        <v>42</v>
      </c>
      <c r="AD47" s="71">
        <v>108.42448425292969</v>
      </c>
      <c r="AE47" s="58">
        <v>13.740595817565918</v>
      </c>
      <c r="AF47" s="58">
        <v>18.581815719604492</v>
      </c>
      <c r="AG47" s="58"/>
      <c r="AH47" s="58">
        <v>0</v>
      </c>
      <c r="AI47" s="58">
        <v>0</v>
      </c>
      <c r="AJ47" s="58">
        <v>0</v>
      </c>
      <c r="AK47" s="58">
        <v>92.30685424804688</v>
      </c>
      <c r="AL47" s="59">
        <v>52.39004898071289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>
        <v>0</v>
      </c>
      <c r="D48" s="54">
        <v>2.524852789065335E-07</v>
      </c>
      <c r="E48" s="54">
        <v>46.09375</v>
      </c>
      <c r="F48" s="54"/>
      <c r="G48" s="54"/>
      <c r="H48" s="54">
        <v>0</v>
      </c>
      <c r="I48" s="54">
        <v>0</v>
      </c>
      <c r="J48" s="54">
        <v>23.609302520751953</v>
      </c>
      <c r="K48" s="54">
        <v>40</v>
      </c>
      <c r="L48" s="54">
        <v>47.272857666015625</v>
      </c>
      <c r="M48" s="54">
        <v>0</v>
      </c>
      <c r="N48" s="54">
        <v>0</v>
      </c>
      <c r="O48" s="54">
        <v>25.435836791992188</v>
      </c>
      <c r="P48" s="54">
        <v>0.05000000074505806</v>
      </c>
      <c r="Q48" s="54">
        <v>0.20739294588565826</v>
      </c>
      <c r="R48" s="54">
        <v>0.00020031738677062094</v>
      </c>
      <c r="S48" s="54">
        <v>0</v>
      </c>
      <c r="T48" s="54">
        <v>0</v>
      </c>
      <c r="U48" s="71">
        <v>0</v>
      </c>
      <c r="V48" s="79">
        <v>0</v>
      </c>
      <c r="W48" s="80">
        <v>95.15335845947266</v>
      </c>
      <c r="X48" s="71">
        <v>17.299623489379883</v>
      </c>
      <c r="Y48" s="71">
        <v>42</v>
      </c>
      <c r="Z48" s="71">
        <v>109.1232681274414</v>
      </c>
      <c r="AA48" s="71">
        <v>22.558595657348633</v>
      </c>
      <c r="AB48" s="71">
        <v>42.57270050048828</v>
      </c>
      <c r="AC48" s="71">
        <v>42</v>
      </c>
      <c r="AD48" s="71">
        <v>108.98438262939453</v>
      </c>
      <c r="AE48" s="58">
        <v>13.677300453186035</v>
      </c>
      <c r="AF48" s="58">
        <v>18.51128578186035</v>
      </c>
      <c r="AG48" s="58"/>
      <c r="AH48" s="58">
        <v>0</v>
      </c>
      <c r="AI48" s="58">
        <v>0</v>
      </c>
      <c r="AJ48" s="58">
        <v>0</v>
      </c>
      <c r="AK48" s="58">
        <v>92.29962158203125</v>
      </c>
      <c r="AL48" s="59">
        <v>52.1672477722168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>
        <v>0</v>
      </c>
      <c r="D49" s="54">
        <v>1.4020442904438823E-05</v>
      </c>
      <c r="E49" s="54">
        <v>42.96875</v>
      </c>
      <c r="F49" s="54"/>
      <c r="G49" s="54"/>
      <c r="H49" s="54">
        <v>0</v>
      </c>
      <c r="I49" s="54">
        <v>0</v>
      </c>
      <c r="J49" s="54">
        <v>23.446542739868164</v>
      </c>
      <c r="K49" s="54">
        <v>40</v>
      </c>
      <c r="L49" s="54">
        <v>47.39944839477539</v>
      </c>
      <c r="M49" s="54">
        <v>0</v>
      </c>
      <c r="N49" s="54">
        <v>0</v>
      </c>
      <c r="O49" s="54">
        <v>25.318286895751953</v>
      </c>
      <c r="P49" s="54">
        <v>0.05000000074505806</v>
      </c>
      <c r="Q49" s="54">
        <v>0.20891204476356506</v>
      </c>
      <c r="R49" s="54">
        <v>0.00020945740106981248</v>
      </c>
      <c r="S49" s="54">
        <v>0</v>
      </c>
      <c r="T49" s="54">
        <v>0</v>
      </c>
      <c r="U49" s="71">
        <v>0</v>
      </c>
      <c r="V49" s="79">
        <v>0</v>
      </c>
      <c r="W49" s="80">
        <v>89.9197006225586</v>
      </c>
      <c r="X49" s="71">
        <v>17.54557228088379</v>
      </c>
      <c r="Y49" s="71">
        <v>42</v>
      </c>
      <c r="Z49" s="71">
        <v>109.35330200195312</v>
      </c>
      <c r="AA49" s="71">
        <v>23.231338500976562</v>
      </c>
      <c r="AB49" s="71">
        <v>41.829429626464844</v>
      </c>
      <c r="AC49" s="71">
        <v>42</v>
      </c>
      <c r="AD49" s="71">
        <v>109.00173950195312</v>
      </c>
      <c r="AE49" s="58">
        <v>13.695384979248047</v>
      </c>
      <c r="AF49" s="58">
        <v>18.58724021911621</v>
      </c>
      <c r="AG49" s="58"/>
      <c r="AH49" s="58">
        <v>0</v>
      </c>
      <c r="AI49" s="58">
        <v>0</v>
      </c>
      <c r="AJ49" s="58">
        <v>0</v>
      </c>
      <c r="AK49" s="58">
        <v>92.30685424804688</v>
      </c>
      <c r="AL49" s="59">
        <v>51.889469146728516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>
        <v>0</v>
      </c>
      <c r="D50" s="54">
        <v>8.726119915536401E-08</v>
      </c>
      <c r="E50" s="54">
        <v>40.480323791503906</v>
      </c>
      <c r="F50" s="54"/>
      <c r="G50" s="54"/>
      <c r="H50" s="54">
        <v>0</v>
      </c>
      <c r="I50" s="54">
        <v>0</v>
      </c>
      <c r="J50" s="54">
        <v>23.283781051635742</v>
      </c>
      <c r="K50" s="54">
        <v>40</v>
      </c>
      <c r="L50" s="54">
        <v>48.583984375</v>
      </c>
      <c r="M50" s="54">
        <v>0</v>
      </c>
      <c r="N50" s="54">
        <v>0</v>
      </c>
      <c r="O50" s="54">
        <v>25.273075103759766</v>
      </c>
      <c r="P50" s="54">
        <v>0.05000000074505806</v>
      </c>
      <c r="Q50" s="54">
        <v>0.123046875</v>
      </c>
      <c r="R50" s="54">
        <v>0.00014645385090261698</v>
      </c>
      <c r="S50" s="54">
        <v>0</v>
      </c>
      <c r="T50" s="54">
        <v>0</v>
      </c>
      <c r="U50" s="71">
        <v>0</v>
      </c>
      <c r="V50" s="79">
        <v>0</v>
      </c>
      <c r="W50" s="80">
        <v>90.63223266601562</v>
      </c>
      <c r="X50" s="71">
        <v>16.2796573638916</v>
      </c>
      <c r="Y50" s="71">
        <v>38</v>
      </c>
      <c r="Z50" s="71">
        <v>97.85157012939453</v>
      </c>
      <c r="AA50" s="71">
        <v>23.36154556274414</v>
      </c>
      <c r="AB50" s="71">
        <v>41.682945251464844</v>
      </c>
      <c r="AC50" s="71">
        <v>38</v>
      </c>
      <c r="AD50" s="71">
        <v>98.07292175292969</v>
      </c>
      <c r="AE50" s="58">
        <v>13.890697479248047</v>
      </c>
      <c r="AF50" s="58">
        <v>19.07552146911621</v>
      </c>
      <c r="AG50" s="58"/>
      <c r="AH50" s="58">
        <v>0</v>
      </c>
      <c r="AI50" s="58">
        <v>0</v>
      </c>
      <c r="AJ50" s="58">
        <v>0</v>
      </c>
      <c r="AK50" s="58">
        <v>92.28153991699219</v>
      </c>
      <c r="AL50" s="59">
        <v>51.55671691894531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>
        <v>0.07978877425193787</v>
      </c>
      <c r="D51" s="63">
        <v>1.9009114112122916E-05</v>
      </c>
      <c r="E51" s="63">
        <v>38.53443145751953</v>
      </c>
      <c r="F51" s="63"/>
      <c r="G51" s="63"/>
      <c r="H51" s="63">
        <v>0</v>
      </c>
      <c r="I51" s="63">
        <v>0</v>
      </c>
      <c r="J51" s="63">
        <v>23.157190322875977</v>
      </c>
      <c r="K51" s="63">
        <v>40</v>
      </c>
      <c r="L51" s="63">
        <v>48.28559112548828</v>
      </c>
      <c r="M51" s="63">
        <v>0</v>
      </c>
      <c r="N51" s="63">
        <v>0</v>
      </c>
      <c r="O51" s="63">
        <v>25.209779739379883</v>
      </c>
      <c r="P51" s="63">
        <v>0.05000000074505806</v>
      </c>
      <c r="Q51" s="63">
        <v>0.12839987874031067</v>
      </c>
      <c r="R51" s="63">
        <v>0.00012719727237708867</v>
      </c>
      <c r="S51" s="63">
        <v>0</v>
      </c>
      <c r="T51" s="63">
        <v>0</v>
      </c>
      <c r="U51" s="74">
        <v>0</v>
      </c>
      <c r="V51" s="82">
        <v>0</v>
      </c>
      <c r="W51" s="83">
        <v>94.92910766601562</v>
      </c>
      <c r="X51" s="74">
        <v>16.35199546813965</v>
      </c>
      <c r="Y51" s="74">
        <v>38</v>
      </c>
      <c r="Z51" s="74">
        <v>99.40972900390625</v>
      </c>
      <c r="AA51" s="74">
        <v>28.748916625976562</v>
      </c>
      <c r="AB51" s="74">
        <v>90.60872650146484</v>
      </c>
      <c r="AC51" s="74">
        <v>0</v>
      </c>
      <c r="AD51" s="74">
        <v>4.691840648651123</v>
      </c>
      <c r="AE51" s="67">
        <v>14.6827974319458</v>
      </c>
      <c r="AF51" s="67">
        <v>18.912761688232422</v>
      </c>
      <c r="AG51" s="67"/>
      <c r="AH51" s="67">
        <v>13.07508659362793</v>
      </c>
      <c r="AI51" s="67">
        <v>0</v>
      </c>
      <c r="AJ51" s="67">
        <v>0</v>
      </c>
      <c r="AK51" s="67">
        <v>92.24536895751953</v>
      </c>
      <c r="AL51" s="68">
        <v>51.281829833984375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47" t="s">
        <v>372</v>
      </c>
      <c r="C52" s="148"/>
      <c r="D52" s="9" t="s">
        <v>274</v>
      </c>
      <c r="E52" s="124" t="s">
        <v>20</v>
      </c>
      <c r="F52" s="127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9"/>
      <c r="AQ52" s="129"/>
      <c r="AR52" s="130"/>
    </row>
    <row r="53" spans="2:44" ht="13.5" customHeight="1" x14ac:dyDescent="0.25">
      <c r="B53" s="123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31"/>
      <c r="AP53" s="131"/>
      <c r="AQ53" s="131"/>
      <c r="AR53" s="132"/>
    </row>
    <row r="54" spans="2:44" ht="13.5" customHeight="1" thickBot="1" x14ac:dyDescent="0.3">
      <c r="B54" s="13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33"/>
      <c r="AP54" s="133"/>
      <c r="AQ54" s="133"/>
      <c r="AR54" s="134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50" t="s">
        <v>230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</row>
    <row r="2" spans="2:58" ht="13" customHeight="1" x14ac:dyDescent="0.25">
      <c r="B2" s="197" t="s">
        <v>232</v>
      </c>
      <c r="C2" s="160"/>
      <c r="D2" s="160"/>
      <c r="E2" s="160"/>
      <c r="F2" s="160"/>
      <c r="G2" s="160"/>
      <c r="H2" s="160"/>
      <c r="I2" s="160"/>
      <c r="J2" s="160"/>
      <c r="K2" s="160"/>
      <c r="L2" s="165"/>
      <c r="M2" s="198" t="s">
        <v>231</v>
      </c>
      <c r="N2" s="160"/>
      <c r="O2" s="160"/>
      <c r="P2" s="160"/>
      <c r="Q2" s="160"/>
      <c r="R2" s="160"/>
      <c r="S2" s="160"/>
      <c r="T2" s="160"/>
      <c r="U2" s="160"/>
      <c r="V2" s="160"/>
      <c r="W2" s="165"/>
      <c r="X2" s="110" t="s">
        <v>233</v>
      </c>
      <c r="Y2" s="160"/>
      <c r="Z2" s="160"/>
      <c r="AA2" s="160"/>
      <c r="AB2" s="160"/>
      <c r="AC2" s="160"/>
      <c r="AD2" s="160"/>
      <c r="AE2" s="160"/>
      <c r="AF2" s="160"/>
      <c r="AG2" s="160"/>
      <c r="AH2" s="165"/>
      <c r="AI2" s="198" t="s">
        <v>234</v>
      </c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5"/>
      <c r="AU2" s="110" t="s">
        <v>235</v>
      </c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99"/>
    </row>
    <row r="3" spans="2:58" ht="13" customHeight="1" x14ac:dyDescent="0.25">
      <c r="B3" s="201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204"/>
      <c r="N3" s="185"/>
      <c r="O3" s="185"/>
      <c r="P3" s="185"/>
      <c r="Q3" s="185"/>
      <c r="R3" s="185"/>
      <c r="S3" s="185"/>
      <c r="T3" s="185"/>
      <c r="U3" s="185"/>
      <c r="V3" s="185"/>
      <c r="W3" s="186"/>
      <c r="X3" s="192"/>
      <c r="Y3" s="185"/>
      <c r="Z3" s="185"/>
      <c r="AA3" s="185"/>
      <c r="AB3" s="185"/>
      <c r="AC3" s="185"/>
      <c r="AD3" s="185"/>
      <c r="AE3" s="185"/>
      <c r="AF3" s="185"/>
      <c r="AG3" s="185"/>
      <c r="AH3" s="186"/>
      <c r="AI3" s="214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6"/>
      <c r="AU3" s="192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94"/>
    </row>
    <row r="4" spans="2:58" ht="13" customHeight="1" x14ac:dyDescent="0.25">
      <c r="B4" s="202"/>
      <c r="C4" s="188"/>
      <c r="D4" s="188"/>
      <c r="E4" s="188"/>
      <c r="F4" s="188"/>
      <c r="G4" s="188"/>
      <c r="H4" s="188"/>
      <c r="I4" s="188"/>
      <c r="J4" s="188"/>
      <c r="K4" s="188"/>
      <c r="L4" s="189"/>
      <c r="M4" s="187"/>
      <c r="N4" s="188"/>
      <c r="O4" s="188"/>
      <c r="P4" s="188"/>
      <c r="Q4" s="188"/>
      <c r="R4" s="188"/>
      <c r="S4" s="188"/>
      <c r="T4" s="188"/>
      <c r="U4" s="188"/>
      <c r="V4" s="188"/>
      <c r="W4" s="189"/>
      <c r="X4" s="187"/>
      <c r="Y4" s="188"/>
      <c r="Z4" s="188"/>
      <c r="AA4" s="188"/>
      <c r="AB4" s="188"/>
      <c r="AC4" s="188"/>
      <c r="AD4" s="188"/>
      <c r="AE4" s="188"/>
      <c r="AF4" s="188"/>
      <c r="AG4" s="188"/>
      <c r="AH4" s="189"/>
      <c r="AI4" s="187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9"/>
      <c r="AU4" s="187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95"/>
    </row>
    <row r="5" spans="2:58" ht="13" customHeight="1" x14ac:dyDescent="0.25">
      <c r="B5" s="202"/>
      <c r="C5" s="188"/>
      <c r="D5" s="188"/>
      <c r="E5" s="188"/>
      <c r="F5" s="188"/>
      <c r="G5" s="188"/>
      <c r="H5" s="188"/>
      <c r="I5" s="188"/>
      <c r="J5" s="188"/>
      <c r="K5" s="188"/>
      <c r="L5" s="189"/>
      <c r="M5" s="187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87"/>
      <c r="Y5" s="188"/>
      <c r="Z5" s="188"/>
      <c r="AA5" s="188"/>
      <c r="AB5" s="188"/>
      <c r="AC5" s="188"/>
      <c r="AD5" s="188"/>
      <c r="AE5" s="188"/>
      <c r="AF5" s="188"/>
      <c r="AG5" s="188"/>
      <c r="AH5" s="189"/>
      <c r="AI5" s="187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9"/>
      <c r="AU5" s="187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95"/>
    </row>
    <row r="6" spans="2:58" ht="13" customHeight="1" x14ac:dyDescent="0.25">
      <c r="B6" s="202"/>
      <c r="C6" s="188"/>
      <c r="D6" s="188"/>
      <c r="E6" s="188"/>
      <c r="F6" s="188"/>
      <c r="G6" s="188"/>
      <c r="H6" s="188"/>
      <c r="I6" s="188"/>
      <c r="J6" s="188"/>
      <c r="K6" s="188"/>
      <c r="L6" s="189"/>
      <c r="M6" s="187"/>
      <c r="N6" s="188"/>
      <c r="O6" s="188"/>
      <c r="P6" s="188"/>
      <c r="Q6" s="188"/>
      <c r="R6" s="188"/>
      <c r="S6" s="188"/>
      <c r="T6" s="188"/>
      <c r="U6" s="188"/>
      <c r="V6" s="188"/>
      <c r="W6" s="189"/>
      <c r="X6" s="187"/>
      <c r="Y6" s="188"/>
      <c r="Z6" s="188"/>
      <c r="AA6" s="188"/>
      <c r="AB6" s="188"/>
      <c r="AC6" s="188"/>
      <c r="AD6" s="188"/>
      <c r="AE6" s="188"/>
      <c r="AF6" s="188"/>
      <c r="AG6" s="188"/>
      <c r="AH6" s="189"/>
      <c r="AI6" s="187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187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95"/>
    </row>
    <row r="7" spans="2:58" ht="13" customHeight="1" x14ac:dyDescent="0.25">
      <c r="B7" s="202"/>
      <c r="C7" s="188"/>
      <c r="D7" s="188"/>
      <c r="E7" s="188"/>
      <c r="F7" s="188"/>
      <c r="G7" s="188"/>
      <c r="H7" s="188"/>
      <c r="I7" s="188"/>
      <c r="J7" s="188"/>
      <c r="K7" s="188"/>
      <c r="L7" s="189"/>
      <c r="M7" s="187"/>
      <c r="N7" s="188"/>
      <c r="O7" s="188"/>
      <c r="P7" s="188"/>
      <c r="Q7" s="188"/>
      <c r="R7" s="188"/>
      <c r="S7" s="188"/>
      <c r="T7" s="188"/>
      <c r="U7" s="188"/>
      <c r="V7" s="188"/>
      <c r="W7" s="189"/>
      <c r="X7" s="187"/>
      <c r="Y7" s="188"/>
      <c r="Z7" s="188"/>
      <c r="AA7" s="188"/>
      <c r="AB7" s="188"/>
      <c r="AC7" s="188"/>
      <c r="AD7" s="188"/>
      <c r="AE7" s="188"/>
      <c r="AF7" s="188"/>
      <c r="AG7" s="188"/>
      <c r="AH7" s="189"/>
      <c r="AI7" s="187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9"/>
      <c r="AU7" s="187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95"/>
    </row>
    <row r="8" spans="2:58" ht="13" customHeight="1" x14ac:dyDescent="0.25">
      <c r="B8" s="202"/>
      <c r="C8" s="188"/>
      <c r="D8" s="188"/>
      <c r="E8" s="188"/>
      <c r="F8" s="188"/>
      <c r="G8" s="188"/>
      <c r="H8" s="188"/>
      <c r="I8" s="188"/>
      <c r="J8" s="188"/>
      <c r="K8" s="188"/>
      <c r="L8" s="189"/>
      <c r="M8" s="187"/>
      <c r="N8" s="188"/>
      <c r="O8" s="188"/>
      <c r="P8" s="188"/>
      <c r="Q8" s="188"/>
      <c r="R8" s="188"/>
      <c r="S8" s="188"/>
      <c r="T8" s="188"/>
      <c r="U8" s="188"/>
      <c r="V8" s="188"/>
      <c r="W8" s="189"/>
      <c r="X8" s="187"/>
      <c r="Y8" s="188"/>
      <c r="Z8" s="188"/>
      <c r="AA8" s="188"/>
      <c r="AB8" s="188"/>
      <c r="AC8" s="188"/>
      <c r="AD8" s="188"/>
      <c r="AE8" s="188"/>
      <c r="AF8" s="188"/>
      <c r="AG8" s="188"/>
      <c r="AH8" s="189"/>
      <c r="AI8" s="187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9"/>
      <c r="AU8" s="187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95"/>
    </row>
    <row r="9" spans="2:58" ht="13" customHeight="1" x14ac:dyDescent="0.25">
      <c r="B9" s="203"/>
      <c r="C9" s="191"/>
      <c r="D9" s="191"/>
      <c r="E9" s="191"/>
      <c r="F9" s="191"/>
      <c r="G9" s="191"/>
      <c r="H9" s="191"/>
      <c r="I9" s="191"/>
      <c r="J9" s="191"/>
      <c r="K9" s="191"/>
      <c r="L9" s="148"/>
      <c r="M9" s="190"/>
      <c r="N9" s="191"/>
      <c r="O9" s="191"/>
      <c r="P9" s="191"/>
      <c r="Q9" s="191"/>
      <c r="R9" s="191"/>
      <c r="S9" s="191"/>
      <c r="T9" s="191"/>
      <c r="U9" s="191"/>
      <c r="V9" s="191"/>
      <c r="W9" s="148"/>
      <c r="X9" s="190"/>
      <c r="Y9" s="191"/>
      <c r="Z9" s="191"/>
      <c r="AA9" s="191"/>
      <c r="AB9" s="191"/>
      <c r="AC9" s="191"/>
      <c r="AD9" s="191"/>
      <c r="AE9" s="191"/>
      <c r="AF9" s="191"/>
      <c r="AG9" s="191"/>
      <c r="AH9" s="148"/>
      <c r="AI9" s="190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48"/>
      <c r="AU9" s="190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6"/>
    </row>
    <row r="10" spans="2:58" ht="13" customHeight="1" x14ac:dyDescent="0.25">
      <c r="B10" s="180" t="s">
        <v>236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49"/>
      <c r="M10" s="200" t="s">
        <v>237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49"/>
      <c r="X10" s="155" t="s">
        <v>238</v>
      </c>
      <c r="Y10" s="178"/>
      <c r="Z10" s="178"/>
      <c r="AA10" s="178"/>
      <c r="AB10" s="178"/>
      <c r="AC10" s="178"/>
      <c r="AD10" s="178"/>
      <c r="AE10" s="178"/>
      <c r="AF10" s="178"/>
      <c r="AG10" s="178"/>
      <c r="AH10" s="149"/>
      <c r="AI10" s="155" t="s">
        <v>239</v>
      </c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49"/>
      <c r="AU10" s="131" t="s">
        <v>240</v>
      </c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82"/>
    </row>
    <row r="11" spans="2:58" ht="13" customHeight="1" x14ac:dyDescent="0.25">
      <c r="B11" s="201"/>
      <c r="C11" s="185"/>
      <c r="D11" s="185"/>
      <c r="E11" s="185"/>
      <c r="F11" s="185"/>
      <c r="G11" s="185"/>
      <c r="H11" s="185"/>
      <c r="I11" s="185"/>
      <c r="J11" s="185"/>
      <c r="K11" s="185"/>
      <c r="L11" s="186"/>
      <c r="M11" s="204"/>
      <c r="N11" s="185"/>
      <c r="O11" s="185"/>
      <c r="P11" s="185"/>
      <c r="Q11" s="185"/>
      <c r="R11" s="185"/>
      <c r="S11" s="185"/>
      <c r="T11" s="185"/>
      <c r="U11" s="185"/>
      <c r="V11" s="185"/>
      <c r="W11" s="186"/>
      <c r="X11" s="204"/>
      <c r="Y11" s="185"/>
      <c r="Z11" s="185"/>
      <c r="AA11" s="185"/>
      <c r="AB11" s="185"/>
      <c r="AC11" s="185"/>
      <c r="AD11" s="185"/>
      <c r="AE11" s="185"/>
      <c r="AF11" s="185"/>
      <c r="AG11" s="185"/>
      <c r="AH11" s="186"/>
      <c r="AI11" s="204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6"/>
      <c r="AU11" s="193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94"/>
    </row>
    <row r="12" spans="2:58" ht="13" customHeight="1" x14ac:dyDescent="0.25">
      <c r="B12" s="202"/>
      <c r="C12" s="188"/>
      <c r="D12" s="188"/>
      <c r="E12" s="188"/>
      <c r="F12" s="188"/>
      <c r="G12" s="188"/>
      <c r="H12" s="188"/>
      <c r="I12" s="188"/>
      <c r="J12" s="188"/>
      <c r="K12" s="188"/>
      <c r="L12" s="189"/>
      <c r="M12" s="187"/>
      <c r="N12" s="188"/>
      <c r="O12" s="188"/>
      <c r="P12" s="188"/>
      <c r="Q12" s="188"/>
      <c r="R12" s="188"/>
      <c r="S12" s="188"/>
      <c r="T12" s="188"/>
      <c r="U12" s="188"/>
      <c r="V12" s="188"/>
      <c r="W12" s="189"/>
      <c r="X12" s="187"/>
      <c r="Y12" s="188"/>
      <c r="Z12" s="188"/>
      <c r="AA12" s="188"/>
      <c r="AB12" s="188"/>
      <c r="AC12" s="188"/>
      <c r="AD12" s="188"/>
      <c r="AE12" s="188"/>
      <c r="AF12" s="188"/>
      <c r="AG12" s="188"/>
      <c r="AH12" s="189"/>
      <c r="AI12" s="187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9"/>
      <c r="AU12" s="187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95"/>
    </row>
    <row r="13" spans="2:58" ht="13" customHeight="1" x14ac:dyDescent="0.25">
      <c r="B13" s="202"/>
      <c r="C13" s="188"/>
      <c r="D13" s="188"/>
      <c r="E13" s="188"/>
      <c r="F13" s="188"/>
      <c r="G13" s="188"/>
      <c r="H13" s="188"/>
      <c r="I13" s="188"/>
      <c r="J13" s="188"/>
      <c r="K13" s="188"/>
      <c r="L13" s="189"/>
      <c r="M13" s="187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87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  <c r="AI13" s="187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9"/>
      <c r="AU13" s="187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95"/>
    </row>
    <row r="14" spans="2:58" ht="13" customHeight="1" x14ac:dyDescent="0.25">
      <c r="B14" s="202"/>
      <c r="C14" s="188"/>
      <c r="D14" s="188"/>
      <c r="E14" s="188"/>
      <c r="F14" s="188"/>
      <c r="G14" s="188"/>
      <c r="H14" s="188"/>
      <c r="I14" s="188"/>
      <c r="J14" s="188"/>
      <c r="K14" s="188"/>
      <c r="L14" s="189"/>
      <c r="M14" s="187"/>
      <c r="N14" s="188"/>
      <c r="O14" s="188"/>
      <c r="P14" s="188"/>
      <c r="Q14" s="188"/>
      <c r="R14" s="188"/>
      <c r="S14" s="188"/>
      <c r="T14" s="188"/>
      <c r="U14" s="188"/>
      <c r="V14" s="188"/>
      <c r="W14" s="189"/>
      <c r="X14" s="187"/>
      <c r="Y14" s="188"/>
      <c r="Z14" s="188"/>
      <c r="AA14" s="188"/>
      <c r="AB14" s="188"/>
      <c r="AC14" s="188"/>
      <c r="AD14" s="188"/>
      <c r="AE14" s="188"/>
      <c r="AF14" s="188"/>
      <c r="AG14" s="188"/>
      <c r="AH14" s="189"/>
      <c r="AI14" s="187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9"/>
      <c r="AU14" s="187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95"/>
    </row>
    <row r="15" spans="2:58" ht="13" customHeight="1" x14ac:dyDescent="0.25">
      <c r="B15" s="202"/>
      <c r="C15" s="188"/>
      <c r="D15" s="188"/>
      <c r="E15" s="188"/>
      <c r="F15" s="188"/>
      <c r="G15" s="188"/>
      <c r="H15" s="188"/>
      <c r="I15" s="188"/>
      <c r="J15" s="188"/>
      <c r="K15" s="188"/>
      <c r="L15" s="189"/>
      <c r="M15" s="187"/>
      <c r="N15" s="188"/>
      <c r="O15" s="188"/>
      <c r="P15" s="188"/>
      <c r="Q15" s="188"/>
      <c r="R15" s="188"/>
      <c r="S15" s="188"/>
      <c r="T15" s="188"/>
      <c r="U15" s="188"/>
      <c r="V15" s="188"/>
      <c r="W15" s="189"/>
      <c r="X15" s="187"/>
      <c r="Y15" s="188"/>
      <c r="Z15" s="188"/>
      <c r="AA15" s="188"/>
      <c r="AB15" s="188"/>
      <c r="AC15" s="188"/>
      <c r="AD15" s="188"/>
      <c r="AE15" s="188"/>
      <c r="AF15" s="188"/>
      <c r="AG15" s="188"/>
      <c r="AH15" s="189"/>
      <c r="AI15" s="187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9"/>
      <c r="AU15" s="187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95"/>
    </row>
    <row r="16" spans="2:58" ht="13" customHeight="1" x14ac:dyDescent="0.25">
      <c r="B16" s="202"/>
      <c r="C16" s="188"/>
      <c r="D16" s="188"/>
      <c r="E16" s="188"/>
      <c r="F16" s="188"/>
      <c r="G16" s="188"/>
      <c r="H16" s="188"/>
      <c r="I16" s="188"/>
      <c r="J16" s="188"/>
      <c r="K16" s="188"/>
      <c r="L16" s="189"/>
      <c r="M16" s="187"/>
      <c r="N16" s="188"/>
      <c r="O16" s="188"/>
      <c r="P16" s="188"/>
      <c r="Q16" s="188"/>
      <c r="R16" s="188"/>
      <c r="S16" s="188"/>
      <c r="T16" s="188"/>
      <c r="U16" s="188"/>
      <c r="V16" s="188"/>
      <c r="W16" s="189"/>
      <c r="X16" s="187"/>
      <c r="Y16" s="188"/>
      <c r="Z16" s="188"/>
      <c r="AA16" s="188"/>
      <c r="AB16" s="188"/>
      <c r="AC16" s="188"/>
      <c r="AD16" s="188"/>
      <c r="AE16" s="188"/>
      <c r="AF16" s="188"/>
      <c r="AG16" s="188"/>
      <c r="AH16" s="189"/>
      <c r="AI16" s="187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9"/>
      <c r="AU16" s="187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95"/>
    </row>
    <row r="17" spans="2:58" ht="13" customHeight="1" x14ac:dyDescent="0.25">
      <c r="B17" s="203"/>
      <c r="C17" s="191"/>
      <c r="D17" s="191"/>
      <c r="E17" s="191"/>
      <c r="F17" s="191"/>
      <c r="G17" s="191"/>
      <c r="H17" s="191"/>
      <c r="I17" s="191"/>
      <c r="J17" s="191"/>
      <c r="K17" s="191"/>
      <c r="L17" s="148"/>
      <c r="M17" s="190"/>
      <c r="N17" s="191"/>
      <c r="O17" s="191"/>
      <c r="P17" s="191"/>
      <c r="Q17" s="191"/>
      <c r="R17" s="191"/>
      <c r="S17" s="191"/>
      <c r="T17" s="191"/>
      <c r="U17" s="191"/>
      <c r="V17" s="191"/>
      <c r="W17" s="148"/>
      <c r="X17" s="190"/>
      <c r="Y17" s="191"/>
      <c r="Z17" s="191"/>
      <c r="AA17" s="191"/>
      <c r="AB17" s="191"/>
      <c r="AC17" s="191"/>
      <c r="AD17" s="191"/>
      <c r="AE17" s="191"/>
      <c r="AF17" s="191"/>
      <c r="AG17" s="191"/>
      <c r="AH17" s="148"/>
      <c r="AI17" s="190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48"/>
      <c r="AU17" s="190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6"/>
    </row>
    <row r="18" spans="2:58" ht="13" customHeight="1" x14ac:dyDescent="0.25">
      <c r="B18" s="180" t="s">
        <v>241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213" t="s">
        <v>242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49"/>
      <c r="X18" s="212" t="s">
        <v>243</v>
      </c>
      <c r="Y18" s="178"/>
      <c r="Z18" s="178"/>
      <c r="AA18" s="178"/>
      <c r="AB18" s="178"/>
      <c r="AC18" s="178"/>
      <c r="AD18" s="178"/>
      <c r="AE18" s="178"/>
      <c r="AF18" s="178"/>
      <c r="AG18" s="178"/>
      <c r="AH18" s="149"/>
      <c r="AI18" s="117" t="s">
        <v>244</v>
      </c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49"/>
      <c r="AU18" s="131" t="s">
        <v>245</v>
      </c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82"/>
    </row>
    <row r="19" spans="2:58" ht="13" customHeight="1" x14ac:dyDescent="0.25">
      <c r="B19" s="201"/>
      <c r="C19" s="185"/>
      <c r="D19" s="185"/>
      <c r="E19" s="185"/>
      <c r="F19" s="185"/>
      <c r="G19" s="185"/>
      <c r="H19" s="185"/>
      <c r="I19" s="185"/>
      <c r="J19" s="185"/>
      <c r="K19" s="185"/>
      <c r="L19" s="186"/>
      <c r="M19" s="215"/>
      <c r="N19" s="185"/>
      <c r="O19" s="185"/>
      <c r="P19" s="185"/>
      <c r="Q19" s="185"/>
      <c r="R19" s="185"/>
      <c r="S19" s="185"/>
      <c r="T19" s="185"/>
      <c r="U19" s="185"/>
      <c r="V19" s="185"/>
      <c r="W19" s="186"/>
      <c r="X19" s="184"/>
      <c r="Y19" s="185"/>
      <c r="Z19" s="185"/>
      <c r="AA19" s="185"/>
      <c r="AB19" s="185"/>
      <c r="AC19" s="185"/>
      <c r="AD19" s="185"/>
      <c r="AE19" s="185"/>
      <c r="AF19" s="185"/>
      <c r="AG19" s="185"/>
      <c r="AH19" s="186"/>
      <c r="AI19" s="192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6"/>
      <c r="AU19" s="193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94"/>
    </row>
    <row r="20" spans="2:58" ht="13" customHeight="1" x14ac:dyDescent="0.25">
      <c r="B20" s="202"/>
      <c r="C20" s="188"/>
      <c r="D20" s="188"/>
      <c r="E20" s="188"/>
      <c r="F20" s="188"/>
      <c r="G20" s="188"/>
      <c r="H20" s="188"/>
      <c r="I20" s="188"/>
      <c r="J20" s="188"/>
      <c r="K20" s="188"/>
      <c r="L20" s="189"/>
      <c r="M20" s="187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187"/>
      <c r="Y20" s="188"/>
      <c r="Z20" s="188"/>
      <c r="AA20" s="188"/>
      <c r="AB20" s="188"/>
      <c r="AC20" s="188"/>
      <c r="AD20" s="188"/>
      <c r="AE20" s="188"/>
      <c r="AF20" s="188"/>
      <c r="AG20" s="188"/>
      <c r="AH20" s="189"/>
      <c r="AI20" s="187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9"/>
      <c r="AU20" s="187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95"/>
    </row>
    <row r="21" spans="2:58" ht="13" customHeight="1" x14ac:dyDescent="0.25">
      <c r="B21" s="202"/>
      <c r="C21" s="188"/>
      <c r="D21" s="188"/>
      <c r="E21" s="188"/>
      <c r="F21" s="188"/>
      <c r="G21" s="188"/>
      <c r="H21" s="188"/>
      <c r="I21" s="188"/>
      <c r="J21" s="188"/>
      <c r="K21" s="188"/>
      <c r="L21" s="189"/>
      <c r="M21" s="187"/>
      <c r="N21" s="188"/>
      <c r="O21" s="188"/>
      <c r="P21" s="188"/>
      <c r="Q21" s="188"/>
      <c r="R21" s="188"/>
      <c r="S21" s="188"/>
      <c r="T21" s="188"/>
      <c r="U21" s="188"/>
      <c r="V21" s="188"/>
      <c r="W21" s="189"/>
      <c r="X21" s="187"/>
      <c r="Y21" s="188"/>
      <c r="Z21" s="188"/>
      <c r="AA21" s="188"/>
      <c r="AB21" s="188"/>
      <c r="AC21" s="188"/>
      <c r="AD21" s="188"/>
      <c r="AE21" s="188"/>
      <c r="AF21" s="188"/>
      <c r="AG21" s="188"/>
      <c r="AH21" s="189"/>
      <c r="AI21" s="187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9"/>
      <c r="AU21" s="187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95"/>
    </row>
    <row r="22" spans="2:58" ht="13" customHeight="1" x14ac:dyDescent="0.25">
      <c r="B22" s="202"/>
      <c r="C22" s="188"/>
      <c r="D22" s="188"/>
      <c r="E22" s="188"/>
      <c r="F22" s="188"/>
      <c r="G22" s="188"/>
      <c r="H22" s="188"/>
      <c r="I22" s="188"/>
      <c r="J22" s="188"/>
      <c r="K22" s="188"/>
      <c r="L22" s="189"/>
      <c r="M22" s="187"/>
      <c r="N22" s="188"/>
      <c r="O22" s="188"/>
      <c r="P22" s="188"/>
      <c r="Q22" s="188"/>
      <c r="R22" s="188"/>
      <c r="S22" s="188"/>
      <c r="T22" s="188"/>
      <c r="U22" s="188"/>
      <c r="V22" s="188"/>
      <c r="W22" s="189"/>
      <c r="X22" s="187"/>
      <c r="Y22" s="188"/>
      <c r="Z22" s="188"/>
      <c r="AA22" s="188"/>
      <c r="AB22" s="188"/>
      <c r="AC22" s="188"/>
      <c r="AD22" s="188"/>
      <c r="AE22" s="188"/>
      <c r="AF22" s="188"/>
      <c r="AG22" s="188"/>
      <c r="AH22" s="189"/>
      <c r="AI22" s="187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9"/>
      <c r="AU22" s="187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95"/>
    </row>
    <row r="23" spans="2:58" ht="13" customHeight="1" x14ac:dyDescent="0.25">
      <c r="B23" s="202"/>
      <c r="C23" s="188"/>
      <c r="D23" s="188"/>
      <c r="E23" s="188"/>
      <c r="F23" s="188"/>
      <c r="G23" s="188"/>
      <c r="H23" s="188"/>
      <c r="I23" s="188"/>
      <c r="J23" s="188"/>
      <c r="K23" s="188"/>
      <c r="L23" s="189"/>
      <c r="M23" s="187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87"/>
      <c r="Y23" s="188"/>
      <c r="Z23" s="188"/>
      <c r="AA23" s="188"/>
      <c r="AB23" s="188"/>
      <c r="AC23" s="188"/>
      <c r="AD23" s="188"/>
      <c r="AE23" s="188"/>
      <c r="AF23" s="188"/>
      <c r="AG23" s="188"/>
      <c r="AH23" s="189"/>
      <c r="AI23" s="187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9"/>
      <c r="AU23" s="187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95"/>
    </row>
    <row r="24" spans="2:58" ht="13" customHeight="1" x14ac:dyDescent="0.25">
      <c r="B24" s="203"/>
      <c r="C24" s="191"/>
      <c r="D24" s="191"/>
      <c r="E24" s="191"/>
      <c r="F24" s="191"/>
      <c r="G24" s="191"/>
      <c r="H24" s="191"/>
      <c r="I24" s="191"/>
      <c r="J24" s="191"/>
      <c r="K24" s="191"/>
      <c r="L24" s="148"/>
      <c r="M24" s="190"/>
      <c r="N24" s="191"/>
      <c r="O24" s="191"/>
      <c r="P24" s="191"/>
      <c r="Q24" s="191"/>
      <c r="R24" s="191"/>
      <c r="S24" s="191"/>
      <c r="T24" s="191"/>
      <c r="U24" s="191"/>
      <c r="V24" s="191"/>
      <c r="W24" s="148"/>
      <c r="X24" s="190"/>
      <c r="Y24" s="191"/>
      <c r="Z24" s="191"/>
      <c r="AA24" s="191"/>
      <c r="AB24" s="191"/>
      <c r="AC24" s="191"/>
      <c r="AD24" s="191"/>
      <c r="AE24" s="191"/>
      <c r="AF24" s="191"/>
      <c r="AG24" s="191"/>
      <c r="AH24" s="148"/>
      <c r="AI24" s="190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48"/>
      <c r="AU24" s="190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6"/>
    </row>
    <row r="25" spans="2:58" ht="13" customHeight="1" x14ac:dyDescent="0.25">
      <c r="B25" s="180" t="s">
        <v>246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49"/>
      <c r="M25" s="155" t="s">
        <v>247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49"/>
      <c r="X25" s="181" t="s">
        <v>248</v>
      </c>
      <c r="Y25" s="178"/>
      <c r="Z25" s="178"/>
      <c r="AA25" s="178"/>
      <c r="AB25" s="178"/>
      <c r="AC25" s="178"/>
      <c r="AD25" s="178"/>
      <c r="AE25" s="178"/>
      <c r="AF25" s="178"/>
      <c r="AG25" s="178"/>
      <c r="AH25" s="149"/>
      <c r="AI25" s="131" t="s">
        <v>249</v>
      </c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49"/>
      <c r="AU25" s="131" t="s">
        <v>250</v>
      </c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82"/>
    </row>
    <row r="26" spans="2:58" ht="13" customHeight="1" x14ac:dyDescent="0.25">
      <c r="B26" s="201"/>
      <c r="C26" s="185"/>
      <c r="D26" s="185"/>
      <c r="E26" s="185"/>
      <c r="F26" s="185"/>
      <c r="G26" s="185"/>
      <c r="H26" s="185"/>
      <c r="I26" s="185"/>
      <c r="J26" s="185"/>
      <c r="K26" s="185"/>
      <c r="L26" s="186"/>
      <c r="M26" s="209"/>
      <c r="N26" s="185"/>
      <c r="O26" s="185"/>
      <c r="P26" s="185"/>
      <c r="Q26" s="185"/>
      <c r="R26" s="185"/>
      <c r="S26" s="185"/>
      <c r="T26" s="185"/>
      <c r="U26" s="185"/>
      <c r="V26" s="185"/>
      <c r="W26" s="186"/>
      <c r="X26" s="205"/>
      <c r="Y26" s="185"/>
      <c r="Z26" s="185"/>
      <c r="AA26" s="185"/>
      <c r="AB26" s="185"/>
      <c r="AC26" s="185"/>
      <c r="AD26" s="185"/>
      <c r="AE26" s="185"/>
      <c r="AF26" s="185"/>
      <c r="AG26" s="185"/>
      <c r="AH26" s="186"/>
      <c r="AI26" s="193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6"/>
      <c r="AU26" s="193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94"/>
    </row>
    <row r="27" spans="2:58" ht="13" customHeight="1" x14ac:dyDescent="0.25">
      <c r="B27" s="202"/>
      <c r="C27" s="188"/>
      <c r="D27" s="188"/>
      <c r="E27" s="188"/>
      <c r="F27" s="188"/>
      <c r="G27" s="188"/>
      <c r="H27" s="188"/>
      <c r="I27" s="188"/>
      <c r="J27" s="188"/>
      <c r="K27" s="188"/>
      <c r="L27" s="189"/>
      <c r="M27" s="187"/>
      <c r="N27" s="188"/>
      <c r="O27" s="188"/>
      <c r="P27" s="188"/>
      <c r="Q27" s="188"/>
      <c r="R27" s="188"/>
      <c r="S27" s="188"/>
      <c r="T27" s="188"/>
      <c r="U27" s="188"/>
      <c r="V27" s="188"/>
      <c r="W27" s="189"/>
      <c r="X27" s="187"/>
      <c r="Y27" s="188"/>
      <c r="Z27" s="188"/>
      <c r="AA27" s="188"/>
      <c r="AB27" s="188"/>
      <c r="AC27" s="188"/>
      <c r="AD27" s="188"/>
      <c r="AE27" s="188"/>
      <c r="AF27" s="188"/>
      <c r="AG27" s="188"/>
      <c r="AH27" s="189"/>
      <c r="AI27" s="187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9"/>
      <c r="AU27" s="187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95"/>
    </row>
    <row r="28" spans="2:58" ht="13" customHeight="1" x14ac:dyDescent="0.25">
      <c r="B28" s="202"/>
      <c r="C28" s="188"/>
      <c r="D28" s="188"/>
      <c r="E28" s="188"/>
      <c r="F28" s="188"/>
      <c r="G28" s="188"/>
      <c r="H28" s="188"/>
      <c r="I28" s="188"/>
      <c r="J28" s="188"/>
      <c r="K28" s="188"/>
      <c r="L28" s="189"/>
      <c r="M28" s="187"/>
      <c r="N28" s="188"/>
      <c r="O28" s="188"/>
      <c r="P28" s="188"/>
      <c r="Q28" s="188"/>
      <c r="R28" s="188"/>
      <c r="S28" s="188"/>
      <c r="T28" s="188"/>
      <c r="U28" s="188"/>
      <c r="V28" s="188"/>
      <c r="W28" s="189"/>
      <c r="X28" s="187"/>
      <c r="Y28" s="188"/>
      <c r="Z28" s="188"/>
      <c r="AA28" s="188"/>
      <c r="AB28" s="188"/>
      <c r="AC28" s="188"/>
      <c r="AD28" s="188"/>
      <c r="AE28" s="188"/>
      <c r="AF28" s="188"/>
      <c r="AG28" s="188"/>
      <c r="AH28" s="189"/>
      <c r="AI28" s="187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9"/>
      <c r="AU28" s="187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95"/>
    </row>
    <row r="29" spans="2:58" ht="13" customHeight="1" x14ac:dyDescent="0.25">
      <c r="B29" s="202"/>
      <c r="C29" s="188"/>
      <c r="D29" s="188"/>
      <c r="E29" s="188"/>
      <c r="F29" s="188"/>
      <c r="G29" s="188"/>
      <c r="H29" s="188"/>
      <c r="I29" s="188"/>
      <c r="J29" s="188"/>
      <c r="K29" s="188"/>
      <c r="L29" s="189"/>
      <c r="M29" s="187"/>
      <c r="N29" s="188"/>
      <c r="O29" s="188"/>
      <c r="P29" s="188"/>
      <c r="Q29" s="188"/>
      <c r="R29" s="188"/>
      <c r="S29" s="188"/>
      <c r="T29" s="188"/>
      <c r="U29" s="188"/>
      <c r="V29" s="188"/>
      <c r="W29" s="189"/>
      <c r="X29" s="187"/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  <c r="AI29" s="187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9"/>
      <c r="AU29" s="187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95"/>
    </row>
    <row r="30" spans="2:58" ht="13" customHeight="1" x14ac:dyDescent="0.25">
      <c r="B30" s="202"/>
      <c r="C30" s="188"/>
      <c r="D30" s="188"/>
      <c r="E30" s="188"/>
      <c r="F30" s="188"/>
      <c r="G30" s="188"/>
      <c r="H30" s="188"/>
      <c r="I30" s="188"/>
      <c r="J30" s="188"/>
      <c r="K30" s="188"/>
      <c r="L30" s="189"/>
      <c r="M30" s="187"/>
      <c r="N30" s="188"/>
      <c r="O30" s="188"/>
      <c r="P30" s="188"/>
      <c r="Q30" s="188"/>
      <c r="R30" s="188"/>
      <c r="S30" s="188"/>
      <c r="T30" s="188"/>
      <c r="U30" s="188"/>
      <c r="V30" s="188"/>
      <c r="W30" s="189"/>
      <c r="X30" s="187"/>
      <c r="Y30" s="188"/>
      <c r="Z30" s="188"/>
      <c r="AA30" s="188"/>
      <c r="AB30" s="188"/>
      <c r="AC30" s="188"/>
      <c r="AD30" s="188"/>
      <c r="AE30" s="188"/>
      <c r="AF30" s="188"/>
      <c r="AG30" s="188"/>
      <c r="AH30" s="189"/>
      <c r="AI30" s="187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9"/>
      <c r="AU30" s="187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95"/>
    </row>
    <row r="31" spans="2:58" ht="13" customHeight="1" x14ac:dyDescent="0.25">
      <c r="B31" s="203"/>
      <c r="C31" s="191"/>
      <c r="D31" s="191"/>
      <c r="E31" s="191"/>
      <c r="F31" s="191"/>
      <c r="G31" s="191"/>
      <c r="H31" s="191"/>
      <c r="I31" s="191"/>
      <c r="J31" s="191"/>
      <c r="K31" s="191"/>
      <c r="L31" s="148"/>
      <c r="M31" s="190"/>
      <c r="N31" s="191"/>
      <c r="O31" s="191"/>
      <c r="P31" s="191"/>
      <c r="Q31" s="191"/>
      <c r="R31" s="191"/>
      <c r="S31" s="191"/>
      <c r="T31" s="191"/>
      <c r="U31" s="191"/>
      <c r="V31" s="191"/>
      <c r="W31" s="148"/>
      <c r="X31" s="190"/>
      <c r="Y31" s="191"/>
      <c r="Z31" s="191"/>
      <c r="AA31" s="191"/>
      <c r="AB31" s="191"/>
      <c r="AC31" s="191"/>
      <c r="AD31" s="191"/>
      <c r="AE31" s="191"/>
      <c r="AF31" s="191"/>
      <c r="AG31" s="191"/>
      <c r="AH31" s="148"/>
      <c r="AI31" s="190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48"/>
      <c r="AU31" s="190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6"/>
    </row>
    <row r="32" spans="2:58" ht="13" customHeight="1" x14ac:dyDescent="0.25">
      <c r="B32" s="180" t="s">
        <v>251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49"/>
      <c r="M32" s="183" t="s">
        <v>252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49"/>
      <c r="X32" s="181" t="s">
        <v>253</v>
      </c>
      <c r="Y32" s="178"/>
      <c r="Z32" s="178"/>
      <c r="AA32" s="178"/>
      <c r="AB32" s="178"/>
      <c r="AC32" s="178"/>
      <c r="AD32" s="178"/>
      <c r="AE32" s="178"/>
      <c r="AF32" s="178"/>
      <c r="AG32" s="178"/>
      <c r="AH32" s="149"/>
      <c r="AI32" s="131" t="s">
        <v>254</v>
      </c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49"/>
      <c r="AU32" s="131" t="s">
        <v>255</v>
      </c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82"/>
    </row>
    <row r="33" spans="2:58" ht="13" customHeight="1" x14ac:dyDescent="0.25">
      <c r="B33" s="201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204"/>
      <c r="N33" s="185"/>
      <c r="O33" s="185"/>
      <c r="P33" s="185"/>
      <c r="Q33" s="185"/>
      <c r="R33" s="185"/>
      <c r="S33" s="185"/>
      <c r="T33" s="185"/>
      <c r="U33" s="185"/>
      <c r="V33" s="185"/>
      <c r="W33" s="186"/>
      <c r="X33" s="205"/>
      <c r="Y33" s="185"/>
      <c r="Z33" s="185"/>
      <c r="AA33" s="185"/>
      <c r="AB33" s="185"/>
      <c r="AC33" s="185"/>
      <c r="AD33" s="185"/>
      <c r="AE33" s="185"/>
      <c r="AF33" s="185"/>
      <c r="AG33" s="185"/>
      <c r="AH33" s="186"/>
      <c r="AI33" s="193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6"/>
      <c r="AU33" s="193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94"/>
    </row>
    <row r="34" spans="2:58" ht="13" customHeight="1" x14ac:dyDescent="0.25">
      <c r="B34" s="202"/>
      <c r="C34" s="188"/>
      <c r="D34" s="188"/>
      <c r="E34" s="188"/>
      <c r="F34" s="188"/>
      <c r="G34" s="188"/>
      <c r="H34" s="188"/>
      <c r="I34" s="188"/>
      <c r="J34" s="188"/>
      <c r="K34" s="188"/>
      <c r="L34" s="189"/>
      <c r="M34" s="187"/>
      <c r="N34" s="188"/>
      <c r="O34" s="188"/>
      <c r="P34" s="188"/>
      <c r="Q34" s="188"/>
      <c r="R34" s="188"/>
      <c r="S34" s="188"/>
      <c r="T34" s="188"/>
      <c r="U34" s="188"/>
      <c r="V34" s="188"/>
      <c r="W34" s="189"/>
      <c r="X34" s="187"/>
      <c r="Y34" s="188"/>
      <c r="Z34" s="188"/>
      <c r="AA34" s="188"/>
      <c r="AB34" s="188"/>
      <c r="AC34" s="188"/>
      <c r="AD34" s="188"/>
      <c r="AE34" s="188"/>
      <c r="AF34" s="188"/>
      <c r="AG34" s="188"/>
      <c r="AH34" s="189"/>
      <c r="AI34" s="187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9"/>
      <c r="AU34" s="187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95"/>
    </row>
    <row r="35" spans="2:58" ht="13" customHeight="1" x14ac:dyDescent="0.25">
      <c r="B35" s="202"/>
      <c r="C35" s="188"/>
      <c r="D35" s="188"/>
      <c r="E35" s="188"/>
      <c r="F35" s="188"/>
      <c r="G35" s="188"/>
      <c r="H35" s="188"/>
      <c r="I35" s="188"/>
      <c r="J35" s="188"/>
      <c r="K35" s="188"/>
      <c r="L35" s="189"/>
      <c r="M35" s="187"/>
      <c r="N35" s="188"/>
      <c r="O35" s="188"/>
      <c r="P35" s="188"/>
      <c r="Q35" s="188"/>
      <c r="R35" s="188"/>
      <c r="S35" s="188"/>
      <c r="T35" s="188"/>
      <c r="U35" s="188"/>
      <c r="V35" s="188"/>
      <c r="W35" s="189"/>
      <c r="X35" s="187"/>
      <c r="Y35" s="188"/>
      <c r="Z35" s="188"/>
      <c r="AA35" s="188"/>
      <c r="AB35" s="188"/>
      <c r="AC35" s="188"/>
      <c r="AD35" s="188"/>
      <c r="AE35" s="188"/>
      <c r="AF35" s="188"/>
      <c r="AG35" s="188"/>
      <c r="AH35" s="189"/>
      <c r="AI35" s="187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9"/>
      <c r="AU35" s="187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95"/>
    </row>
    <row r="36" spans="2:58" ht="13" customHeight="1" x14ac:dyDescent="0.25">
      <c r="B36" s="202"/>
      <c r="C36" s="188"/>
      <c r="D36" s="188"/>
      <c r="E36" s="188"/>
      <c r="F36" s="188"/>
      <c r="G36" s="188"/>
      <c r="H36" s="188"/>
      <c r="I36" s="188"/>
      <c r="J36" s="188"/>
      <c r="K36" s="188"/>
      <c r="L36" s="189"/>
      <c r="M36" s="187"/>
      <c r="N36" s="188"/>
      <c r="O36" s="188"/>
      <c r="P36" s="188"/>
      <c r="Q36" s="188"/>
      <c r="R36" s="188"/>
      <c r="S36" s="188"/>
      <c r="T36" s="188"/>
      <c r="U36" s="188"/>
      <c r="V36" s="188"/>
      <c r="W36" s="189"/>
      <c r="X36" s="187"/>
      <c r="Y36" s="188"/>
      <c r="Z36" s="188"/>
      <c r="AA36" s="188"/>
      <c r="AB36" s="188"/>
      <c r="AC36" s="188"/>
      <c r="AD36" s="188"/>
      <c r="AE36" s="188"/>
      <c r="AF36" s="188"/>
      <c r="AG36" s="188"/>
      <c r="AH36" s="189"/>
      <c r="AI36" s="187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9"/>
      <c r="AU36" s="187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95"/>
    </row>
    <row r="37" spans="2:58" ht="13" customHeight="1" x14ac:dyDescent="0.25">
      <c r="B37" s="202"/>
      <c r="C37" s="188"/>
      <c r="D37" s="188"/>
      <c r="E37" s="188"/>
      <c r="F37" s="188"/>
      <c r="G37" s="188"/>
      <c r="H37" s="188"/>
      <c r="I37" s="188"/>
      <c r="J37" s="188"/>
      <c r="K37" s="188"/>
      <c r="L37" s="189"/>
      <c r="M37" s="187"/>
      <c r="N37" s="188"/>
      <c r="O37" s="188"/>
      <c r="P37" s="188"/>
      <c r="Q37" s="188"/>
      <c r="R37" s="188"/>
      <c r="S37" s="188"/>
      <c r="T37" s="188"/>
      <c r="U37" s="188"/>
      <c r="V37" s="188"/>
      <c r="W37" s="189"/>
      <c r="X37" s="187"/>
      <c r="Y37" s="188"/>
      <c r="Z37" s="188"/>
      <c r="AA37" s="188"/>
      <c r="AB37" s="188"/>
      <c r="AC37" s="188"/>
      <c r="AD37" s="188"/>
      <c r="AE37" s="188"/>
      <c r="AF37" s="188"/>
      <c r="AG37" s="188"/>
      <c r="AH37" s="189"/>
      <c r="AI37" s="187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9"/>
      <c r="AU37" s="187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95"/>
    </row>
    <row r="38" spans="2:58" ht="13" customHeight="1" x14ac:dyDescent="0.25">
      <c r="B38" s="203"/>
      <c r="C38" s="191"/>
      <c r="D38" s="191"/>
      <c r="E38" s="191"/>
      <c r="F38" s="191"/>
      <c r="G38" s="191"/>
      <c r="H38" s="191"/>
      <c r="I38" s="191"/>
      <c r="J38" s="191"/>
      <c r="K38" s="191"/>
      <c r="L38" s="148"/>
      <c r="M38" s="190"/>
      <c r="N38" s="191"/>
      <c r="O38" s="191"/>
      <c r="P38" s="191"/>
      <c r="Q38" s="191"/>
      <c r="R38" s="191"/>
      <c r="S38" s="191"/>
      <c r="T38" s="191"/>
      <c r="U38" s="191"/>
      <c r="V38" s="191"/>
      <c r="W38" s="148"/>
      <c r="X38" s="190"/>
      <c r="Y38" s="191"/>
      <c r="Z38" s="191"/>
      <c r="AA38" s="191"/>
      <c r="AB38" s="191"/>
      <c r="AC38" s="191"/>
      <c r="AD38" s="191"/>
      <c r="AE38" s="191"/>
      <c r="AF38" s="191"/>
      <c r="AG38" s="191"/>
      <c r="AH38" s="148"/>
      <c r="AI38" s="190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48"/>
      <c r="AU38" s="190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6"/>
    </row>
    <row r="39" spans="2:58" ht="13" customHeight="1" x14ac:dyDescent="0.25">
      <c r="B39" s="180" t="s">
        <v>256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49"/>
      <c r="M39" s="183" t="s">
        <v>257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49"/>
      <c r="X39" s="181" t="s">
        <v>258</v>
      </c>
      <c r="Y39" s="178"/>
      <c r="Z39" s="178"/>
      <c r="AA39" s="178"/>
      <c r="AB39" s="178"/>
      <c r="AC39" s="178"/>
      <c r="AD39" s="178"/>
      <c r="AE39" s="178"/>
      <c r="AF39" s="178"/>
      <c r="AG39" s="178"/>
      <c r="AH39" s="149"/>
      <c r="AI39" s="131" t="s">
        <v>259</v>
      </c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49"/>
      <c r="AU39" s="131" t="s">
        <v>260</v>
      </c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82"/>
    </row>
    <row r="40" spans="2:58" ht="13" customHeight="1" x14ac:dyDescent="0.25">
      <c r="B40" s="201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204"/>
      <c r="N40" s="185"/>
      <c r="O40" s="185"/>
      <c r="P40" s="185"/>
      <c r="Q40" s="185"/>
      <c r="R40" s="185"/>
      <c r="S40" s="185"/>
      <c r="T40" s="185"/>
      <c r="U40" s="185"/>
      <c r="V40" s="185"/>
      <c r="W40" s="186"/>
      <c r="X40" s="205"/>
      <c r="Y40" s="185"/>
      <c r="Z40" s="185"/>
      <c r="AA40" s="185"/>
      <c r="AB40" s="185"/>
      <c r="AC40" s="185"/>
      <c r="AD40" s="185"/>
      <c r="AE40" s="185"/>
      <c r="AF40" s="185"/>
      <c r="AG40" s="185"/>
      <c r="AH40" s="186"/>
      <c r="AI40" s="193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6"/>
      <c r="AU40" s="193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94"/>
    </row>
    <row r="41" spans="2:58" ht="13" customHeight="1" x14ac:dyDescent="0.25">
      <c r="B41" s="202"/>
      <c r="C41" s="188"/>
      <c r="D41" s="188"/>
      <c r="E41" s="188"/>
      <c r="F41" s="188"/>
      <c r="G41" s="188"/>
      <c r="H41" s="188"/>
      <c r="I41" s="188"/>
      <c r="J41" s="188"/>
      <c r="K41" s="188"/>
      <c r="L41" s="189"/>
      <c r="M41" s="187"/>
      <c r="N41" s="188"/>
      <c r="O41" s="188"/>
      <c r="P41" s="188"/>
      <c r="Q41" s="188"/>
      <c r="R41" s="188"/>
      <c r="S41" s="188"/>
      <c r="T41" s="188"/>
      <c r="U41" s="188"/>
      <c r="V41" s="188"/>
      <c r="W41" s="189"/>
      <c r="X41" s="187"/>
      <c r="Y41" s="188"/>
      <c r="Z41" s="188"/>
      <c r="AA41" s="188"/>
      <c r="AB41" s="188"/>
      <c r="AC41" s="188"/>
      <c r="AD41" s="188"/>
      <c r="AE41" s="188"/>
      <c r="AF41" s="188"/>
      <c r="AG41" s="188"/>
      <c r="AH41" s="189"/>
      <c r="AI41" s="187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9"/>
      <c r="AU41" s="187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95"/>
    </row>
    <row r="42" spans="2:58" ht="13" customHeight="1" x14ac:dyDescent="0.25">
      <c r="B42" s="202"/>
      <c r="C42" s="188"/>
      <c r="D42" s="188"/>
      <c r="E42" s="188"/>
      <c r="F42" s="188"/>
      <c r="G42" s="188"/>
      <c r="H42" s="188"/>
      <c r="I42" s="188"/>
      <c r="J42" s="188"/>
      <c r="K42" s="188"/>
      <c r="L42" s="189"/>
      <c r="M42" s="187"/>
      <c r="N42" s="188"/>
      <c r="O42" s="188"/>
      <c r="P42" s="188"/>
      <c r="Q42" s="188"/>
      <c r="R42" s="188"/>
      <c r="S42" s="188"/>
      <c r="T42" s="188"/>
      <c r="U42" s="188"/>
      <c r="V42" s="188"/>
      <c r="W42" s="189"/>
      <c r="X42" s="187"/>
      <c r="Y42" s="188"/>
      <c r="Z42" s="188"/>
      <c r="AA42" s="188"/>
      <c r="AB42" s="188"/>
      <c r="AC42" s="188"/>
      <c r="AD42" s="188"/>
      <c r="AE42" s="188"/>
      <c r="AF42" s="188"/>
      <c r="AG42" s="188"/>
      <c r="AH42" s="189"/>
      <c r="AI42" s="187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9"/>
      <c r="AU42" s="187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95"/>
    </row>
    <row r="43" spans="2:58" ht="13" customHeight="1" x14ac:dyDescent="0.25">
      <c r="B43" s="202"/>
      <c r="C43" s="188"/>
      <c r="D43" s="188"/>
      <c r="E43" s="188"/>
      <c r="F43" s="188"/>
      <c r="G43" s="188"/>
      <c r="H43" s="188"/>
      <c r="I43" s="188"/>
      <c r="J43" s="188"/>
      <c r="K43" s="188"/>
      <c r="L43" s="189"/>
      <c r="M43" s="187"/>
      <c r="N43" s="188"/>
      <c r="O43" s="188"/>
      <c r="P43" s="188"/>
      <c r="Q43" s="188"/>
      <c r="R43" s="188"/>
      <c r="S43" s="188"/>
      <c r="T43" s="188"/>
      <c r="U43" s="188"/>
      <c r="V43" s="188"/>
      <c r="W43" s="189"/>
      <c r="X43" s="187"/>
      <c r="Y43" s="188"/>
      <c r="Z43" s="188"/>
      <c r="AA43" s="188"/>
      <c r="AB43" s="188"/>
      <c r="AC43" s="188"/>
      <c r="AD43" s="188"/>
      <c r="AE43" s="188"/>
      <c r="AF43" s="188"/>
      <c r="AG43" s="188"/>
      <c r="AH43" s="189"/>
      <c r="AI43" s="187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9"/>
      <c r="AU43" s="187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95"/>
    </row>
    <row r="44" spans="2:58" ht="13" customHeight="1" x14ac:dyDescent="0.25">
      <c r="B44" s="202"/>
      <c r="C44" s="188"/>
      <c r="D44" s="188"/>
      <c r="E44" s="188"/>
      <c r="F44" s="188"/>
      <c r="G44" s="188"/>
      <c r="H44" s="188"/>
      <c r="I44" s="188"/>
      <c r="J44" s="188"/>
      <c r="K44" s="188"/>
      <c r="L44" s="189"/>
      <c r="M44" s="187"/>
      <c r="N44" s="188"/>
      <c r="O44" s="188"/>
      <c r="P44" s="188"/>
      <c r="Q44" s="188"/>
      <c r="R44" s="188"/>
      <c r="S44" s="188"/>
      <c r="T44" s="188"/>
      <c r="U44" s="188"/>
      <c r="V44" s="188"/>
      <c r="W44" s="189"/>
      <c r="X44" s="187"/>
      <c r="Y44" s="188"/>
      <c r="Z44" s="188"/>
      <c r="AA44" s="188"/>
      <c r="AB44" s="188"/>
      <c r="AC44" s="188"/>
      <c r="AD44" s="188"/>
      <c r="AE44" s="188"/>
      <c r="AF44" s="188"/>
      <c r="AG44" s="188"/>
      <c r="AH44" s="189"/>
      <c r="AI44" s="187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9"/>
      <c r="AU44" s="187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95"/>
    </row>
    <row r="45" spans="2:58" ht="13" customHeight="1" x14ac:dyDescent="0.25">
      <c r="B45" s="203"/>
      <c r="C45" s="191"/>
      <c r="D45" s="191"/>
      <c r="E45" s="191"/>
      <c r="F45" s="191"/>
      <c r="G45" s="191"/>
      <c r="H45" s="191"/>
      <c r="I45" s="191"/>
      <c r="J45" s="191"/>
      <c r="K45" s="191"/>
      <c r="L45" s="148"/>
      <c r="M45" s="190"/>
      <c r="N45" s="191"/>
      <c r="O45" s="191"/>
      <c r="P45" s="191"/>
      <c r="Q45" s="191"/>
      <c r="R45" s="191"/>
      <c r="S45" s="191"/>
      <c r="T45" s="191"/>
      <c r="U45" s="191"/>
      <c r="V45" s="191"/>
      <c r="W45" s="148"/>
      <c r="X45" s="190"/>
      <c r="Y45" s="191"/>
      <c r="Z45" s="191"/>
      <c r="AA45" s="191"/>
      <c r="AB45" s="191"/>
      <c r="AC45" s="191"/>
      <c r="AD45" s="191"/>
      <c r="AE45" s="191"/>
      <c r="AF45" s="191"/>
      <c r="AG45" s="191"/>
      <c r="AH45" s="148"/>
      <c r="AI45" s="190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48"/>
      <c r="AU45" s="190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6"/>
    </row>
    <row r="46" spans="2:58" ht="13" customHeight="1" x14ac:dyDescent="0.25">
      <c r="B46" s="180" t="s">
        <v>261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49"/>
      <c r="M46" s="155" t="s">
        <v>262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49"/>
      <c r="X46" s="181" t="s">
        <v>263</v>
      </c>
      <c r="Y46" s="178"/>
      <c r="Z46" s="178"/>
      <c r="AA46" s="178"/>
      <c r="AB46" s="178"/>
      <c r="AC46" s="178"/>
      <c r="AD46" s="178"/>
      <c r="AE46" s="178"/>
      <c r="AF46" s="178"/>
      <c r="AG46" s="178"/>
      <c r="AH46" s="149"/>
      <c r="AI46" s="131" t="s">
        <v>264</v>
      </c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49"/>
      <c r="AU46" s="131" t="s">
        <v>265</v>
      </c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82"/>
    </row>
    <row r="47" spans="2:58" ht="13" customHeight="1" x14ac:dyDescent="0.25">
      <c r="B47" s="201"/>
      <c r="C47" s="185"/>
      <c r="D47" s="185"/>
      <c r="E47" s="185"/>
      <c r="F47" s="185"/>
      <c r="G47" s="185"/>
      <c r="H47" s="185"/>
      <c r="I47" s="185"/>
      <c r="J47" s="185"/>
      <c r="K47" s="185"/>
      <c r="L47" s="186"/>
      <c r="M47" s="204"/>
      <c r="N47" s="185"/>
      <c r="O47" s="185"/>
      <c r="P47" s="185"/>
      <c r="Q47" s="185"/>
      <c r="R47" s="185"/>
      <c r="S47" s="185"/>
      <c r="T47" s="185"/>
      <c r="U47" s="185"/>
      <c r="V47" s="185"/>
      <c r="W47" s="186"/>
      <c r="X47" s="205"/>
      <c r="Y47" s="185"/>
      <c r="Z47" s="185"/>
      <c r="AA47" s="185"/>
      <c r="AB47" s="185"/>
      <c r="AC47" s="185"/>
      <c r="AD47" s="185"/>
      <c r="AE47" s="185"/>
      <c r="AF47" s="185"/>
      <c r="AG47" s="185"/>
      <c r="AH47" s="186"/>
      <c r="AI47" s="193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6"/>
      <c r="AU47" s="193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94"/>
    </row>
    <row r="48" spans="2:58" ht="13" customHeight="1" x14ac:dyDescent="0.25">
      <c r="B48" s="202"/>
      <c r="C48" s="188"/>
      <c r="D48" s="188"/>
      <c r="E48" s="188"/>
      <c r="F48" s="188"/>
      <c r="G48" s="188"/>
      <c r="H48" s="188"/>
      <c r="I48" s="188"/>
      <c r="J48" s="188"/>
      <c r="K48" s="188"/>
      <c r="L48" s="189"/>
      <c r="M48" s="187"/>
      <c r="N48" s="188"/>
      <c r="O48" s="188"/>
      <c r="P48" s="188"/>
      <c r="Q48" s="188"/>
      <c r="R48" s="188"/>
      <c r="S48" s="188"/>
      <c r="T48" s="188"/>
      <c r="U48" s="188"/>
      <c r="V48" s="188"/>
      <c r="W48" s="189"/>
      <c r="X48" s="187"/>
      <c r="Y48" s="188"/>
      <c r="Z48" s="188"/>
      <c r="AA48" s="188"/>
      <c r="AB48" s="188"/>
      <c r="AC48" s="188"/>
      <c r="AD48" s="188"/>
      <c r="AE48" s="188"/>
      <c r="AF48" s="188"/>
      <c r="AG48" s="188"/>
      <c r="AH48" s="189"/>
      <c r="AI48" s="187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9"/>
      <c r="AU48" s="187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95"/>
    </row>
    <row r="49" spans="2:58" ht="13" customHeight="1" x14ac:dyDescent="0.25">
      <c r="B49" s="202"/>
      <c r="C49" s="188"/>
      <c r="D49" s="188"/>
      <c r="E49" s="188"/>
      <c r="F49" s="188"/>
      <c r="G49" s="188"/>
      <c r="H49" s="188"/>
      <c r="I49" s="188"/>
      <c r="J49" s="188"/>
      <c r="K49" s="188"/>
      <c r="L49" s="189"/>
      <c r="M49" s="187"/>
      <c r="N49" s="188"/>
      <c r="O49" s="188"/>
      <c r="P49" s="188"/>
      <c r="Q49" s="188"/>
      <c r="R49" s="188"/>
      <c r="S49" s="188"/>
      <c r="T49" s="188"/>
      <c r="U49" s="188"/>
      <c r="V49" s="188"/>
      <c r="W49" s="189"/>
      <c r="X49" s="187"/>
      <c r="Y49" s="188"/>
      <c r="Z49" s="188"/>
      <c r="AA49" s="188"/>
      <c r="AB49" s="188"/>
      <c r="AC49" s="188"/>
      <c r="AD49" s="188"/>
      <c r="AE49" s="188"/>
      <c r="AF49" s="188"/>
      <c r="AG49" s="188"/>
      <c r="AH49" s="189"/>
      <c r="AI49" s="187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9"/>
      <c r="AU49" s="187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95"/>
    </row>
    <row r="50" spans="2:58" ht="13" customHeight="1" x14ac:dyDescent="0.25">
      <c r="B50" s="202"/>
      <c r="C50" s="188"/>
      <c r="D50" s="188"/>
      <c r="E50" s="188"/>
      <c r="F50" s="188"/>
      <c r="G50" s="188"/>
      <c r="H50" s="188"/>
      <c r="I50" s="188"/>
      <c r="J50" s="188"/>
      <c r="K50" s="188"/>
      <c r="L50" s="189"/>
      <c r="M50" s="187"/>
      <c r="N50" s="188"/>
      <c r="O50" s="188"/>
      <c r="P50" s="188"/>
      <c r="Q50" s="188"/>
      <c r="R50" s="188"/>
      <c r="S50" s="188"/>
      <c r="T50" s="188"/>
      <c r="U50" s="188"/>
      <c r="V50" s="188"/>
      <c r="W50" s="189"/>
      <c r="X50" s="187"/>
      <c r="Y50" s="188"/>
      <c r="Z50" s="188"/>
      <c r="AA50" s="188"/>
      <c r="AB50" s="188"/>
      <c r="AC50" s="188"/>
      <c r="AD50" s="188"/>
      <c r="AE50" s="188"/>
      <c r="AF50" s="188"/>
      <c r="AG50" s="188"/>
      <c r="AH50" s="189"/>
      <c r="AI50" s="187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9"/>
      <c r="AU50" s="187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95"/>
    </row>
    <row r="51" spans="2:58" ht="13" customHeight="1" x14ac:dyDescent="0.25">
      <c r="B51" s="202"/>
      <c r="C51" s="188"/>
      <c r="D51" s="188"/>
      <c r="E51" s="188"/>
      <c r="F51" s="188"/>
      <c r="G51" s="188"/>
      <c r="H51" s="188"/>
      <c r="I51" s="188"/>
      <c r="J51" s="188"/>
      <c r="K51" s="188"/>
      <c r="L51" s="189"/>
      <c r="M51" s="187"/>
      <c r="N51" s="188"/>
      <c r="O51" s="188"/>
      <c r="P51" s="188"/>
      <c r="Q51" s="188"/>
      <c r="R51" s="188"/>
      <c r="S51" s="188"/>
      <c r="T51" s="188"/>
      <c r="U51" s="188"/>
      <c r="V51" s="188"/>
      <c r="W51" s="189"/>
      <c r="X51" s="187"/>
      <c r="Y51" s="188"/>
      <c r="Z51" s="188"/>
      <c r="AA51" s="188"/>
      <c r="AB51" s="188"/>
      <c r="AC51" s="188"/>
      <c r="AD51" s="188"/>
      <c r="AE51" s="188"/>
      <c r="AF51" s="188"/>
      <c r="AG51" s="188"/>
      <c r="AH51" s="189"/>
      <c r="AI51" s="187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9"/>
      <c r="AU51" s="187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95"/>
    </row>
    <row r="52" spans="2:58" ht="13" customHeight="1" x14ac:dyDescent="0.25">
      <c r="B52" s="203"/>
      <c r="C52" s="191"/>
      <c r="D52" s="191"/>
      <c r="E52" s="191"/>
      <c r="F52" s="191"/>
      <c r="G52" s="191"/>
      <c r="H52" s="191"/>
      <c r="I52" s="191"/>
      <c r="J52" s="191"/>
      <c r="K52" s="191"/>
      <c r="L52" s="148"/>
      <c r="M52" s="190"/>
      <c r="N52" s="191"/>
      <c r="O52" s="191"/>
      <c r="P52" s="191"/>
      <c r="Q52" s="191"/>
      <c r="R52" s="191"/>
      <c r="S52" s="191"/>
      <c r="T52" s="191"/>
      <c r="U52" s="191"/>
      <c r="V52" s="191"/>
      <c r="W52" s="148"/>
      <c r="X52" s="190"/>
      <c r="Y52" s="191"/>
      <c r="Z52" s="191"/>
      <c r="AA52" s="191"/>
      <c r="AB52" s="191"/>
      <c r="AC52" s="191"/>
      <c r="AD52" s="191"/>
      <c r="AE52" s="191"/>
      <c r="AF52" s="191"/>
      <c r="AG52" s="191"/>
      <c r="AH52" s="148"/>
      <c r="AI52" s="190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48"/>
      <c r="AU52" s="190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6"/>
    </row>
    <row r="53" spans="2:58" ht="13" customHeight="1" x14ac:dyDescent="0.25">
      <c r="B53" s="180" t="s">
        <v>266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49"/>
      <c r="M53" s="183" t="s">
        <v>267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49"/>
      <c r="X53" s="181" t="s">
        <v>268</v>
      </c>
      <c r="Y53" s="178"/>
      <c r="Z53" s="178"/>
      <c r="AA53" s="178"/>
      <c r="AB53" s="178"/>
      <c r="AC53" s="178"/>
      <c r="AD53" s="178"/>
      <c r="AE53" s="178"/>
      <c r="AF53" s="178"/>
      <c r="AG53" s="178"/>
      <c r="AH53" s="149"/>
      <c r="AI53" s="131" t="s">
        <v>269</v>
      </c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49"/>
      <c r="AU53" s="131" t="s">
        <v>270</v>
      </c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82"/>
    </row>
    <row r="54" spans="2:58" ht="13" customHeight="1" x14ac:dyDescent="0.25">
      <c r="B54" s="201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209"/>
      <c r="N54" s="185"/>
      <c r="O54" s="185"/>
      <c r="P54" s="185"/>
      <c r="Q54" s="185"/>
      <c r="R54" s="185"/>
      <c r="S54" s="185"/>
      <c r="T54" s="185"/>
      <c r="U54" s="185"/>
      <c r="V54" s="185"/>
      <c r="W54" s="186"/>
      <c r="X54" s="205"/>
      <c r="Y54" s="185"/>
      <c r="Z54" s="185"/>
      <c r="AA54" s="185"/>
      <c r="AB54" s="185"/>
      <c r="AC54" s="185"/>
      <c r="AD54" s="185"/>
      <c r="AE54" s="185"/>
      <c r="AF54" s="185"/>
      <c r="AG54" s="185"/>
      <c r="AH54" s="186"/>
      <c r="AI54" s="193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93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94"/>
    </row>
    <row r="55" spans="2:58" ht="13" customHeight="1" x14ac:dyDescent="0.25">
      <c r="B55" s="202"/>
      <c r="C55" s="188"/>
      <c r="D55" s="188"/>
      <c r="E55" s="188"/>
      <c r="F55" s="188"/>
      <c r="G55" s="188"/>
      <c r="H55" s="188"/>
      <c r="I55" s="188"/>
      <c r="J55" s="188"/>
      <c r="K55" s="188"/>
      <c r="L55" s="189"/>
      <c r="M55" s="187"/>
      <c r="N55" s="188"/>
      <c r="O55" s="188"/>
      <c r="P55" s="188"/>
      <c r="Q55" s="188"/>
      <c r="R55" s="188"/>
      <c r="S55" s="188"/>
      <c r="T55" s="188"/>
      <c r="U55" s="188"/>
      <c r="V55" s="188"/>
      <c r="W55" s="189"/>
      <c r="X55" s="187"/>
      <c r="Y55" s="188"/>
      <c r="Z55" s="188"/>
      <c r="AA55" s="188"/>
      <c r="AB55" s="188"/>
      <c r="AC55" s="188"/>
      <c r="AD55" s="188"/>
      <c r="AE55" s="188"/>
      <c r="AF55" s="188"/>
      <c r="AG55" s="188"/>
      <c r="AH55" s="189"/>
      <c r="AI55" s="187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9"/>
      <c r="AU55" s="187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95"/>
    </row>
    <row r="56" spans="2:58" ht="13" customHeight="1" x14ac:dyDescent="0.25">
      <c r="B56" s="202"/>
      <c r="C56" s="188"/>
      <c r="D56" s="188"/>
      <c r="E56" s="188"/>
      <c r="F56" s="188"/>
      <c r="G56" s="188"/>
      <c r="H56" s="188"/>
      <c r="I56" s="188"/>
      <c r="J56" s="188"/>
      <c r="K56" s="188"/>
      <c r="L56" s="189"/>
      <c r="M56" s="187"/>
      <c r="N56" s="188"/>
      <c r="O56" s="188"/>
      <c r="P56" s="188"/>
      <c r="Q56" s="188"/>
      <c r="R56" s="188"/>
      <c r="S56" s="188"/>
      <c r="T56" s="188"/>
      <c r="U56" s="188"/>
      <c r="V56" s="188"/>
      <c r="W56" s="189"/>
      <c r="X56" s="187"/>
      <c r="Y56" s="188"/>
      <c r="Z56" s="188"/>
      <c r="AA56" s="188"/>
      <c r="AB56" s="188"/>
      <c r="AC56" s="188"/>
      <c r="AD56" s="188"/>
      <c r="AE56" s="188"/>
      <c r="AF56" s="188"/>
      <c r="AG56" s="188"/>
      <c r="AH56" s="189"/>
      <c r="AI56" s="187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9"/>
      <c r="AU56" s="18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95"/>
    </row>
    <row r="57" spans="2:58" ht="13" customHeight="1" x14ac:dyDescent="0.25">
      <c r="B57" s="202"/>
      <c r="C57" s="188"/>
      <c r="D57" s="188"/>
      <c r="E57" s="188"/>
      <c r="F57" s="188"/>
      <c r="G57" s="188"/>
      <c r="H57" s="188"/>
      <c r="I57" s="188"/>
      <c r="J57" s="188"/>
      <c r="K57" s="188"/>
      <c r="L57" s="189"/>
      <c r="M57" s="187"/>
      <c r="N57" s="188"/>
      <c r="O57" s="188"/>
      <c r="P57" s="188"/>
      <c r="Q57" s="188"/>
      <c r="R57" s="188"/>
      <c r="S57" s="188"/>
      <c r="T57" s="188"/>
      <c r="U57" s="188"/>
      <c r="V57" s="188"/>
      <c r="W57" s="189"/>
      <c r="X57" s="187"/>
      <c r="Y57" s="188"/>
      <c r="Z57" s="188"/>
      <c r="AA57" s="188"/>
      <c r="AB57" s="188"/>
      <c r="AC57" s="188"/>
      <c r="AD57" s="188"/>
      <c r="AE57" s="188"/>
      <c r="AF57" s="188"/>
      <c r="AG57" s="188"/>
      <c r="AH57" s="189"/>
      <c r="AI57" s="187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9"/>
      <c r="AU57" s="187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95"/>
    </row>
    <row r="58" spans="2:58" ht="13" customHeight="1" x14ac:dyDescent="0.25">
      <c r="B58" s="202"/>
      <c r="C58" s="188"/>
      <c r="D58" s="188"/>
      <c r="E58" s="188"/>
      <c r="F58" s="188"/>
      <c r="G58" s="188"/>
      <c r="H58" s="188"/>
      <c r="I58" s="188"/>
      <c r="J58" s="188"/>
      <c r="K58" s="188"/>
      <c r="L58" s="189"/>
      <c r="M58" s="187"/>
      <c r="N58" s="188"/>
      <c r="O58" s="188"/>
      <c r="P58" s="188"/>
      <c r="Q58" s="188"/>
      <c r="R58" s="188"/>
      <c r="S58" s="188"/>
      <c r="T58" s="188"/>
      <c r="U58" s="188"/>
      <c r="V58" s="188"/>
      <c r="W58" s="189"/>
      <c r="X58" s="187"/>
      <c r="Y58" s="188"/>
      <c r="Z58" s="188"/>
      <c r="AA58" s="188"/>
      <c r="AB58" s="188"/>
      <c r="AC58" s="188"/>
      <c r="AD58" s="188"/>
      <c r="AE58" s="188"/>
      <c r="AF58" s="188"/>
      <c r="AG58" s="188"/>
      <c r="AH58" s="189"/>
      <c r="AI58" s="187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9"/>
      <c r="AU58" s="187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95"/>
    </row>
    <row r="59" spans="2:58" ht="13" customHeight="1" x14ac:dyDescent="0.25">
      <c r="B59" s="206"/>
      <c r="C59" s="207"/>
      <c r="D59" s="207"/>
      <c r="E59" s="207"/>
      <c r="F59" s="207"/>
      <c r="G59" s="207"/>
      <c r="H59" s="207"/>
      <c r="I59" s="207"/>
      <c r="J59" s="207"/>
      <c r="K59" s="207"/>
      <c r="L59" s="208"/>
      <c r="M59" s="210"/>
      <c r="N59" s="207"/>
      <c r="O59" s="207"/>
      <c r="P59" s="207"/>
      <c r="Q59" s="207"/>
      <c r="R59" s="207"/>
      <c r="S59" s="207"/>
      <c r="T59" s="207"/>
      <c r="U59" s="207"/>
      <c r="V59" s="207"/>
      <c r="W59" s="208"/>
      <c r="X59" s="210"/>
      <c r="Y59" s="207"/>
      <c r="Z59" s="207"/>
      <c r="AA59" s="207"/>
      <c r="AB59" s="207"/>
      <c r="AC59" s="207"/>
      <c r="AD59" s="207"/>
      <c r="AE59" s="207"/>
      <c r="AF59" s="207"/>
      <c r="AG59" s="207"/>
      <c r="AH59" s="208"/>
      <c r="AI59" s="210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8"/>
      <c r="AU59" s="210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11"/>
    </row>
    <row r="60" spans="2:58" ht="13" customHeight="1" x14ac:dyDescent="0.25">
      <c r="B60" s="147" t="s">
        <v>372</v>
      </c>
      <c r="C60" s="148"/>
      <c r="D60" s="9" t="s">
        <v>274</v>
      </c>
      <c r="E60" s="124" t="s">
        <v>20</v>
      </c>
      <c r="F60" s="127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30"/>
    </row>
    <row r="61" spans="2:58" ht="13" customHeight="1" x14ac:dyDescent="0.25">
      <c r="B61" s="123" t="s">
        <v>275</v>
      </c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2"/>
    </row>
    <row r="62" spans="2:58" ht="13" customHeight="1" thickBot="1" x14ac:dyDescent="0.3">
      <c r="B62" s="135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4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T11"/>
  <sheetViews>
    <sheetView tabSelected="1" zoomScaleNormal="100" workbookViewId="0">
      <selection activeCell="I19" sqref="I19:J19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  <col min="18" max="18" width="9.81640625" style="105"/>
  </cols>
  <sheetData>
    <row r="2" spans="2:19" x14ac:dyDescent="0.25">
      <c r="B2" s="243" t="s">
        <v>350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5"/>
    </row>
    <row r="3" spans="2:19" x14ac:dyDescent="0.25">
      <c r="B3" s="246" t="s">
        <v>372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8"/>
    </row>
    <row r="4" spans="2:19" x14ac:dyDescent="0.25">
      <c r="B4" s="216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  <c r="R4" s="91" t="s">
        <v>371</v>
      </c>
      <c r="S4" s="91" t="s">
        <v>370</v>
      </c>
    </row>
    <row r="5" spans="2:19" x14ac:dyDescent="0.25">
      <c r="B5" s="216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  <c r="R5" s="91" t="s">
        <v>281</v>
      </c>
      <c r="S5" s="91" t="s">
        <v>281</v>
      </c>
    </row>
    <row r="6" spans="2:19" x14ac:dyDescent="0.25">
      <c r="B6" s="249" t="s">
        <v>372</v>
      </c>
      <c r="C6" s="249" t="s">
        <v>367</v>
      </c>
      <c r="D6" s="108">
        <v>75.41999816894531</v>
      </c>
      <c r="E6" s="108">
        <v>23.110000610351562</v>
      </c>
      <c r="F6" s="108">
        <v>542.2999877929688</v>
      </c>
      <c r="G6" s="250">
        <f>F6+F7+F8</f>
        <v>0</v>
      </c>
      <c r="H6" s="109">
        <f>F6*D6/100</f>
        <v>0</v>
      </c>
      <c r="I6" s="251">
        <f>H6+H7+H8</f>
        <v>0</v>
      </c>
      <c r="J6" s="251">
        <f t="shared" ref="J6" si="0">I6</f>
        <v>0</v>
      </c>
      <c r="K6" s="251">
        <v>3.6000311374664307</v>
      </c>
      <c r="L6" s="251">
        <v>419.6123046875</v>
      </c>
      <c r="M6" s="251">
        <f>K6*L6/1000</f>
        <v>0</v>
      </c>
      <c r="N6" s="251">
        <f>M6+'[1]2025.12月 '!N190</f>
        <v>0</v>
      </c>
      <c r="O6" s="251" t="e">
        <f>I6/M6*1.2/10</f>
        <v>#DIV/0!</v>
      </c>
      <c r="P6" s="252" t="s">
        <v>368</v>
      </c>
      <c r="Q6" s="251" t="e">
        <f>(I6+I9)/(K6+K9)/L6*1.2*100</f>
        <v>#DIV/0!</v>
      </c>
      <c r="R6" s="251">
        <v>1766.5711669921875</v>
      </c>
      <c r="S6" s="251">
        <v>2319.800048828125</v>
      </c>
    </row>
    <row r="7" spans="2:19" x14ac:dyDescent="0.25">
      <c r="B7" s="249"/>
      <c r="C7" s="249"/>
      <c r="D7" s="108">
        <v>75.44999694824219</v>
      </c>
      <c r="E7" s="108">
        <v>23.5</v>
      </c>
      <c r="F7" s="108">
        <v>690.2000122070312</v>
      </c>
      <c r="G7" s="250"/>
      <c r="H7" s="109">
        <f t="shared" ref="H7:H11" si="1">F7*D7/100</f>
        <v>0</v>
      </c>
      <c r="I7" s="251"/>
      <c r="J7" s="251"/>
      <c r="K7" s="251"/>
      <c r="L7" s="251"/>
      <c r="M7" s="251"/>
      <c r="N7" s="251"/>
      <c r="O7" s="251"/>
      <c r="P7" s="252" t="s">
        <v>368</v>
      </c>
      <c r="Q7" s="251"/>
      <c r="R7" s="251"/>
      <c r="S7" s="251"/>
    </row>
    <row r="8" spans="2:19" x14ac:dyDescent="0.25">
      <c r="B8" s="249"/>
      <c r="C8" s="249"/>
      <c r="D8" s="108"/>
      <c r="E8" s="108"/>
      <c r="F8" s="108"/>
      <c r="G8" s="250"/>
      <c r="H8" s="109">
        <f t="shared" si="1"/>
        <v>0</v>
      </c>
      <c r="I8" s="251"/>
      <c r="J8" s="251"/>
      <c r="K8" s="251"/>
      <c r="L8" s="251"/>
      <c r="M8" s="251"/>
      <c r="N8" s="251"/>
      <c r="O8" s="251"/>
      <c r="P8" s="252" t="s">
        <v>369</v>
      </c>
      <c r="Q8" s="251"/>
      <c r="R8" s="251"/>
      <c r="S8" s="251"/>
    </row>
    <row r="9" spans="2:19" x14ac:dyDescent="0.25">
      <c r="B9" s="249"/>
      <c r="C9" s="249"/>
      <c r="D9" s="108">
        <v>77.9000015258789</v>
      </c>
      <c r="E9" s="108">
        <v>20.8700008392334</v>
      </c>
      <c r="F9" s="108">
        <v>484.1000061035156</v>
      </c>
      <c r="G9" s="250">
        <f>F9+F10+F11</f>
        <v>0</v>
      </c>
      <c r="H9" s="109">
        <f>F9*D9/100</f>
        <v>0</v>
      </c>
      <c r="I9" s="251">
        <f>H9+H10+H11</f>
        <v>0</v>
      </c>
      <c r="J9" s="251">
        <f>J6+I9</f>
        <v>0</v>
      </c>
      <c r="K9" s="251">
        <v>3.2999844551086426</v>
      </c>
      <c r="L9" s="251">
        <v>416.1009826660156</v>
      </c>
      <c r="M9" s="251">
        <f>K9*L9/1000</f>
        <v>0</v>
      </c>
      <c r="N9" s="251">
        <f>M9+N6</f>
        <v>0</v>
      </c>
      <c r="O9" s="251" t="e">
        <f>I9/M9*1.2/10</f>
        <v>#DIV/0!</v>
      </c>
      <c r="P9" s="252" t="s">
        <v>368</v>
      </c>
      <c r="Q9" s="251"/>
      <c r="R9" s="251"/>
      <c r="S9" s="251"/>
    </row>
    <row r="10" spans="2:19" x14ac:dyDescent="0.25">
      <c r="B10" s="249"/>
      <c r="C10" s="249"/>
      <c r="D10" s="108">
        <v>76.20999908447266</v>
      </c>
      <c r="E10" s="108">
        <v>22.079999923706055</v>
      </c>
      <c r="F10" s="108">
        <v>603.2000122070312</v>
      </c>
      <c r="G10" s="250"/>
      <c r="H10" s="109">
        <f t="shared" si="1"/>
        <v>0</v>
      </c>
      <c r="I10" s="251"/>
      <c r="J10" s="251"/>
      <c r="K10" s="251"/>
      <c r="L10" s="251"/>
      <c r="M10" s="251"/>
      <c r="N10" s="251"/>
      <c r="O10" s="251"/>
      <c r="P10" s="252" t="s">
        <v>368</v>
      </c>
      <c r="Q10" s="251"/>
      <c r="R10" s="251"/>
      <c r="S10" s="251"/>
    </row>
    <row r="11" spans="2:19" x14ac:dyDescent="0.25">
      <c r="B11" s="249"/>
      <c r="C11" s="249"/>
      <c r="D11" s="108"/>
      <c r="E11" s="108"/>
      <c r="F11" s="108"/>
      <c r="G11" s="250"/>
      <c r="H11" s="109">
        <f t="shared" si="1"/>
        <v>0</v>
      </c>
      <c r="I11" s="251"/>
      <c r="J11" s="251"/>
      <c r="K11" s="251"/>
      <c r="L11" s="251"/>
      <c r="M11" s="251"/>
      <c r="N11" s="251"/>
      <c r="O11" s="251"/>
      <c r="P11" s="252" t="s">
        <v>369</v>
      </c>
      <c r="Q11" s="251"/>
      <c r="R11" s="251"/>
      <c r="S11" s="251"/>
    </row>
  </sheetData>
  <mergeCells count="24"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  <mergeCell ref="S6:S11"/>
    <mergeCell ref="R6:R11"/>
    <mergeCell ref="N9:N11"/>
    <mergeCell ref="O9:O11"/>
    <mergeCell ref="K6:K8"/>
    <mergeCell ref="L6:L8"/>
    <mergeCell ref="M6:M8"/>
    <mergeCell ref="N6:N8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20" t="s">
        <v>349</v>
      </c>
      <c r="C2" s="221"/>
      <c r="D2" s="221"/>
      <c r="E2" s="221"/>
      <c r="F2" s="221"/>
      <c r="G2" s="221"/>
      <c r="H2" s="221"/>
      <c r="I2" s="221"/>
      <c r="J2" s="222"/>
    </row>
    <row r="3" spans="2:10" ht="20.15" customHeight="1" x14ac:dyDescent="0.25">
      <c r="B3" s="85"/>
      <c r="C3" s="86"/>
      <c r="D3" s="86"/>
      <c r="E3" s="86"/>
      <c r="F3" s="86"/>
      <c r="G3" s="87"/>
      <c r="H3" s="223"/>
      <c r="I3" s="223"/>
      <c r="J3" s="224"/>
    </row>
    <row r="4" spans="2:10" ht="21" x14ac:dyDescent="0.25">
      <c r="B4" s="225" t="s">
        <v>292</v>
      </c>
      <c r="C4" s="226"/>
      <c r="D4" s="227"/>
      <c r="E4" s="88" t="s">
        <v>293</v>
      </c>
      <c r="F4" s="88" t="s">
        <v>294</v>
      </c>
      <c r="G4" s="88" t="s">
        <v>295</v>
      </c>
      <c r="H4" s="228" t="s">
        <v>296</v>
      </c>
      <c r="I4" s="227"/>
      <c r="J4" s="89" t="s">
        <v>297</v>
      </c>
    </row>
    <row r="5" spans="2:10" x14ac:dyDescent="0.25">
      <c r="B5" s="90" t="s">
        <v>298</v>
      </c>
      <c r="C5" s="216" t="s">
        <v>299</v>
      </c>
      <c r="D5" s="216"/>
      <c r="E5" s="91" t="s">
        <v>283</v>
      </c>
      <c r="F5" s="92">
        <v>90</v>
      </c>
      <c r="G5" s="93">
        <v>73.21736907958984</v>
      </c>
      <c r="H5" s="94">
        <f>(G5-F5)/F5*100</f>
        <v>-100</v>
      </c>
      <c r="I5" s="95" t="s">
        <v>283</v>
      </c>
      <c r="J5" s="96"/>
    </row>
    <row r="6" spans="2:10" x14ac:dyDescent="0.25">
      <c r="B6" s="217" t="s">
        <v>300</v>
      </c>
      <c r="C6" s="216" t="s">
        <v>301</v>
      </c>
      <c r="D6" s="216"/>
      <c r="E6" s="91" t="s">
        <v>280</v>
      </c>
      <c r="F6" s="92" t="s">
        <v>302</v>
      </c>
      <c r="G6" s="93">
        <v>1703.35986328125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18"/>
      <c r="C7" s="216" t="s">
        <v>303</v>
      </c>
      <c r="D7" s="216"/>
      <c r="E7" s="91" t="s">
        <v>280</v>
      </c>
      <c r="F7" s="92" t="s">
        <v>304</v>
      </c>
      <c r="G7" s="93">
        <v>274.0163269042969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19"/>
      <c r="C8" s="216" t="s">
        <v>305</v>
      </c>
      <c r="D8" s="216"/>
      <c r="E8" s="91" t="s">
        <v>280</v>
      </c>
      <c r="F8" s="92" t="s">
        <v>306</v>
      </c>
      <c r="G8" s="93">
        <v>260.59228515625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17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417.92694091796875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18"/>
      <c r="C10" s="216" t="s">
        <v>312</v>
      </c>
      <c r="D10" s="91" t="s">
        <v>313</v>
      </c>
      <c r="E10" s="98" t="s">
        <v>4</v>
      </c>
      <c r="F10" s="92" t="s">
        <v>314</v>
      </c>
      <c r="G10" s="93">
        <v>0.5279406905174255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18"/>
      <c r="C11" s="216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18"/>
      <c r="C12" s="216"/>
      <c r="D12" s="91" t="s">
        <v>318</v>
      </c>
      <c r="E12" s="91" t="s">
        <v>285</v>
      </c>
      <c r="F12" s="92" t="s">
        <v>319</v>
      </c>
      <c r="G12" s="93">
        <v>0.7393888831138611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18"/>
      <c r="C13" s="216"/>
      <c r="D13" s="91" t="s">
        <v>320</v>
      </c>
      <c r="E13" s="91" t="s">
        <v>286</v>
      </c>
      <c r="F13" s="92" t="s">
        <v>321</v>
      </c>
      <c r="G13" s="93">
        <v>90.4962387084961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18"/>
      <c r="C14" s="216"/>
      <c r="D14" s="91" t="s">
        <v>322</v>
      </c>
      <c r="E14" s="91" t="s">
        <v>286</v>
      </c>
      <c r="F14" s="92" t="s">
        <v>323</v>
      </c>
      <c r="G14" s="93">
        <v>139.50289916992188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18"/>
      <c r="C15" s="216"/>
      <c r="D15" s="91" t="s">
        <v>324</v>
      </c>
      <c r="E15" s="91" t="s">
        <v>286</v>
      </c>
      <c r="F15" s="92" t="s">
        <v>325</v>
      </c>
      <c r="G15" s="93">
        <v>162.8220672607422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18"/>
      <c r="C16" s="216" t="s">
        <v>326</v>
      </c>
      <c r="D16" s="91" t="s">
        <v>327</v>
      </c>
      <c r="E16" s="91" t="s">
        <v>286</v>
      </c>
      <c r="F16" s="92" t="s">
        <v>328</v>
      </c>
      <c r="G16" s="93">
        <v>46.096641540527344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18"/>
      <c r="C17" s="216"/>
      <c r="D17" s="91" t="s">
        <v>329</v>
      </c>
      <c r="E17" s="91" t="s">
        <v>286</v>
      </c>
      <c r="F17" s="92" t="s">
        <v>330</v>
      </c>
      <c r="G17" s="93">
        <v>19.5374698638916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18"/>
      <c r="C18" s="216"/>
      <c r="D18" s="91" t="s">
        <v>331</v>
      </c>
      <c r="E18" s="91" t="s">
        <v>286</v>
      </c>
      <c r="F18" s="92" t="s">
        <v>332</v>
      </c>
      <c r="G18" s="93">
        <v>0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18"/>
      <c r="C19" s="216"/>
      <c r="D19" s="91" t="s">
        <v>333</v>
      </c>
      <c r="E19" s="91" t="s">
        <v>286</v>
      </c>
      <c r="F19" s="92" t="s">
        <v>334</v>
      </c>
      <c r="G19" s="93">
        <v>17.121816635131836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18"/>
      <c r="C20" s="216" t="s">
        <v>335</v>
      </c>
      <c r="D20" s="91" t="s">
        <v>89</v>
      </c>
      <c r="E20" s="91" t="s">
        <v>283</v>
      </c>
      <c r="F20" s="99" t="s">
        <v>82</v>
      </c>
      <c r="G20" s="93">
        <v>33.61249923706055</v>
      </c>
      <c r="H20" s="100" t="s">
        <v>336</v>
      </c>
      <c r="I20" s="98" t="s">
        <v>4</v>
      </c>
      <c r="J20" s="96"/>
    </row>
    <row r="21" spans="2:10" x14ac:dyDescent="0.25">
      <c r="B21" s="218"/>
      <c r="C21" s="216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18"/>
      <c r="C22" s="216"/>
      <c r="D22" s="91" t="s">
        <v>337</v>
      </c>
      <c r="E22" s="98" t="s">
        <v>4</v>
      </c>
      <c r="F22" s="99" t="s">
        <v>82</v>
      </c>
      <c r="G22" s="93">
        <v>6.887500286102295</v>
      </c>
      <c r="H22" s="100" t="s">
        <v>336</v>
      </c>
      <c r="I22" s="98" t="s">
        <v>4</v>
      </c>
      <c r="J22" s="96"/>
    </row>
    <row r="23" spans="2:10" x14ac:dyDescent="0.25">
      <c r="B23" s="218"/>
      <c r="C23" s="216"/>
      <c r="D23" s="91" t="s">
        <v>166</v>
      </c>
      <c r="E23" s="91" t="s">
        <v>310</v>
      </c>
      <c r="F23" s="99" t="s">
        <v>82</v>
      </c>
      <c r="G23" s="93">
        <v>20.613332748413086</v>
      </c>
      <c r="H23" s="100" t="s">
        <v>336</v>
      </c>
      <c r="I23" s="98" t="s">
        <v>4</v>
      </c>
      <c r="J23" s="96"/>
    </row>
    <row r="24" spans="2:10" x14ac:dyDescent="0.25">
      <c r="B24" s="219"/>
      <c r="C24" s="216"/>
      <c r="D24" s="91" t="s">
        <v>167</v>
      </c>
      <c r="E24" s="91" t="s">
        <v>310</v>
      </c>
      <c r="F24" s="99" t="s">
        <v>82</v>
      </c>
      <c r="G24" s="93">
        <v>8.513333320617676</v>
      </c>
      <c r="H24" s="100" t="s">
        <v>336</v>
      </c>
      <c r="I24" s="98" t="s">
        <v>4</v>
      </c>
      <c r="J24" s="96"/>
    </row>
    <row r="25" spans="2:10" x14ac:dyDescent="0.25">
      <c r="B25" s="229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29"/>
      <c r="C26" s="216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29"/>
      <c r="C27" s="216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29"/>
      <c r="C28" s="216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29"/>
      <c r="C29" s="216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29"/>
      <c r="C30" s="216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29"/>
      <c r="C31" s="216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17"/>
      <c r="C32" s="230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31" t="s">
        <v>348</v>
      </c>
      <c r="C33" s="234"/>
      <c r="D33" s="235"/>
      <c r="E33" s="235"/>
      <c r="F33" s="235"/>
      <c r="G33" s="235"/>
      <c r="H33" s="235"/>
      <c r="I33" s="235"/>
      <c r="J33" s="236"/>
    </row>
    <row r="34" spans="2:10" x14ac:dyDescent="0.25">
      <c r="B34" s="232"/>
      <c r="C34" s="237"/>
      <c r="D34" s="238"/>
      <c r="E34" s="238"/>
      <c r="F34" s="238"/>
      <c r="G34" s="238"/>
      <c r="H34" s="238"/>
      <c r="I34" s="238"/>
      <c r="J34" s="239"/>
    </row>
    <row r="35" spans="2:10" ht="14.5" thickBot="1" x14ac:dyDescent="0.3">
      <c r="B35" s="233"/>
      <c r="C35" s="240"/>
      <c r="D35" s="241"/>
      <c r="E35" s="241"/>
      <c r="F35" s="241"/>
      <c r="G35" s="241"/>
      <c r="H35" s="241"/>
      <c r="I35" s="241"/>
      <c r="J35" s="242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2026-05-28T03:10:59Z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