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<sst xmlns="http://schemas.openxmlformats.org/spreadsheetml/2006/main" count="1556" uniqueCount="472">
  <si>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</si>
  <si>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</si>
  <si>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</si>
  <si>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</si>
  <si>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</si>
  <si>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</si>
  <si>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</si>
  <si>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</si>
  <si>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</si>
  <si>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</si>
  <si>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</si>
  <si>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</si>
  <si>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</si>
  <si>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</si>
  <si>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</si>
  <si>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</si>
  <si>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</si>
  <si>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</si>
  <si>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</si>
  <si>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</si>
  <si>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</si>
  <si>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</si>
  <si>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</si>
  <si>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</si>
  <si>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</si>
  <si>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</si>
  <si>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</si>
  <si>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</si>
  <si>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</si>
  <si>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</si>
  <si>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</si>
  <si>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</si>
  <si>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</si>
  <si>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</si>
  <si>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</si>
  <si>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</si>
  <si>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</si>
  <si>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</si>
  <si>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</si>
  <si>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</si>
  <si>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</si>
  <si>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</si>
  <si>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</si>
  <si>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</si>
  <si>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</si>
  <si>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</si>
  <si>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</si>
  <si>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</si>
  <si>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</si>
  <si>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</si>
  <si>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</si>
  <si>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</si>
  <si>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</si>
  <si>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</si>
  <si>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</si>
  <si>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</si>
  <si>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</si>
  <si>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</si>
  <si>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</si>
  <si>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</si>
  <si>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</si>
  <si>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</si>
  <si>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</si>
  <si>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</si>
  <si>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</si>
  <si>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</si>
  <si>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</si>
  <si>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</si>
  <si>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</si>
  <si>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</si>
  <si>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</si>
  <si>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</si>
  <si>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</si>
  <si>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</si>
  <si>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</si>
  <si>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</si>
  <si>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</si>
  <si>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</si>
  <si>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</si>
  <si>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</si>
  <si>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</si>
  <si>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</si>
  <si>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</si>
  <si>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</si>
  <si>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</si>
  <si>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</si>
  <si>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</si>
  <si>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</si>
  <si>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</si>
  <si>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</si>
  <si>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</si>
  <si>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</si>
  <si>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</si>
  <si>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</si>
  <si>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</si>
  <si>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</si>
  <si>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</si>
  <si>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</si>
  <si>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</si>
  <si>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</si>
  <si>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</si>
  <si>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</si>
  <si>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</si>
  <si>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</si>
  <si>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</si>
  <si>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</si>
  <si>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</si>
  <si>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</si>
  <si>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</si>
  <si>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</si>
  <si>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</si>
  <si>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</si>
  <si>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</si>
  <si>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</si>
  <si>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</si>
  <si>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</si>
  <si>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</si>
  <si>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</si>
  <si>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</si>
  <si>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</si>
  <si>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</si>
  <si>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</si>
  <si>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</si>
  <si>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</si>
  <si>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</si>
  <si>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</si>
  <si>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</si>
  <si>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</si>
  <si>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</si>
  <si>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</si>
  <si>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</si>
  <si>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</si>
  <si>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</si>
  <si>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</si>
  <si>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</si>
  <si>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</si>
  <si>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</si>
  <si>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</si>
  <si>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</si>
  <si>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</si>
  <si>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</si>
  <si>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</si>
  <si>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</si>
  <si>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</si>
  <si>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</si>
  <si>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</si>
  <si>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</si>
  <si>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</si>
  <si>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</si>
  <si>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</si>
  <si>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</si>
  <si>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</si>
  <si>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</si>
  <si>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</si>
  <si>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</si>
  <si>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</si>
  <si>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</si>
  <si>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</si>
  <si>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</si>
  <si>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</si>
  <si>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</si>
  <si>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</si>
  <si>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</si>
  <si>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</si>
  <si>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</si>
  <si>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</si>
  <si>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</si>
  <si>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</si>
  <si>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</si>
  <si>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</si>
  <si>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</si>
  <si>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</si>
  <si>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</si>
  <si>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</si>
  <si>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</si>
  <si>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</si>
  <si>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</si>
  <si>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</si>
  <si>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</si>
  <si>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</si>
  <si>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</si>
  <si>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</si>
  <si>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</si>
  <si>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</si>
  <si>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</si>
  <si>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</si>
  <si>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</si>
  <si>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</si>
  <si>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</si>
  <si>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</si>
  <si>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</si>
  <si>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</si>
  <si>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</si>
  <si>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</si>
  <si>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</si>
  <si>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</si>
  <si>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</si>
  <si>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</si>
  <si>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</si>
  <si>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</si>
  <si>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</si>
  <si>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</si>
  <si>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</si>
  <si>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</si>
  <si>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</si>
  <si>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</si>
  <si>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</si>
  <si>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</si>
  <si>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</si>
  <si>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</si>
  <si>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</si>
  <si>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</si>
  <si>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</si>
  <si>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</si>
  <si>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</si>
  <si>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</si>
  <si>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</si>
  <si>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</si>
  <si>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</si>
  <si>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</si>
  <si>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</si>
  <si>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</si>
  <si>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</si>
  <si>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</si>
  <si>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</si>
  <si>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</si>
  <si>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</si>
  <si>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</si>
  <si>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</si>
  <si>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</si>
  <si>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</si>
  <si>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</si>
  <si>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</si>
  <si>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</si>
  <si>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</si>
  <si>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</si>
  <si>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</si>
  <si>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</si>
  <si>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</si>
  <si>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</si>
  <si>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</si>
  <si>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</si>
  <si>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</si>
  <si>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</si>
  <si>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</si>
  <si>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</si>
  <si>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</si>
  <si>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</si>
  <si>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</si>
  <si>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</si>
  <si>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</si>
  <si>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</si>
  <si>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</si>
  <si>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</si>
  <si>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</si>
  <si>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</si>
  <si>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</si>
  <si>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</si>
  <si>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</si>
  <si>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</si>
  <si>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</si>
  <si>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</si>
  <si>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</si>
  <si>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</si>
  <si>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</si>
  <si>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</si>
  <si>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</si>
  <si>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</si>
  <si>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</si>
  <si>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</si>
  <si>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</si>
  <si>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</si>
  <si>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</si>
  <si>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</si>
  <si>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</si>
  <si>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</si>
  <si>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</si>
  <si>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</si>
  <si>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</si>
  <si>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</si>
  <si>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</si>
  <si>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</si>
  <si>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</si>
  <si>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</si>
  <si>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</si>
  <si>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</si>
  <si>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</si>
  <si>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</si>
  <si>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</si>
  <si>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</si>
  <si>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</si>
  <si>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</si>
  <si>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</si>
  <si>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</si>
  <si>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</si>
  <si>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</si>
  <si>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</si>
  <si>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</si>
  <si>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</si>
  <si>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</si>
  <si>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</si>
  <si>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</si>
  <si>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</si>
  <si>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</si>
  <si>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</si>
  <si>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</si>
  <si>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</si>
  <si>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</si>
  <si>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</si>
  <si>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</si>
  <si>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</si>
  <si>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</si>
  <si>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</si>
  <si>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</si>
  <si>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</si>
  <si>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</si>
  <si>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</si>
  <si>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</si>
  <si>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</si>
  <si>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</si>
  <si>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</si>
  <si>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</si>
  <si>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</si>
  <si>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</si>
  <si>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</si>
  <si>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</si>
  <si>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</si>
  <si>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</si>
  <si>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</si>
  <si>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</si>
  <si>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</si>
  <si>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</si>
  <si>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</si>
  <si>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</si>
  <si>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</si>
  <si>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</si>
  <si>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</si>
  <si>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</si>
  <si>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</si>
  <si>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</si>
  <si>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</si>
  <si>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</si>
  <si>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</si>
  <si>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</si>
  <si>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</si>
  <si>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</si>
  <si>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</si>
  <si>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</si>
  <si>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</si>
  <si>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</si>
  <si>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</si>
  <si>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</si>
  <si>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</si>
  <si>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</si>
  <si>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</si>
  <si>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</si>
  <si>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</si>
  <si>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</si>
  <si>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</si>
  <si>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</si>
  <si>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</si>
  <si>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</si>
  <si>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</si>
  <si>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</si>
  <si>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</si>
  <si>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</si>
  <si>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</si>
  <si>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</si>
  <si>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</si>
  <si>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</si>
  <si>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</si>
  <si>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</si>
  <si>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</si>
  <si>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</si>
  <si>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</si>
  <si>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</si>
  <si>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</si>
  <si>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</si>
  <si>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</si>
  <si>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</si>
  <si>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</si>
  <si>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</si>
  <si>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</si>
  <si>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</si>
  <si>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</si>
  <si>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</si>
  <si>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</si>
  <si>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</si>
  <si>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</si>
  <si>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</si>
  <si>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</si>
  <si>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</si>
  <si>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</si>
  <si>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</si>
  <si>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</si>
  <si>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</si>
  <si>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</si>
  <si>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</si>
  <si>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</si>
  <si>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</si>
  <si>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</si>
  <si>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</si>
  <si>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</si>
  <si>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</si>
  <si>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</si>
  <si>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</si>
  <si>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</si>
  <si>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</si>
  <si>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</si>
  <si>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</si>
  <si>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</si>
  <si>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</si>
  <si>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</si>
  <si>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</si>
  <si>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</si>
  <si>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</si>
  <si>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</si>
  <si>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</si>
  <si>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</si>
  <si>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</si>
  <si>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</si>
  <si>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</si>
  <si>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</si>
  <si>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</si>
  <si>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</si>
  <si>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</si>
  <si>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</si>
  <si>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</si>
  <si>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</si>
  <si>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</si>
  <si>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</si>
  <si>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</si>
  <si>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</si>
  <si>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</si>
  <si>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</si>
  <si>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</si>
  <si>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</si>
  <si>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</si>
  <si>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</si>
  <si>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</si>
  <si>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</si>
  <si>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</si>
  <si>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</si>
  <si>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</si>
  <si>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</si>
  <si>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</si>
  <si>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</si>
  <si>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</si>
  <si>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</si>
  <si>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</si>
  <si>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</si>
  <si>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</si>
  <si>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</si>
  <si>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</si>
  <si>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</si>
  <si>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</si>
  <si>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</si>
  <si>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</si>
  <si>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</si>
  <si>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</si>
  <si>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</si>
  <si>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</si>
  <si>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</si>
  <si>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</si>
  <si>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</si>
  <si>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</si>
  <si>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</si>
  <si>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</si>
  <si>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</si>
  <si>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</si>
  <si>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</si>
  <si>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2026-05-10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</si>
</sst>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3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50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89" xfId="0" applyFont="1" applyFill="1" applyBorder="1" applyAlignment="1">
      <alignment horizontal="center" vertical="center"/>
    </xf>
    <xf numFmtId="49" fontId="19" fillId="4" borderId="90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Border="1" applyAlignment="1">
      <alignment horizontal="center" vertical="center" wrapText="1"/>
    </xf>
    <xf numFmtId="176" fontId="29" fillId="0" borderId="4" xfId="0" applyNumberFormat="1" applyFont="1" applyBorder="1" applyAlignment="1">
      <alignment horizontal="center" vertical="center" wrapText="1"/>
    </xf>
    <xf numFmtId="176" fontId="29" fillId="0" borderId="47" xfId="0" applyNumberFormat="1" applyFont="1" applyBorder="1" applyAlignment="1">
      <alignment horizontal="center" vertical="center" wrapText="1"/>
    </xf>
    <xf numFmtId="176" fontId="29" fillId="0" borderId="51" xfId="0" applyNumberFormat="1" applyFont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 wrapText="1"/>
    </xf>
    <xf numFmtId="177" fontId="28" fillId="0" borderId="47" xfId="0" applyNumberFormat="1" applyFont="1" applyBorder="1" applyAlignment="1">
      <alignment horizontal="center" vertical="center" wrapText="1"/>
    </xf>
    <xf numFmtId="177" fontId="28" fillId="0" borderId="51" xfId="0" applyNumberFormat="1" applyFont="1" applyBorder="1" applyAlignment="1">
      <alignment horizontal="center" vertical="center" wrapText="1"/>
    </xf>
    <xf numFmtId="177" fontId="28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28" fillId="0" borderId="30" xfId="0" applyNumberFormat="1" applyFont="1" applyBorder="1" applyAlignment="1">
      <alignment horizontal="center" vertical="center" wrapText="1"/>
    </xf>
    <xf numFmtId="177" fontId="28" fillId="0" borderId="48" xfId="0" applyNumberFormat="1" applyFont="1" applyBorder="1" applyAlignment="1">
      <alignment horizontal="center" vertical="center" wrapText="1"/>
    </xf>
    <xf numFmtId="177" fontId="28" fillId="0" borderId="52" xfId="0" applyNumberFormat="1" applyFont="1" applyBorder="1" applyAlignment="1">
      <alignment horizontal="center" vertical="center" wrapText="1"/>
    </xf>
    <xf numFmtId="177" fontId="28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28" fillId="0" borderId="12" xfId="0" applyNumberFormat="1" applyFont="1" applyBorder="1" applyAlignment="1">
      <alignment horizontal="center" vertical="center" wrapText="1"/>
    </xf>
    <xf numFmtId="177" fontId="29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28" fillId="0" borderId="45" xfId="0" applyNumberFormat="1" applyFont="1" applyBorder="1" applyAlignment="1">
      <alignment horizontal="center" vertical="center" wrapText="1"/>
    </xf>
    <xf numFmtId="177" fontId="29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29" fillId="0" borderId="47" xfId="0" applyNumberFormat="1" applyFont="1" applyBorder="1" applyAlignment="1">
      <alignment horizontal="center" vertical="center" wrapText="1"/>
    </xf>
    <xf numFmtId="177" fontId="29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29" fillId="0" borderId="48" xfId="0" applyNumberFormat="1" applyFont="1" applyBorder="1" applyAlignment="1">
      <alignment horizontal="center" vertical="center" wrapText="1"/>
    </xf>
    <xf numFmtId="177" fontId="29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23" fillId="0" borderId="30" xfId="0" applyNumberFormat="1" applyFont="1" applyBorder="1" applyAlignment="1">
      <alignment horizontal="center" vertical="center" wrapText="1"/>
    </xf>
    <xf numFmtId="177" fontId="30" fillId="0" borderId="52" xfId="0" applyNumberFormat="1" applyFont="1" applyBorder="1" applyAlignment="1">
      <alignment horizontal="center" vertical="center" wrapText="1"/>
    </xf>
    <xf numFmtId="177" fontId="31" fillId="0" borderId="52" xfId="0" applyNumberFormat="1" applyFont="1" applyBorder="1" applyAlignment="1">
      <alignment horizontal="center" vertical="center" wrapText="1"/>
    </xf>
    <xf numFmtId="177" fontId="31" fillId="0" borderId="30" xfId="0" applyNumberFormat="1" applyFont="1" applyBorder="1" applyAlignment="1">
      <alignment horizontal="center" vertical="center" wrapText="1"/>
    </xf>
    <xf numFmtId="177" fontId="31" fillId="0" borderId="76" xfId="0" applyNumberFormat="1" applyFont="1" applyBorder="1" applyAlignment="1">
      <alignment horizontal="center" vertical="center" wrapText="1"/>
    </xf>
    <xf numFmtId="177" fontId="31" fillId="0" borderId="48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4" fillId="0" borderId="82" xfId="0" applyFont="1" applyBorder="1" applyAlignment="1">
      <alignment horizontal="left" vertical="center"/>
    </xf>
    <xf numFmtId="0" fontId="24" fillId="0" borderId="83" xfId="0" applyFont="1" applyBorder="1" applyAlignment="1">
      <alignment horizontal="left" vertical="center"/>
    </xf>
    <xf numFmtId="0" fontId="24" fillId="0" borderId="84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21" fillId="0" borderId="8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26" fillId="0" borderId="72" xfId="0" applyNumberFormat="1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3" fillId="3" borderId="81" xfId="0" applyFont="1" applyFill="1" applyBorder="1" applyAlignment="1">
      <alignment horizontal="center" vertical="center"/>
    </xf>
    <xf numFmtId="0" fontId="33" fillId="3" borderId="78" xfId="0" applyFont="1" applyFill="1" applyBorder="1" applyAlignment="1">
      <alignment horizontal="center" vertical="center"/>
    </xf>
    <xf numFmtId="0" fontId="33" fillId="3" borderId="77" xfId="0" applyFont="1" applyFill="1" applyBorder="1" applyAlignment="1">
      <alignment horizontal="center" vertical="center"/>
    </xf>
    <xf numFmtId="0" fontId="34" fillId="3" borderId="61" xfId="0" applyFont="1" applyFill="1" applyBorder="1" applyAlignment="1">
      <alignment vertical="center"/>
    </xf>
    <xf numFmtId="0" fontId="34" fillId="3" borderId="62" xfId="0" applyFont="1" applyFill="1" applyBorder="1" applyAlignment="1">
      <alignment vertical="center"/>
    </xf>
    <xf numFmtId="0" fontId="34" fillId="3" borderId="62" xfId="0" applyFont="1" applyFill="1" applyBorder="1" applyAlignment="1">
      <alignment horizontal="right" vertical="center"/>
    </xf>
    <xf numFmtId="0" fontId="34" fillId="3" borderId="62" xfId="0" applyFont="1" applyFill="1" applyBorder="1" applyAlignment="1">
      <alignment horizontal="center" vertical="center"/>
    </xf>
    <xf numFmtId="0" fontId="34" fillId="3" borderId="65" xfId="0" applyFont="1" applyFill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94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95" xfId="0" applyFont="1" applyBorder="1" applyAlignment="1">
      <alignment horizontal="center" vertical="center"/>
    </xf>
    <xf numFmtId="0" fontId="35" fillId="0" borderId="96" xfId="0" applyFont="1" applyBorder="1" applyAlignment="1">
      <alignment horizontal="left" vertical="center"/>
    </xf>
    <xf numFmtId="0" fontId="35" fillId="0" borderId="94" xfId="0" applyFont="1" applyBorder="1" applyAlignment="1">
      <alignment horizontal="center" vertical="center"/>
    </xf>
    <xf numFmtId="0" fontId="35" fillId="0" borderId="94" xfId="0" applyFont="1" applyBorder="1" applyAlignment="1">
      <alignment horizontal="center" vertical="center"/>
    </xf>
    <xf numFmtId="177" fontId="36" fillId="0" borderId="94" xfId="0" applyNumberFormat="1" applyFont="1" applyBorder="1" applyAlignment="1">
      <alignment horizontal="center" vertical="center"/>
    </xf>
    <xf numFmtId="177" fontId="16" fillId="0" borderId="94" xfId="0" applyNumberFormat="1" applyFont="1" applyBorder="1" applyAlignment="1">
      <alignment horizontal="center" vertical="center"/>
    </xf>
    <xf numFmtId="178" fontId="36" fillId="0" borderId="94" xfId="0" applyNumberFormat="1" applyFont="1" applyBorder="1" applyAlignment="1">
      <alignment horizontal="center" vertical="center"/>
    </xf>
    <xf numFmtId="178" fontId="36" fillId="0" borderId="89" xfId="0" applyNumberFormat="1" applyFont="1" applyBorder="1" applyAlignment="1">
      <alignment horizontal="center" vertical="center"/>
    </xf>
    <xf numFmtId="0" fontId="36" fillId="0" borderId="95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0" fontId="35" fillId="0" borderId="94" xfId="0" quotePrefix="1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177" fontId="35" fillId="0" borderId="94" xfId="0" quotePrefix="1" applyNumberFormat="1" applyFont="1" applyBorder="1" applyAlignment="1">
      <alignment horizontal="center" vertical="center"/>
    </xf>
    <xf numFmtId="0" fontId="36" fillId="0" borderId="94" xfId="0" quotePrefix="1" applyFont="1" applyBorder="1" applyAlignment="1">
      <alignment horizontal="center" vertical="center"/>
    </xf>
    <xf numFmtId="0" fontId="35" fillId="0" borderId="96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77" fontId="36" fillId="0" borderId="100" xfId="0" applyNumberFormat="1" applyFont="1" applyBorder="1" applyAlignment="1">
      <alignment horizontal="center" vertical="center"/>
    </xf>
    <xf numFmtId="177" fontId="16" fillId="0" borderId="100" xfId="0" applyNumberFormat="1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5" fillId="0" borderId="102" xfId="0" applyFont="1" applyBorder="1" applyAlignment="1">
      <alignment horizontal="center" vertical="center"/>
    </xf>
    <xf numFmtId="0" fontId="35" fillId="0" borderId="103" xfId="0" applyFont="1" applyBorder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35" fillId="0" borderId="105" xfId="0" applyFont="1" applyBorder="1" applyAlignment="1">
      <alignment horizontal="center" vertical="center"/>
    </xf>
    <xf numFmtId="0" fontId="35" fillId="0" borderId="106" xfId="0" applyFont="1" applyBorder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08" xfId="0" applyFont="1" applyBorder="1" applyAlignment="1">
      <alignment horizontal="center" vertical="center"/>
    </xf>
    <xf numFmtId="0" fontId="35" fillId="0" borderId="109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</cellXfs>
  <cellStyles count="1">
    <cellStyle name="常规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91">
        <v>7.052951335906982</v>
      </c>
      <c r="D6" s="91">
        <v>19.34678840637207</v>
      </c>
      <c r="E6" s="91">
        <v>417.6680603027344</v>
      </c>
      <c r="F6" s="91"/>
      <c r="G6" s="91"/>
      <c r="H6" s="92">
        <v>414.2717590332031</v>
      </c>
      <c r="I6" s="93">
        <v>27.774160385131836</v>
      </c>
      <c r="J6" s="91"/>
      <c r="K6" s="91">
        <v>43.127891540527344</v>
      </c>
      <c r="L6" s="91">
        <v>1.3266782760620117</v>
      </c>
      <c r="M6" s="91">
        <v>108.74024200439453</v>
      </c>
      <c r="N6" s="91">
        <v>112.34085083007812</v>
      </c>
      <c r="O6" s="91">
        <v>20.104602813720703</v>
      </c>
      <c r="P6" s="91"/>
      <c r="Q6" s="91"/>
      <c r="R6" s="91"/>
      <c r="S6" s="91">
        <v>139.2144012451172</v>
      </c>
      <c r="T6" s="91">
        <v>1.6100000143051147</v>
      </c>
      <c r="U6" s="91">
        <v>0.29670602083206177</v>
      </c>
      <c r="V6" s="91"/>
      <c r="W6" s="91">
        <v>90.7045669555664</v>
      </c>
      <c r="X6" s="91">
        <v>0.5298470258712769</v>
      </c>
      <c r="Y6" s="91"/>
      <c r="Z6" s="91">
        <v>0.7393518686294556</v>
      </c>
      <c r="AA6" s="91">
        <v>149.7323455810547</v>
      </c>
      <c r="AB6" s="91">
        <v>163.0208282470703</v>
      </c>
      <c r="AC6" s="91">
        <v>0.5659360289573669</v>
      </c>
      <c r="AD6" s="91">
        <v>156.640625</v>
      </c>
      <c r="AE6" s="94"/>
      <c r="AF6" s="94"/>
      <c r="AG6" s="94"/>
      <c r="AH6" s="94"/>
      <c r="AI6" s="94"/>
      <c r="AJ6" s="94"/>
      <c r="AK6" s="94"/>
      <c r="AL6" s="91">
        <v>0</v>
      </c>
      <c r="AM6" s="95"/>
      <c r="AN6" s="96">
        <v>59.338829040527344</v>
      </c>
      <c r="AO6" s="97"/>
      <c r="AP6" s="98">
        <v>-79.99855041503906</v>
      </c>
      <c r="AQ6" s="98">
        <v>0.29246237874031067</v>
      </c>
      <c r="AR6" s="99"/>
    </row>
    <row r="7" spans="2:47" ht="13.5" customHeight="1" x14ac:dyDescent="0.25">
      <c r="B7" s="14">
        <v>0.375</v>
      </c>
      <c r="C7" s="91">
        <v>6.011284828186035</v>
      </c>
      <c r="D7" s="91">
        <v>20.50238800048828</v>
      </c>
      <c r="E7" s="91">
        <v>417.20263671875</v>
      </c>
      <c r="F7" s="91">
        <v>0.26417186856269836</v>
      </c>
      <c r="G7" s="91">
        <v>0</v>
      </c>
      <c r="H7" s="92">
        <v>414.6965637207031</v>
      </c>
      <c r="I7" s="93">
        <v>26.027198791503906</v>
      </c>
      <c r="J7" s="91">
        <v>0.01978759840130806</v>
      </c>
      <c r="K7" s="91">
        <v>43.46788024902344</v>
      </c>
      <c r="L7" s="91">
        <v>1.3542571067810059</v>
      </c>
      <c r="M7" s="91">
        <v>111.20877075195312</v>
      </c>
      <c r="N7" s="91">
        <v>111.87065887451172</v>
      </c>
      <c r="O7" s="91">
        <v>19.73222541809082</v>
      </c>
      <c r="P7" s="91">
        <v>20.15625</v>
      </c>
      <c r="Q7" s="91"/>
      <c r="R7" s="91">
        <v>2.501708984375</v>
      </c>
      <c r="S7" s="91">
        <v>139.3518524169922</v>
      </c>
      <c r="T7" s="91">
        <v>1.6100000143051147</v>
      </c>
      <c r="U7" s="91">
        <v>0.2941482663154602</v>
      </c>
      <c r="V7" s="91">
        <v>0.29972657561302185</v>
      </c>
      <c r="W7" s="91">
        <v>90.42245483398438</v>
      </c>
      <c r="X7" s="91">
        <v>0.5335350036621094</v>
      </c>
      <c r="Y7" s="91" t="s">
        <v>82</v>
      </c>
      <c r="Z7" s="91">
        <v>0.7526041865348816</v>
      </c>
      <c r="AA7" s="91">
        <v>150.04339599609375</v>
      </c>
      <c r="AB7" s="91">
        <v>163.4042205810547</v>
      </c>
      <c r="AC7" s="91">
        <v>0.6383101940155029</v>
      </c>
      <c r="AD7" s="91">
        <v>156.87933349609375</v>
      </c>
      <c r="AE7" s="94"/>
      <c r="AF7" s="94"/>
      <c r="AG7" s="94"/>
      <c r="AH7" s="94"/>
      <c r="AI7" s="94"/>
      <c r="AJ7" s="94"/>
      <c r="AK7" s="94"/>
      <c r="AL7" s="91">
        <v>19.245513916015625</v>
      </c>
      <c r="AM7" s="95">
        <v>0.024956542998552322</v>
      </c>
      <c r="AN7" s="96">
        <v>57.24826431274414</v>
      </c>
      <c r="AO7" s="97"/>
      <c r="AP7" s="98">
        <v>-79.99855041503906</v>
      </c>
      <c r="AQ7" s="98">
        <v>0.28833910822868347</v>
      </c>
      <c r="AR7" s="99">
        <v>0.0002873382472898811</v>
      </c>
    </row>
    <row r="8" spans="2:47" ht="13.5" customHeight="1" x14ac:dyDescent="0.25">
      <c r="B8" s="14">
        <v>0.41666666666666669</v>
      </c>
      <c r="C8" s="91">
        <v>7.4544267654418945</v>
      </c>
      <c r="D8" s="91">
        <v>22.21137237548828</v>
      </c>
      <c r="E8" s="91">
        <v>417.9408264160156</v>
      </c>
      <c r="F8" s="91">
        <v>0.33732813596725464</v>
      </c>
      <c r="G8" s="91">
        <v>0</v>
      </c>
      <c r="H8" s="92">
        <v>414.7144470214844</v>
      </c>
      <c r="I8" s="93">
        <v>21.824363708496094</v>
      </c>
      <c r="J8" s="91">
        <v>0.019821777939796448</v>
      </c>
      <c r="K8" s="91">
        <v>45.493343353271484</v>
      </c>
      <c r="L8" s="91">
        <v>1.4348235130310059</v>
      </c>
      <c r="M8" s="91">
        <v>110.26476287841797</v>
      </c>
      <c r="N8" s="91">
        <v>112.45659637451172</v>
      </c>
      <c r="O8" s="91">
        <v>19.855329513549805</v>
      </c>
      <c r="P8" s="91">
        <v>20.19384765625</v>
      </c>
      <c r="Q8" s="91"/>
      <c r="R8" s="91">
        <v>2.55419921875</v>
      </c>
      <c r="S8" s="91">
        <v>139.4820556640625</v>
      </c>
      <c r="T8" s="91">
        <v>1.6100000143051147</v>
      </c>
      <c r="U8" s="91">
        <v>0.2957592010498047</v>
      </c>
      <c r="V8" s="91">
        <v>0.3002265691757202</v>
      </c>
      <c r="W8" s="91">
        <v>90.29224395751953</v>
      </c>
      <c r="X8" s="91">
        <v>0.5320899486541748</v>
      </c>
      <c r="Y8" s="91" t="s">
        <v>82</v>
      </c>
      <c r="Z8" s="91">
        <v>0.7449074387550354</v>
      </c>
      <c r="AA8" s="91">
        <v>149.98553466796875</v>
      </c>
      <c r="AB8" s="91">
        <v>163.4114532470703</v>
      </c>
      <c r="AC8" s="91">
        <v>0.6935040354728699</v>
      </c>
      <c r="AD8" s="91">
        <v>156.88656616210938</v>
      </c>
      <c r="AE8" s="94"/>
      <c r="AF8" s="94"/>
      <c r="AG8" s="94"/>
      <c r="AH8" s="94"/>
      <c r="AI8" s="94"/>
      <c r="AJ8" s="94"/>
      <c r="AK8" s="94"/>
      <c r="AL8" s="91">
        <v>0</v>
      </c>
      <c r="AM8" s="95">
        <v>0.02559521421790123</v>
      </c>
      <c r="AN8" s="96">
        <v>55.342159271240234</v>
      </c>
      <c r="AO8" s="97"/>
      <c r="AP8" s="98">
        <v>-80.11429595947266</v>
      </c>
      <c r="AQ8" s="98">
        <v>0.2743055522441864</v>
      </c>
      <c r="AR8" s="99">
        <v>0.0002877578663174063</v>
      </c>
    </row>
    <row r="9" spans="2:47" ht="13.5" customHeight="1" x14ac:dyDescent="0.25">
      <c r="B9" s="14">
        <v>0.45833333333333298</v>
      </c>
      <c r="C9" s="91">
        <v>6.741898059844971</v>
      </c>
      <c r="D9" s="91">
        <v>23.63823890686035</v>
      </c>
      <c r="E9" s="91">
        <v>415.83306884765625</v>
      </c>
      <c r="F9" s="91">
        <v>0.2698046863079071</v>
      </c>
      <c r="G9" s="91">
        <v>0</v>
      </c>
      <c r="H9" s="92">
        <v>414.8883361816406</v>
      </c>
      <c r="I9" s="93">
        <v>21.596498489379883</v>
      </c>
      <c r="J9" s="91">
        <v>0.020165039226412773</v>
      </c>
      <c r="K9" s="91">
        <v>46.26736068725586</v>
      </c>
      <c r="L9" s="91">
        <v>1.4656575918197632</v>
      </c>
      <c r="M9" s="91">
        <v>108.57205200195312</v>
      </c>
      <c r="N9" s="91">
        <v>113.04253387451172</v>
      </c>
      <c r="O9" s="91">
        <v>20.26835823059082</v>
      </c>
      <c r="P9" s="91">
        <v>20.1513671875</v>
      </c>
      <c r="Q9" s="91"/>
      <c r="R9" s="91">
        <v>2.3673095703125</v>
      </c>
      <c r="S9" s="91">
        <v>139.25057983398438</v>
      </c>
      <c r="T9" s="91">
        <v>1.6100000143051147</v>
      </c>
      <c r="U9" s="91">
        <v>0.3008420169353485</v>
      </c>
      <c r="V9" s="91">
        <v>0.29960155487060547</v>
      </c>
      <c r="W9" s="91">
        <v>90.39351654052734</v>
      </c>
      <c r="X9" s="91">
        <v>0.5313126444816589</v>
      </c>
      <c r="Y9" s="91" t="s">
        <v>82</v>
      </c>
      <c r="Z9" s="91">
        <v>0.7409144043922424</v>
      </c>
      <c r="AA9" s="91">
        <v>149.40682983398438</v>
      </c>
      <c r="AB9" s="91">
        <v>163.15103149414062</v>
      </c>
      <c r="AC9" s="91">
        <v>0.7477936744689941</v>
      </c>
      <c r="AD9" s="91">
        <v>156.43807983398438</v>
      </c>
      <c r="AE9" s="94"/>
      <c r="AF9" s="94"/>
      <c r="AG9" s="94"/>
      <c r="AH9" s="94"/>
      <c r="AI9" s="94"/>
      <c r="AJ9" s="94"/>
      <c r="AK9" s="94"/>
      <c r="AL9" s="91">
        <v>66.63773345947266</v>
      </c>
      <c r="AM9" s="95">
        <v>0.025403320789337158</v>
      </c>
      <c r="AN9" s="96">
        <v>53.31307601928711</v>
      </c>
      <c r="AO9" s="97"/>
      <c r="AP9" s="98">
        <v>-80.14323425292969</v>
      </c>
      <c r="AQ9" s="98">
        <v>0.29094329476356506</v>
      </c>
      <c r="AR9" s="99">
        <v>0.00028713990468531847</v>
      </c>
    </row>
    <row r="10" spans="2:47" ht="13.5" customHeight="1" x14ac:dyDescent="0.25">
      <c r="B10" s="14">
        <v>0.5</v>
      </c>
      <c r="C10" s="91">
        <v>6.271701335906982</v>
      </c>
      <c r="D10" s="91">
        <v>24.03428840637207</v>
      </c>
      <c r="E10" s="91">
        <v>417.0403137207031</v>
      </c>
      <c r="F10" s="91">
        <v>0.25791406631469727</v>
      </c>
      <c r="G10" s="91">
        <v>0</v>
      </c>
      <c r="H10" s="92">
        <v>415.504638671875</v>
      </c>
      <c r="I10" s="93">
        <v>19.59635353088379</v>
      </c>
      <c r="J10" s="91">
        <v>0.020085448399186134</v>
      </c>
      <c r="K10" s="91">
        <v>46.89670181274414</v>
      </c>
      <c r="L10" s="91">
        <v>1.4932364225387573</v>
      </c>
      <c r="M10" s="91">
        <v>110.17253112792969</v>
      </c>
      <c r="N10" s="91">
        <v>110.48176574707031</v>
      </c>
      <c r="O10" s="91">
        <v>19.75895881652832</v>
      </c>
      <c r="P10" s="91">
        <v>20.181640625</v>
      </c>
      <c r="Q10" s="91"/>
      <c r="R10" s="91">
        <v>2.454833984375</v>
      </c>
      <c r="S10" s="91">
        <v>139.453125</v>
      </c>
      <c r="T10" s="91">
        <v>1.6100000143051147</v>
      </c>
      <c r="U10" s="91">
        <v>0.2942044734954834</v>
      </c>
      <c r="V10" s="91">
        <v>0.30006250739097595</v>
      </c>
      <c r="W10" s="91">
        <v>90.74797058105469</v>
      </c>
      <c r="X10" s="91">
        <v>0.5349122881889343</v>
      </c>
      <c r="Y10" s="91" t="s">
        <v>82</v>
      </c>
      <c r="Z10" s="91">
        <v>0.7414352297782898</v>
      </c>
      <c r="AA10" s="91">
        <v>150.72337341308594</v>
      </c>
      <c r="AB10" s="91">
        <v>163.22337341308594</v>
      </c>
      <c r="AC10" s="91">
        <v>0.7645037770271301</v>
      </c>
      <c r="AD10" s="91">
        <v>156.22830200195312</v>
      </c>
      <c r="AE10" s="94"/>
      <c r="AF10" s="94"/>
      <c r="AG10" s="94"/>
      <c r="AH10" s="94"/>
      <c r="AI10" s="94"/>
      <c r="AJ10" s="94"/>
      <c r="AK10" s="94"/>
      <c r="AL10" s="91">
        <v>0</v>
      </c>
      <c r="AM10" s="95">
        <v>0.02072998136281967</v>
      </c>
      <c r="AN10" s="96">
        <v>51.73249435424805</v>
      </c>
      <c r="AO10" s="97"/>
      <c r="AP10" s="98">
        <v>-80.20109558105469</v>
      </c>
      <c r="AQ10" s="98">
        <v>0.27965855598449707</v>
      </c>
      <c r="AR10" s="99">
        <v>0.0002877960214391351</v>
      </c>
    </row>
    <row r="11" spans="2:47" ht="13.5" customHeight="1" x14ac:dyDescent="0.25">
      <c r="B11" s="14">
        <v>0.54166666666666696</v>
      </c>
      <c r="C11" s="91">
        <v>7.656973361968994</v>
      </c>
      <c r="D11" s="91">
        <v>23.78472328186035</v>
      </c>
      <c r="E11" s="91">
        <v>415.0540771484375</v>
      </c>
      <c r="F11" s="91">
        <v>0.33882030844688416</v>
      </c>
      <c r="G11" s="91">
        <v>0</v>
      </c>
      <c r="H11" s="92">
        <v>415.93890380859375</v>
      </c>
      <c r="I11" s="93">
        <v>21.976272583007812</v>
      </c>
      <c r="J11" s="91">
        <v>0.020238282158970833</v>
      </c>
      <c r="K11" s="91">
        <v>45.81163024902344</v>
      </c>
      <c r="L11" s="91">
        <v>1.452817678451538</v>
      </c>
      <c r="M11" s="91">
        <v>107.05838012695312</v>
      </c>
      <c r="N11" s="91">
        <v>108.15972137451172</v>
      </c>
      <c r="O11" s="91">
        <v>19.856929779052734</v>
      </c>
      <c r="P11" s="91">
        <v>20.16748046875</v>
      </c>
      <c r="Q11" s="91"/>
      <c r="R11" s="91">
        <v>2.3802490234375</v>
      </c>
      <c r="S11" s="91">
        <v>139.75694274902344</v>
      </c>
      <c r="T11" s="91">
        <v>1.6100000143051147</v>
      </c>
      <c r="U11" s="91">
        <v>0.2947603166103363</v>
      </c>
      <c r="V11" s="91">
        <v>0.299929678440094</v>
      </c>
      <c r="W11" s="91">
        <v>90.7045669555664</v>
      </c>
      <c r="X11" s="91">
        <v>0.5283134579658508</v>
      </c>
      <c r="Y11" s="91" t="s">
        <v>82</v>
      </c>
      <c r="Z11" s="91">
        <v>0.7224537134170532</v>
      </c>
      <c r="AA11" s="91">
        <v>150.47743225097656</v>
      </c>
      <c r="AB11" s="91">
        <v>163.0570068359375</v>
      </c>
      <c r="AC11" s="91">
        <v>0.6192129850387573</v>
      </c>
      <c r="AD11" s="91">
        <v>156.2210693359375</v>
      </c>
      <c r="AE11" s="94">
        <v>33.310001373291016</v>
      </c>
      <c r="AF11" s="94"/>
      <c r="AG11" s="94"/>
      <c r="AH11" s="94">
        <v>13.260000228881836</v>
      </c>
      <c r="AI11" s="94">
        <v>14.329999923706055</v>
      </c>
      <c r="AJ11" s="94">
        <v>7.519999980926514</v>
      </c>
      <c r="AK11" s="94">
        <v>6.679999828338623</v>
      </c>
      <c r="AL11" s="91">
        <v>0</v>
      </c>
      <c r="AM11" s="95">
        <v>0.016423828899860382</v>
      </c>
      <c r="AN11" s="96">
        <v>49.17896270751953</v>
      </c>
      <c r="AO11" s="97"/>
      <c r="AP11" s="98">
        <v>-80.36024475097656</v>
      </c>
      <c r="AQ11" s="98">
        <v>0.28899016976356506</v>
      </c>
      <c r="AR11" s="99">
        <v>0.00029045104747638106</v>
      </c>
    </row>
    <row r="12" spans="2:47" ht="13.5" customHeight="1" x14ac:dyDescent="0.25">
      <c r="B12" s="14">
        <v>0.58333333333333304</v>
      </c>
      <c r="C12" s="91">
        <v>6.62977409362793</v>
      </c>
      <c r="D12" s="91">
        <v>23.61653709411621</v>
      </c>
      <c r="E12" s="91">
        <v>414.9313659667969</v>
      </c>
      <c r="F12" s="91">
        <v>0.2714296877384186</v>
      </c>
      <c r="G12" s="91">
        <v>0</v>
      </c>
      <c r="H12" s="92">
        <v>416.14105224609375</v>
      </c>
      <c r="I12" s="93">
        <v>22.001590728759766</v>
      </c>
      <c r="J12" s="91">
        <v>0.020205078646540642</v>
      </c>
      <c r="K12" s="91">
        <v>46.54224395751953</v>
      </c>
      <c r="L12" s="91">
        <v>1.460141897201538</v>
      </c>
      <c r="M12" s="91">
        <v>106.30426025390625</v>
      </c>
      <c r="N12" s="91">
        <v>107.5665512084961</v>
      </c>
      <c r="O12" s="91">
        <v>19.84092903137207</v>
      </c>
      <c r="P12" s="91">
        <v>20.19091796875</v>
      </c>
      <c r="Q12" s="91"/>
      <c r="R12" s="91">
        <v>2.472412109375</v>
      </c>
      <c r="S12" s="91">
        <v>139.43865966796875</v>
      </c>
      <c r="T12" s="91">
        <v>1.6100000143051147</v>
      </c>
      <c r="U12" s="91">
        <v>0.29242539405822754</v>
      </c>
      <c r="V12" s="91">
        <v>0.3002109229564667</v>
      </c>
      <c r="W12" s="91">
        <v>89.5978012084961</v>
      </c>
      <c r="X12" s="91">
        <v>0.5310764312744141</v>
      </c>
      <c r="Y12" s="91" t="s">
        <v>82</v>
      </c>
      <c r="Z12" s="91">
        <v>0.7168982028961182</v>
      </c>
      <c r="AA12" s="91">
        <v>149.43576049804688</v>
      </c>
      <c r="AB12" s="91">
        <v>163.10763549804688</v>
      </c>
      <c r="AC12" s="91">
        <v>0.5241247415542603</v>
      </c>
      <c r="AD12" s="91">
        <v>156.2789306640625</v>
      </c>
      <c r="AE12" s="94"/>
      <c r="AF12" s="94"/>
      <c r="AG12" s="94"/>
      <c r="AH12" s="94"/>
      <c r="AI12" s="94"/>
      <c r="AJ12" s="94"/>
      <c r="AK12" s="94"/>
      <c r="AL12" s="91">
        <v>57.69314193725586</v>
      </c>
      <c r="AM12" s="95">
        <v>0.018497558310627937</v>
      </c>
      <c r="AN12" s="96">
        <v>47.86964797973633</v>
      </c>
      <c r="AO12" s="97"/>
      <c r="AP12" s="98">
        <v>-79.75260925292969</v>
      </c>
      <c r="AQ12" s="98">
        <v>0.3092447817325592</v>
      </c>
      <c r="AR12" s="99">
        <v>0.0002920379629358649</v>
      </c>
    </row>
    <row r="13" spans="2:47" ht="13.5" customHeight="1" x14ac:dyDescent="0.25">
      <c r="B13" s="14">
        <v>0.625</v>
      </c>
      <c r="C13" s="91">
        <v>7.107204914093018</v>
      </c>
      <c r="D13" s="91">
        <v>23.404949188232422</v>
      </c>
      <c r="E13" s="91">
        <v>414.72430419921875</v>
      </c>
      <c r="F13" s="91">
        <v>0.3104531168937683</v>
      </c>
      <c r="G13" s="91">
        <v>0</v>
      </c>
      <c r="H13" s="92">
        <v>415.9385681152344</v>
      </c>
      <c r="I13" s="93">
        <v>19.014034271240234</v>
      </c>
      <c r="J13" s="91">
        <v>0.019770018756389618</v>
      </c>
      <c r="K13" s="91">
        <v>45.01591491699219</v>
      </c>
      <c r="L13" s="91">
        <v>1.4293981790542603</v>
      </c>
      <c r="M13" s="91">
        <v>108.84332275390625</v>
      </c>
      <c r="N13" s="91">
        <v>109.51244354248047</v>
      </c>
      <c r="O13" s="91">
        <v>19.920995712280273</v>
      </c>
      <c r="P13" s="91">
        <v>20.15283203125</v>
      </c>
      <c r="Q13" s="91"/>
      <c r="R13" s="91">
        <v>2.3675537109375</v>
      </c>
      <c r="S13" s="91">
        <v>139.66290283203125</v>
      </c>
      <c r="T13" s="91">
        <v>1.6100000143051147</v>
      </c>
      <c r="U13" s="91">
        <v>0.29228219389915466</v>
      </c>
      <c r="V13" s="91">
        <v>0.2996875047683716</v>
      </c>
      <c r="W13" s="91">
        <v>90.61053466796875</v>
      </c>
      <c r="X13" s="91">
        <v>0.5310843586921692</v>
      </c>
      <c r="Y13" s="91" t="s">
        <v>82</v>
      </c>
      <c r="Z13" s="91">
        <v>0.7413773536682129</v>
      </c>
      <c r="AA13" s="91">
        <v>150.67274475097656</v>
      </c>
      <c r="AB13" s="91">
        <v>163.23060607910156</v>
      </c>
      <c r="AC13" s="91">
        <v>0.7025824785232544</v>
      </c>
      <c r="AD13" s="91">
        <v>156.16319274902344</v>
      </c>
      <c r="AE13" s="94"/>
      <c r="AF13" s="94"/>
      <c r="AG13" s="94"/>
      <c r="AH13" s="94"/>
      <c r="AI13" s="94"/>
      <c r="AJ13" s="94"/>
      <c r="AK13" s="94"/>
      <c r="AL13" s="91">
        <v>106.32233428955078</v>
      </c>
      <c r="AM13" s="95">
        <v>0.014783202670514584</v>
      </c>
      <c r="AN13" s="96">
        <v>45.56206512451172</v>
      </c>
      <c r="AO13" s="97"/>
      <c r="AP13" s="98">
        <v>-79.59346008300781</v>
      </c>
      <c r="AQ13" s="98">
        <v>0.28848379850387573</v>
      </c>
      <c r="AR13" s="99">
        <v>0.00029280854505486786</v>
      </c>
    </row>
    <row r="14" spans="2:47" ht="13.5" customHeight="1" x14ac:dyDescent="0.25">
      <c r="B14" s="14">
        <v>0.66666666666666696</v>
      </c>
      <c r="C14" s="91">
        <v>7.042100429534912</v>
      </c>
      <c r="D14" s="91">
        <v>23.30186653137207</v>
      </c>
      <c r="E14" s="91">
        <v>413.9512634277344</v>
      </c>
      <c r="F14" s="91">
        <v>0.300968736410141</v>
      </c>
      <c r="G14" s="91">
        <v>0</v>
      </c>
      <c r="H14" s="92">
        <v>415.2493591308594</v>
      </c>
      <c r="I14" s="93">
        <v>20.786314010620117</v>
      </c>
      <c r="J14" s="91">
        <v>0.01987939514219761</v>
      </c>
      <c r="K14" s="91">
        <v>45.862266540527344</v>
      </c>
      <c r="L14" s="91">
        <v>1.454806923866272</v>
      </c>
      <c r="M14" s="91">
        <v>110.9592056274414</v>
      </c>
      <c r="N14" s="91">
        <v>109.04947662353516</v>
      </c>
      <c r="O14" s="91">
        <v>20.063949584960938</v>
      </c>
      <c r="P14" s="91">
        <v>20.17431640625</v>
      </c>
      <c r="Q14" s="91"/>
      <c r="R14" s="91">
        <v>2.4146728515625</v>
      </c>
      <c r="S14" s="91">
        <v>139.4169464111328</v>
      </c>
      <c r="T14" s="91">
        <v>1.6100000143051147</v>
      </c>
      <c r="U14" s="91">
        <v>0.29705873131752014</v>
      </c>
      <c r="V14" s="91">
        <v>0.2999531328678131</v>
      </c>
      <c r="W14" s="91">
        <v>90.27777862548828</v>
      </c>
      <c r="X14" s="91">
        <v>0.5331962704658508</v>
      </c>
      <c r="Y14" s="91" t="s">
        <v>82</v>
      </c>
      <c r="Z14" s="91">
        <v>0.7334491014480591</v>
      </c>
      <c r="AA14" s="91">
        <v>149.5442657470703</v>
      </c>
      <c r="AB14" s="91">
        <v>162.8544464111328</v>
      </c>
      <c r="AC14" s="91">
        <v>0.6716217994689941</v>
      </c>
      <c r="AD14" s="91">
        <v>156.11978149414062</v>
      </c>
      <c r="AE14" s="94"/>
      <c r="AF14" s="94"/>
      <c r="AG14" s="94"/>
      <c r="AH14" s="94"/>
      <c r="AI14" s="94"/>
      <c r="AJ14" s="94"/>
      <c r="AK14" s="94"/>
      <c r="AL14" s="91">
        <v>38.635704040527344</v>
      </c>
      <c r="AM14" s="95">
        <v>0.023307617753744125</v>
      </c>
      <c r="AN14" s="96">
        <v>59.870513916015625</v>
      </c>
      <c r="AO14" s="97"/>
      <c r="AP14" s="98">
        <v>-80.70023345947266</v>
      </c>
      <c r="AQ14" s="98">
        <v>0.3031684160232544</v>
      </c>
      <c r="AR14" s="99">
        <v>0.0002927856403402984</v>
      </c>
    </row>
    <row r="15" spans="2:47" ht="13.5" customHeight="1" x14ac:dyDescent="0.25">
      <c r="B15" s="14">
        <v>0.70833333333333304</v>
      </c>
      <c r="C15" s="91">
        <v>6.268084526062012</v>
      </c>
      <c r="D15" s="91">
        <v>22.878690719604492</v>
      </c>
      <c r="E15" s="91">
        <v>413.8408203125</v>
      </c>
      <c r="F15" s="91">
        <v>0.27815625071525574</v>
      </c>
      <c r="G15" s="91">
        <v>0</v>
      </c>
      <c r="H15" s="92">
        <v>415.17279052734375</v>
      </c>
      <c r="I15" s="93">
        <v>21.900318145751953</v>
      </c>
      <c r="J15" s="91">
        <v>0.02001318335533142</v>
      </c>
      <c r="K15" s="91">
        <v>46.252891540527344</v>
      </c>
      <c r="L15" s="91">
        <v>1.4632161855697632</v>
      </c>
      <c r="M15" s="91">
        <v>110.25391387939453</v>
      </c>
      <c r="N15" s="91">
        <v>109.29542541503906</v>
      </c>
      <c r="O15" s="91">
        <v>20.352432250976562</v>
      </c>
      <c r="P15" s="91">
        <v>20.17138671875</v>
      </c>
      <c r="Q15" s="91"/>
      <c r="R15" s="91">
        <v>2.47802734375</v>
      </c>
      <c r="S15" s="91">
        <v>139.40248107910156</v>
      </c>
      <c r="T15" s="91">
        <v>1.6100000143051147</v>
      </c>
      <c r="U15" s="91">
        <v>0.2998106777667999</v>
      </c>
      <c r="V15" s="91">
        <v>0.29994532465934753</v>
      </c>
      <c r="W15" s="91">
        <v>90.46585845947266</v>
      </c>
      <c r="X15" s="91">
        <v>0.5288310647010803</v>
      </c>
      <c r="Y15" s="91" t="s">
        <v>82</v>
      </c>
      <c r="Z15" s="91">
        <v>0.7388889193534851</v>
      </c>
      <c r="AA15" s="91">
        <v>150.2604217529297</v>
      </c>
      <c r="AB15" s="91">
        <v>163.28125</v>
      </c>
      <c r="AC15" s="91">
        <v>0.7986834645271301</v>
      </c>
      <c r="AD15" s="91">
        <v>156.48147583007812</v>
      </c>
      <c r="AE15" s="94"/>
      <c r="AF15" s="94"/>
      <c r="AG15" s="94"/>
      <c r="AH15" s="94"/>
      <c r="AI15" s="94"/>
      <c r="AJ15" s="94"/>
      <c r="AK15" s="94"/>
      <c r="AL15" s="91">
        <v>21.231191635131836</v>
      </c>
      <c r="AM15" s="95">
        <v>0.023594725877046585</v>
      </c>
      <c r="AN15" s="96">
        <v>57.761863708496094</v>
      </c>
      <c r="AO15" s="97"/>
      <c r="AP15" s="98">
        <v>-80.25897216796875</v>
      </c>
      <c r="AQ15" s="98">
        <v>0.29745370149612427</v>
      </c>
      <c r="AR15" s="99">
        <v>0.00029167174943722785</v>
      </c>
    </row>
    <row r="16" spans="2:47" ht="13.5" customHeight="1" x14ac:dyDescent="0.25">
      <c r="B16" s="14">
        <v>0.75</v>
      </c>
      <c r="C16" s="91">
        <v>7.103587627410889</v>
      </c>
      <c r="D16" s="91">
        <v>23.22591209411621</v>
      </c>
      <c r="E16" s="91">
        <v>418.1022033691406</v>
      </c>
      <c r="F16" s="91">
        <v>0.3383828103542328</v>
      </c>
      <c r="G16" s="91">
        <v>0</v>
      </c>
      <c r="H16" s="92">
        <v>415.3190612792969</v>
      </c>
      <c r="I16" s="93">
        <v>17.292390823364258</v>
      </c>
      <c r="J16" s="91">
        <v>0.020008789375424385</v>
      </c>
      <c r="K16" s="91">
        <v>45.79716491699219</v>
      </c>
      <c r="L16" s="91">
        <v>1.4393446445465088</v>
      </c>
      <c r="M16" s="91">
        <v>110.46007537841797</v>
      </c>
      <c r="N16" s="91">
        <v>109.95370483398438</v>
      </c>
      <c r="O16" s="91">
        <v>20.506980895996094</v>
      </c>
      <c r="P16" s="91">
        <v>20.162109375</v>
      </c>
      <c r="Q16" s="91"/>
      <c r="R16" s="91">
        <v>2.4232177734375</v>
      </c>
      <c r="S16" s="91">
        <v>139.50375366210938</v>
      </c>
      <c r="T16" s="91">
        <v>1.6100000143051147</v>
      </c>
      <c r="U16" s="91">
        <v>0.30399784445762634</v>
      </c>
      <c r="V16" s="91">
        <v>0.29982811212539673</v>
      </c>
      <c r="W16" s="91">
        <v>90.79137420654297</v>
      </c>
      <c r="X16" s="91">
        <v>0.5288926362991333</v>
      </c>
      <c r="Y16" s="91" t="s">
        <v>82</v>
      </c>
      <c r="Z16" s="91">
        <v>0.7468171715736389</v>
      </c>
      <c r="AA16" s="91">
        <v>149.7034149169922</v>
      </c>
      <c r="AB16" s="91">
        <v>163.4331512451172</v>
      </c>
      <c r="AC16" s="91">
        <v>0.5945095419883728</v>
      </c>
      <c r="AD16" s="91">
        <v>156.5682830810547</v>
      </c>
      <c r="AE16" s="94"/>
      <c r="AF16" s="94"/>
      <c r="AG16" s="94"/>
      <c r="AH16" s="94"/>
      <c r="AI16" s="94"/>
      <c r="AJ16" s="94"/>
      <c r="AK16" s="94"/>
      <c r="AL16" s="91">
        <v>0</v>
      </c>
      <c r="AM16" s="95">
        <v>0.024286620318889618</v>
      </c>
      <c r="AN16" s="96">
        <v>56.08000564575195</v>
      </c>
      <c r="AO16" s="97"/>
      <c r="AP16" s="98">
        <v>-80.10706329345703</v>
      </c>
      <c r="AQ16" s="98">
        <v>0.2845052182674408</v>
      </c>
      <c r="AR16" s="99">
        <v>0.000291099539026618</v>
      </c>
    </row>
    <row r="17" spans="2:44" ht="13.5" customHeight="1" x14ac:dyDescent="0.25">
      <c r="B17" s="14">
        <v>0.79166666666666696</v>
      </c>
      <c r="C17" s="91">
        <v>6.210214138031006</v>
      </c>
      <c r="D17" s="91">
        <v>22.683378219604492</v>
      </c>
      <c r="E17" s="91">
        <v>418.6730041503906</v>
      </c>
      <c r="F17" s="91">
        <v>0.278132826089859</v>
      </c>
      <c r="G17" s="91">
        <v>0</v>
      </c>
      <c r="H17" s="92">
        <v>416.6100158691406</v>
      </c>
      <c r="I17" s="93">
        <v>16.55816078186035</v>
      </c>
      <c r="J17" s="91">
        <v>0.02018115296959877</v>
      </c>
      <c r="K17" s="91">
        <v>45.710357666015625</v>
      </c>
      <c r="L17" s="91">
        <v>1.4397063255310059</v>
      </c>
      <c r="M17" s="91">
        <v>110.18338012695312</v>
      </c>
      <c r="N17" s="91">
        <v>112.05150604248047</v>
      </c>
      <c r="O17" s="91">
        <v>21.33304786682129</v>
      </c>
      <c r="P17" s="91">
        <v>20.169921875</v>
      </c>
      <c r="Q17" s="91"/>
      <c r="R17" s="91">
        <v>2.46826171875</v>
      </c>
      <c r="S17" s="91">
        <v>139.2288818359375</v>
      </c>
      <c r="T17" s="91">
        <v>1.6100000143051147</v>
      </c>
      <c r="U17" s="91">
        <v>0.31768906116485596</v>
      </c>
      <c r="V17" s="91">
        <v>0.29990625381469727</v>
      </c>
      <c r="W17" s="91">
        <v>90.66840362548828</v>
      </c>
      <c r="X17" s="91">
        <v>0.5255458354949951</v>
      </c>
      <c r="Y17" s="91" t="s">
        <v>82</v>
      </c>
      <c r="Z17" s="91">
        <v>0.7475695013999939</v>
      </c>
      <c r="AA17" s="91">
        <v>149.471923828125</v>
      </c>
      <c r="AB17" s="91">
        <v>163.56336975097656</v>
      </c>
      <c r="AC17" s="91">
        <v>0.7409577369689941</v>
      </c>
      <c r="AD17" s="91">
        <v>156.26446533203125</v>
      </c>
      <c r="AE17" s="94"/>
      <c r="AF17" s="94"/>
      <c r="AG17" s="94"/>
      <c r="AH17" s="94"/>
      <c r="AI17" s="94"/>
      <c r="AJ17" s="94"/>
      <c r="AK17" s="94"/>
      <c r="AL17" s="91">
        <v>0</v>
      </c>
      <c r="AM17" s="95">
        <v>0.022285155951976776</v>
      </c>
      <c r="AN17" s="96">
        <v>54.37282943725586</v>
      </c>
      <c r="AO17" s="97"/>
      <c r="AP17" s="98">
        <v>-79.86111450195312</v>
      </c>
      <c r="AQ17" s="98">
        <v>0.29021990299224854</v>
      </c>
      <c r="AR17" s="99">
        <v>0.0002914047217927873</v>
      </c>
    </row>
    <row r="18" spans="2:44" ht="13.5" customHeight="1" x14ac:dyDescent="0.25">
      <c r="B18" s="42">
        <v>0.83333333333333404</v>
      </c>
      <c r="C18" s="100">
        <v>6.875723361968994</v>
      </c>
      <c r="D18" s="100">
        <v>22.14084243774414</v>
      </c>
      <c r="E18" s="100">
        <v>417.5396423339844</v>
      </c>
      <c r="F18" s="100">
        <v>0.3346796929836273</v>
      </c>
      <c r="G18" s="100">
        <v>0</v>
      </c>
      <c r="H18" s="101">
        <v>417.4065856933594</v>
      </c>
      <c r="I18" s="102">
        <v>22.583911895751953</v>
      </c>
      <c r="J18" s="100">
        <v>0.019963378086686134</v>
      </c>
      <c r="K18" s="100">
        <v>44.755496978759766</v>
      </c>
      <c r="L18" s="100">
        <v>1.401548147201538</v>
      </c>
      <c r="M18" s="100">
        <v>111.6916275024414</v>
      </c>
      <c r="N18" s="100">
        <v>112.41319274902344</v>
      </c>
      <c r="O18" s="100">
        <v>20.361408233642578</v>
      </c>
      <c r="P18" s="100">
        <v>20.17578125</v>
      </c>
      <c r="Q18" s="100"/>
      <c r="R18" s="100">
        <v>2.48095703125</v>
      </c>
      <c r="S18" s="100">
        <v>139.64120483398438</v>
      </c>
      <c r="T18" s="100">
        <v>1.6100000143051147</v>
      </c>
      <c r="U18" s="100">
        <v>0.3023143708705902</v>
      </c>
      <c r="V18" s="100">
        <v>0.2999843657016754</v>
      </c>
      <c r="W18" s="100">
        <v>90.61776733398438</v>
      </c>
      <c r="X18" s="100">
        <v>0.5303882360458374</v>
      </c>
      <c r="Y18" s="100">
        <v>0.5302318930625916</v>
      </c>
      <c r="Z18" s="100">
        <v>0.7150463461875916</v>
      </c>
      <c r="AA18" s="100">
        <v>149.97830200195312</v>
      </c>
      <c r="AB18" s="100">
        <v>163.58506774902344</v>
      </c>
      <c r="AC18" s="100">
        <v>0.32754629850387573</v>
      </c>
      <c r="AD18" s="100">
        <v>155.5627899169922</v>
      </c>
      <c r="AE18" s="103">
        <v>33.95000076293945</v>
      </c>
      <c r="AF18" s="103"/>
      <c r="AG18" s="103"/>
      <c r="AH18" s="103">
        <v>17.3700008392334</v>
      </c>
      <c r="AI18" s="103"/>
      <c r="AJ18" s="103"/>
      <c r="AK18" s="103">
        <v>6.730000019073486</v>
      </c>
      <c r="AL18" s="100">
        <v>18.702980041503906</v>
      </c>
      <c r="AM18" s="104">
        <v>0.021742675453424454</v>
      </c>
      <c r="AN18" s="105">
        <v>52.91160202026367</v>
      </c>
      <c r="AO18" s="97"/>
      <c r="AP18" s="98">
        <v>-80.36024475097656</v>
      </c>
      <c r="AQ18" s="98">
        <v>0.2914496660232544</v>
      </c>
      <c r="AR18" s="106">
        <v>0.00029142762650735676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91">
        <v>-79.99855041503906</v>
      </c>
      <c r="D22" s="91">
        <v>-80.73640441894531</v>
      </c>
      <c r="E22" s="91">
        <v>103.125</v>
      </c>
      <c r="F22" s="91">
        <v>0.08600983768701553</v>
      </c>
      <c r="G22" s="91"/>
      <c r="H22" s="91"/>
      <c r="I22" s="91"/>
      <c r="J22" s="91"/>
      <c r="K22" s="91"/>
      <c r="L22" s="92"/>
      <c r="M22" s="107">
        <v>78.80136108398438</v>
      </c>
      <c r="N22" s="91">
        <v>47.09201431274414</v>
      </c>
      <c r="O22" s="91">
        <v>39.5</v>
      </c>
      <c r="P22" s="91">
        <v>22</v>
      </c>
      <c r="Q22" s="91">
        <v>3.0677082538604736</v>
      </c>
      <c r="R22" s="91">
        <v>19.288917541503906</v>
      </c>
      <c r="S22" s="108">
        <v>92.23090362548828</v>
      </c>
      <c r="T22" s="108">
        <v>0</v>
      </c>
      <c r="U22" s="108">
        <v>0</v>
      </c>
      <c r="V22" s="108">
        <v>34.85785675048828</v>
      </c>
      <c r="W22" s="108">
        <v>118.44075775146484</v>
      </c>
      <c r="X22" s="108">
        <v>29</v>
      </c>
      <c r="Y22" s="108">
        <v>77.70182037353516</v>
      </c>
      <c r="Z22" s="108">
        <v>13.6085786819458</v>
      </c>
      <c r="AA22" s="108">
        <v>18.37022590637207</v>
      </c>
      <c r="AB22" s="108"/>
      <c r="AC22" s="95"/>
      <c r="AD22" s="95">
        <v>0</v>
      </c>
      <c r="AE22" s="95"/>
      <c r="AF22" s="95">
        <v>23.875144958496094</v>
      </c>
      <c r="AG22" s="95">
        <v>27.864582061767578</v>
      </c>
      <c r="AH22" s="95"/>
      <c r="AI22" s="109"/>
      <c r="AJ22" s="109"/>
      <c r="AK22" s="109"/>
      <c r="AL22" s="109"/>
      <c r="AM22" s="109"/>
      <c r="AN22" s="95">
        <v>43.04832077026367</v>
      </c>
      <c r="AO22" s="96">
        <v>50</v>
      </c>
      <c r="AP22" s="97">
        <v>23.048683166503906</v>
      </c>
      <c r="AQ22" s="98">
        <v>39.86545181274414</v>
      </c>
      <c r="AR22" s="99">
        <v>0.0868072509765625</v>
      </c>
    </row>
    <row r="23" spans="2:44" ht="13.5" customHeight="1" x14ac:dyDescent="0.25">
      <c r="B23" s="14">
        <v>0.375</v>
      </c>
      <c r="C23" s="91">
        <v>-79.99855041503906</v>
      </c>
      <c r="D23" s="91">
        <v>-80.83767700195312</v>
      </c>
      <c r="E23" s="91">
        <v>103.12861633300781</v>
      </c>
      <c r="F23" s="91">
        <v>0.10814525187015533</v>
      </c>
      <c r="G23" s="91">
        <v>8.774184971116483E-05</v>
      </c>
      <c r="H23" s="91"/>
      <c r="I23" s="91"/>
      <c r="J23" s="91"/>
      <c r="K23" s="91"/>
      <c r="L23" s="92"/>
      <c r="M23" s="107">
        <v>77.61139678955078</v>
      </c>
      <c r="N23" s="91">
        <v>47.51519012451172</v>
      </c>
      <c r="O23" s="91">
        <v>39.5</v>
      </c>
      <c r="P23" s="91">
        <v>22</v>
      </c>
      <c r="Q23" s="91">
        <v>3.124131917953491</v>
      </c>
      <c r="R23" s="91">
        <v>20.023147583007812</v>
      </c>
      <c r="S23" s="108">
        <v>96.5603256225586</v>
      </c>
      <c r="T23" s="108">
        <v>38</v>
      </c>
      <c r="U23" s="108">
        <v>77.87561798095703</v>
      </c>
      <c r="V23" s="108">
        <v>17.420791625976562</v>
      </c>
      <c r="W23" s="108">
        <v>21.424697875976562</v>
      </c>
      <c r="X23" s="108">
        <v>0</v>
      </c>
      <c r="Y23" s="108">
        <v>11.660880088806152</v>
      </c>
      <c r="Z23" s="108">
        <v>13.599536895751953</v>
      </c>
      <c r="AA23" s="108">
        <v>93.10438537597656</v>
      </c>
      <c r="AB23" s="108"/>
      <c r="AC23" s="95"/>
      <c r="AD23" s="95">
        <v>1.5482856035232544</v>
      </c>
      <c r="AE23" s="95">
        <v>0.0011782837100327015</v>
      </c>
      <c r="AF23" s="95">
        <v>23.857059478759766</v>
      </c>
      <c r="AG23" s="95">
        <v>36.5632209777832</v>
      </c>
      <c r="AH23" s="95"/>
      <c r="AI23" s="109"/>
      <c r="AJ23" s="109"/>
      <c r="AK23" s="109"/>
      <c r="AL23" s="109"/>
      <c r="AM23" s="109"/>
      <c r="AN23" s="95">
        <v>46.455440521240234</v>
      </c>
      <c r="AO23" s="96">
        <v>50</v>
      </c>
      <c r="AP23" s="97">
        <v>23.62738800048828</v>
      </c>
      <c r="AQ23" s="98">
        <v>39.775028228759766</v>
      </c>
      <c r="AR23" s="99">
        <v>0.075958251953125</v>
      </c>
    </row>
    <row r="24" spans="2:44" ht="13.5" customHeight="1" x14ac:dyDescent="0.25">
      <c r="B24" s="14">
        <v>0.41666666666666702</v>
      </c>
      <c r="C24" s="91">
        <v>-80.11429595947266</v>
      </c>
      <c r="D24" s="91">
        <v>-81.11978912353516</v>
      </c>
      <c r="E24" s="91">
        <v>103.12861633300781</v>
      </c>
      <c r="F24" s="91">
        <v>0.08846932649612427</v>
      </c>
      <c r="G24" s="91">
        <v>8.979797712527215E-05</v>
      </c>
      <c r="H24" s="91"/>
      <c r="I24" s="91"/>
      <c r="J24" s="91"/>
      <c r="K24" s="91"/>
      <c r="L24" s="92"/>
      <c r="M24" s="107">
        <v>77.82479858398438</v>
      </c>
      <c r="N24" s="91">
        <v>47.84794616699219</v>
      </c>
      <c r="O24" s="91">
        <v>39.5</v>
      </c>
      <c r="P24" s="91">
        <v>22</v>
      </c>
      <c r="Q24" s="91">
        <v>3.1809895038604736</v>
      </c>
      <c r="R24" s="91">
        <v>21.252893447875977</v>
      </c>
      <c r="S24" s="108">
        <v>95.81163024902344</v>
      </c>
      <c r="T24" s="108">
        <v>38</v>
      </c>
      <c r="U24" s="108">
        <v>76.95059204101562</v>
      </c>
      <c r="V24" s="108">
        <v>17.518447875976562</v>
      </c>
      <c r="W24" s="108">
        <v>21.15342903137207</v>
      </c>
      <c r="X24" s="108">
        <v>0</v>
      </c>
      <c r="Y24" s="108">
        <v>0</v>
      </c>
      <c r="Z24" s="108">
        <v>19.294342041015625</v>
      </c>
      <c r="AA24" s="108">
        <v>79.63324737548828</v>
      </c>
      <c r="AB24" s="108"/>
      <c r="AC24" s="95"/>
      <c r="AD24" s="95">
        <v>1.5482856035232544</v>
      </c>
      <c r="AE24" s="95">
        <v>0.0015334472991526127</v>
      </c>
      <c r="AF24" s="95">
        <v>23.45920181274414</v>
      </c>
      <c r="AG24" s="95">
        <v>21.45182228088379</v>
      </c>
      <c r="AH24" s="95"/>
      <c r="AI24" s="109"/>
      <c r="AJ24" s="109"/>
      <c r="AK24" s="109"/>
      <c r="AL24" s="109"/>
      <c r="AM24" s="109"/>
      <c r="AN24" s="95">
        <v>51.68547439575195</v>
      </c>
      <c r="AO24" s="96">
        <v>50</v>
      </c>
      <c r="AP24" s="97">
        <v>23.907695770263672</v>
      </c>
      <c r="AQ24" s="98">
        <v>39.98480987548828</v>
      </c>
      <c r="AR24" s="99">
        <v>0.0868072509765625</v>
      </c>
    </row>
    <row r="25" spans="2:44" ht="13.5" customHeight="1" x14ac:dyDescent="0.25">
      <c r="B25" s="14">
        <v>0.45833333333333298</v>
      </c>
      <c r="C25" s="91">
        <v>-80.14323425292969</v>
      </c>
      <c r="D25" s="91">
        <v>-80.96788024902344</v>
      </c>
      <c r="E25" s="91">
        <v>103.13584899902344</v>
      </c>
      <c r="F25" s="91">
        <v>0.08449073880910873</v>
      </c>
      <c r="G25" s="91">
        <v>8.553695806767792E-05</v>
      </c>
      <c r="H25" s="91"/>
      <c r="I25" s="91"/>
      <c r="J25" s="91"/>
      <c r="K25" s="91"/>
      <c r="L25" s="92"/>
      <c r="M25" s="107">
        <v>77.55352783203125</v>
      </c>
      <c r="N25" s="91">
        <v>47.312644958496094</v>
      </c>
      <c r="O25" s="91">
        <v>39.5</v>
      </c>
      <c r="P25" s="91">
        <v>22</v>
      </c>
      <c r="Q25" s="91">
        <v>3.2209200859069824</v>
      </c>
      <c r="R25" s="91">
        <v>21.607349395751953</v>
      </c>
      <c r="S25" s="108">
        <v>93.52213287353516</v>
      </c>
      <c r="T25" s="108">
        <v>40</v>
      </c>
      <c r="U25" s="108">
        <v>79.23231506347656</v>
      </c>
      <c r="V25" s="108">
        <v>17.7734375</v>
      </c>
      <c r="W25" s="108">
        <v>21.65256118774414</v>
      </c>
      <c r="X25" s="108">
        <v>0</v>
      </c>
      <c r="Y25" s="108">
        <v>0</v>
      </c>
      <c r="Z25" s="108">
        <v>20.923755645751953</v>
      </c>
      <c r="AA25" s="108">
        <v>72.4826431274414</v>
      </c>
      <c r="AB25" s="108"/>
      <c r="AC25" s="95"/>
      <c r="AD25" s="95">
        <v>1.54833984375</v>
      </c>
      <c r="AE25" s="95">
        <v>0.0013094177702441812</v>
      </c>
      <c r="AF25" s="95">
        <v>23.303674697875977</v>
      </c>
      <c r="AG25" s="95">
        <v>10.695167541503906</v>
      </c>
      <c r="AH25" s="95"/>
      <c r="AI25" s="109"/>
      <c r="AJ25" s="109"/>
      <c r="AK25" s="109"/>
      <c r="AL25" s="109"/>
      <c r="AM25" s="109"/>
      <c r="AN25" s="95">
        <v>56.20659637451172</v>
      </c>
      <c r="AO25" s="96">
        <v>50</v>
      </c>
      <c r="AP25" s="97">
        <v>24.06141471862793</v>
      </c>
      <c r="AQ25" s="98">
        <v>40.870948791503906</v>
      </c>
      <c r="AR25" s="99">
        <v>0.0868072509765625</v>
      </c>
    </row>
    <row r="26" spans="2:44" ht="13.5" customHeight="1" x14ac:dyDescent="0.25">
      <c r="B26" s="14">
        <v>0.5</v>
      </c>
      <c r="C26" s="91">
        <v>-80.20109558105469</v>
      </c>
      <c r="D26" s="91">
        <v>-81.03298950195312</v>
      </c>
      <c r="E26" s="91">
        <v>103.125</v>
      </c>
      <c r="F26" s="91">
        <v>0.08608217537403107</v>
      </c>
      <c r="G26" s="91">
        <v>8.917618106352165E-05</v>
      </c>
      <c r="H26" s="91"/>
      <c r="I26" s="91"/>
      <c r="J26" s="91"/>
      <c r="K26" s="91"/>
      <c r="L26" s="92"/>
      <c r="M26" s="107">
        <v>77.60054779052734</v>
      </c>
      <c r="N26" s="91">
        <v>47.522422790527344</v>
      </c>
      <c r="O26" s="91">
        <v>39.5</v>
      </c>
      <c r="P26" s="91">
        <v>22</v>
      </c>
      <c r="Q26" s="91">
        <v>3.325086832046509</v>
      </c>
      <c r="R26" s="91">
        <v>22.16796875</v>
      </c>
      <c r="S26" s="108">
        <v>94.94718933105469</v>
      </c>
      <c r="T26" s="108">
        <v>39</v>
      </c>
      <c r="U26" s="108">
        <v>77.85318756103516</v>
      </c>
      <c r="V26" s="108">
        <v>18.09895896911621</v>
      </c>
      <c r="W26" s="108">
        <v>21.94552993774414</v>
      </c>
      <c r="X26" s="108">
        <v>0</v>
      </c>
      <c r="Y26" s="108">
        <v>0</v>
      </c>
      <c r="Z26" s="108">
        <v>22.117332458496094</v>
      </c>
      <c r="AA26" s="108">
        <v>68.35395050048828</v>
      </c>
      <c r="AB26" s="108"/>
      <c r="AC26" s="95"/>
      <c r="AD26" s="95">
        <v>1.5483940839767456</v>
      </c>
      <c r="AE26" s="95">
        <v>0.001542541547678411</v>
      </c>
      <c r="AF26" s="95">
        <v>23.929397583007812</v>
      </c>
      <c r="AG26" s="95">
        <v>23.379629135131836</v>
      </c>
      <c r="AH26" s="95"/>
      <c r="AI26" s="109"/>
      <c r="AJ26" s="109"/>
      <c r="AK26" s="109"/>
      <c r="AL26" s="109"/>
      <c r="AM26" s="109"/>
      <c r="AN26" s="95">
        <v>56.09809112548828</v>
      </c>
      <c r="AO26" s="96">
        <v>50</v>
      </c>
      <c r="AP26" s="97">
        <v>24.459274291992188</v>
      </c>
      <c r="AQ26" s="98">
        <v>41.31221008300781</v>
      </c>
      <c r="AR26" s="99">
        <v>0.0868072509765625</v>
      </c>
    </row>
    <row r="27" spans="2:44" ht="13.5" customHeight="1" x14ac:dyDescent="0.25">
      <c r="B27" s="14">
        <v>0.54166666666666596</v>
      </c>
      <c r="C27" s="91">
        <v>-80.36024475097656</v>
      </c>
      <c r="D27" s="91">
        <v>-80.96064758300781</v>
      </c>
      <c r="E27" s="91">
        <v>103.13584899902344</v>
      </c>
      <c r="F27" s="91">
        <v>0.08188657462596893</v>
      </c>
      <c r="G27" s="91">
        <v>8.676147263031453E-05</v>
      </c>
      <c r="H27" s="91"/>
      <c r="I27" s="91"/>
      <c r="J27" s="91"/>
      <c r="K27" s="91"/>
      <c r="L27" s="92"/>
      <c r="M27" s="107">
        <v>77.80309295654297</v>
      </c>
      <c r="N27" s="91">
        <v>47.218605041503906</v>
      </c>
      <c r="O27" s="91">
        <v>39.5</v>
      </c>
      <c r="P27" s="91">
        <v>22</v>
      </c>
      <c r="Q27" s="91">
        <v>3.136284828186035</v>
      </c>
      <c r="R27" s="91">
        <v>23.104745864868164</v>
      </c>
      <c r="S27" s="108">
        <v>93.93807983398438</v>
      </c>
      <c r="T27" s="108">
        <v>30</v>
      </c>
      <c r="U27" s="108">
        <v>0</v>
      </c>
      <c r="V27" s="108">
        <v>11.507162094116211</v>
      </c>
      <c r="W27" s="108">
        <v>92.54015350341797</v>
      </c>
      <c r="X27" s="108">
        <v>28.25</v>
      </c>
      <c r="Y27" s="108">
        <v>77.35984802246094</v>
      </c>
      <c r="Z27" s="108">
        <v>20.672380447387695</v>
      </c>
      <c r="AA27" s="108">
        <v>22.99262237548828</v>
      </c>
      <c r="AB27" s="108"/>
      <c r="AC27" s="95"/>
      <c r="AD27" s="95">
        <v>0.1707356721162796</v>
      </c>
      <c r="AE27" s="95">
        <v>0.001364257768727839</v>
      </c>
      <c r="AF27" s="95">
        <v>23.690683364868164</v>
      </c>
      <c r="AG27" s="95">
        <v>9.045862197875977</v>
      </c>
      <c r="AH27" s="95"/>
      <c r="AI27" s="109">
        <v>6.920000076293945</v>
      </c>
      <c r="AJ27" s="109"/>
      <c r="AK27" s="109"/>
      <c r="AL27" s="109"/>
      <c r="AM27" s="109"/>
      <c r="AN27" s="95">
        <v>55.280670166015625</v>
      </c>
      <c r="AO27" s="96">
        <v>50</v>
      </c>
      <c r="AP27" s="97">
        <v>25.182653427124023</v>
      </c>
      <c r="AQ27" s="98">
        <v>41.51475524902344</v>
      </c>
      <c r="AR27" s="99">
        <v>0.075958251953125</v>
      </c>
    </row>
    <row r="28" spans="2:44" ht="13.5" customHeight="1" x14ac:dyDescent="0.25">
      <c r="B28" s="14">
        <v>0.58333333333333304</v>
      </c>
      <c r="C28" s="91">
        <v>-79.75260925292969</v>
      </c>
      <c r="D28" s="91">
        <v>-80.17216491699219</v>
      </c>
      <c r="E28" s="91">
        <v>103.13223266601562</v>
      </c>
      <c r="F28" s="91">
        <v>0.07754629850387573</v>
      </c>
      <c r="G28" s="91">
        <v>8.099746628431603E-05</v>
      </c>
      <c r="H28" s="91"/>
      <c r="I28" s="91"/>
      <c r="J28" s="91"/>
      <c r="K28" s="91"/>
      <c r="L28" s="92"/>
      <c r="M28" s="107">
        <v>77.49565887451172</v>
      </c>
      <c r="N28" s="91">
        <v>47.424766540527344</v>
      </c>
      <c r="O28" s="91">
        <v>39.5</v>
      </c>
      <c r="P28" s="91">
        <v>22</v>
      </c>
      <c r="Q28" s="91">
        <v>3.305121660232544</v>
      </c>
      <c r="R28" s="91">
        <v>22.92751693725586</v>
      </c>
      <c r="S28" s="108">
        <v>97.21137237548828</v>
      </c>
      <c r="T28" s="108">
        <v>30</v>
      </c>
      <c r="U28" s="108">
        <v>0</v>
      </c>
      <c r="V28" s="108">
        <v>14.143880844116211</v>
      </c>
      <c r="W28" s="108">
        <v>69.47157287597656</v>
      </c>
      <c r="X28" s="108">
        <v>27</v>
      </c>
      <c r="Y28" s="108">
        <v>74.05780029296875</v>
      </c>
      <c r="Z28" s="108">
        <v>19.847728729248047</v>
      </c>
      <c r="AA28" s="108">
        <v>22.52061653137207</v>
      </c>
      <c r="AB28" s="108"/>
      <c r="AC28" s="95"/>
      <c r="AD28" s="95">
        <v>1.54833984375</v>
      </c>
      <c r="AE28" s="95">
        <v>0.0013185730203986168</v>
      </c>
      <c r="AF28" s="95">
        <v>23.61111068725586</v>
      </c>
      <c r="AG28" s="95">
        <v>12.4855318069458</v>
      </c>
      <c r="AH28" s="95"/>
      <c r="AI28" s="109"/>
      <c r="AJ28" s="109"/>
      <c r="AK28" s="109"/>
      <c r="AL28" s="109"/>
      <c r="AM28" s="109"/>
      <c r="AN28" s="95">
        <v>56.76359939575195</v>
      </c>
      <c r="AO28" s="96">
        <v>50</v>
      </c>
      <c r="AP28" s="97">
        <v>25.291160583496094</v>
      </c>
      <c r="AQ28" s="98">
        <v>40.50925827026367</v>
      </c>
      <c r="AR28" s="99">
        <v>0.0651092529296875</v>
      </c>
    </row>
    <row r="29" spans="2:44" ht="13.5" customHeight="1" x14ac:dyDescent="0.25">
      <c r="B29" s="14">
        <v>0.625</v>
      </c>
      <c r="C29" s="91">
        <v>-79.59346008300781</v>
      </c>
      <c r="D29" s="91">
        <v>-80.04195404052734</v>
      </c>
      <c r="E29" s="91">
        <v>103.13223266601562</v>
      </c>
      <c r="F29" s="91">
        <v>0.09425636380910873</v>
      </c>
      <c r="G29" s="91">
        <v>8.81691012182273E-05</v>
      </c>
      <c r="H29" s="91"/>
      <c r="I29" s="91"/>
      <c r="J29" s="91"/>
      <c r="K29" s="91"/>
      <c r="L29" s="92"/>
      <c r="M29" s="107">
        <v>77.3907699584961</v>
      </c>
      <c r="N29" s="91">
        <v>47.3054084777832</v>
      </c>
      <c r="O29" s="91">
        <v>39.5</v>
      </c>
      <c r="P29" s="91">
        <v>22</v>
      </c>
      <c r="Q29" s="91">
        <v>3.167534828186035</v>
      </c>
      <c r="R29" s="91">
        <v>22.800926208496094</v>
      </c>
      <c r="S29" s="108">
        <v>94.8025131225586</v>
      </c>
      <c r="T29" s="108">
        <v>30</v>
      </c>
      <c r="U29" s="108">
        <v>0</v>
      </c>
      <c r="V29" s="108">
        <v>13.88888931274414</v>
      </c>
      <c r="W29" s="108">
        <v>61.5342903137207</v>
      </c>
      <c r="X29" s="108">
        <v>27</v>
      </c>
      <c r="Y29" s="108">
        <v>74.15310668945312</v>
      </c>
      <c r="Z29" s="108">
        <v>19.328702926635742</v>
      </c>
      <c r="AA29" s="108">
        <v>21.93467903137207</v>
      </c>
      <c r="AB29" s="108"/>
      <c r="AC29" s="95"/>
      <c r="AD29" s="95">
        <v>1.5483940839767456</v>
      </c>
      <c r="AE29" s="95">
        <v>0.0015243225498124957</v>
      </c>
      <c r="AF29" s="95">
        <v>24.084924697875977</v>
      </c>
      <c r="AG29" s="95">
        <v>18.25086784362793</v>
      </c>
      <c r="AH29" s="95"/>
      <c r="AI29" s="109"/>
      <c r="AJ29" s="109"/>
      <c r="AK29" s="109"/>
      <c r="AL29" s="109"/>
      <c r="AM29" s="109"/>
      <c r="AN29" s="95">
        <v>56.0546875</v>
      </c>
      <c r="AO29" s="96">
        <v>50</v>
      </c>
      <c r="AP29" s="97">
        <v>25.96028709411621</v>
      </c>
      <c r="AQ29" s="98">
        <v>40.38628387451172</v>
      </c>
      <c r="AR29" s="99">
        <v>0.0651092529296875</v>
      </c>
    </row>
    <row r="30" spans="2:44" ht="13.5" customHeight="1" x14ac:dyDescent="0.25">
      <c r="B30" s="14">
        <v>0.66666666666666596</v>
      </c>
      <c r="C30" s="91">
        <v>-80.70023345947266</v>
      </c>
      <c r="D30" s="91">
        <v>-81.01851654052734</v>
      </c>
      <c r="E30" s="91">
        <v>103.13223266601562</v>
      </c>
      <c r="F30" s="91">
        <v>0.09910301119089127</v>
      </c>
      <c r="G30" s="91">
        <v>9.187698015011847E-05</v>
      </c>
      <c r="H30" s="91"/>
      <c r="I30" s="91"/>
      <c r="J30" s="91"/>
      <c r="K30" s="91"/>
      <c r="L30" s="92"/>
      <c r="M30" s="107">
        <v>77.2967300415039</v>
      </c>
      <c r="N30" s="91">
        <v>47.3054084777832</v>
      </c>
      <c r="O30" s="91">
        <v>39.5</v>
      </c>
      <c r="P30" s="91">
        <v>22</v>
      </c>
      <c r="Q30" s="91">
        <v>3.191840410232544</v>
      </c>
      <c r="R30" s="91">
        <v>22.45008659362793</v>
      </c>
      <c r="S30" s="108">
        <v>91.56539154052734</v>
      </c>
      <c r="T30" s="108">
        <v>30</v>
      </c>
      <c r="U30" s="108">
        <v>0</v>
      </c>
      <c r="V30" s="108">
        <v>13.623047828674316</v>
      </c>
      <c r="W30" s="108">
        <v>57.41645050048828</v>
      </c>
      <c r="X30" s="108">
        <v>30</v>
      </c>
      <c r="Y30" s="108">
        <v>81.94570922851562</v>
      </c>
      <c r="Z30" s="108">
        <v>19.033926010131836</v>
      </c>
      <c r="AA30" s="108">
        <v>21.70138931274414</v>
      </c>
      <c r="AB30" s="108"/>
      <c r="AC30" s="95"/>
      <c r="AD30" s="95">
        <v>1.54833984375</v>
      </c>
      <c r="AE30" s="95">
        <v>0.0010243530850857496</v>
      </c>
      <c r="AF30" s="95">
        <v>23.96918296813965</v>
      </c>
      <c r="AG30" s="95">
        <v>15.567129135131836</v>
      </c>
      <c r="AH30" s="95"/>
      <c r="AI30" s="109"/>
      <c r="AJ30" s="109"/>
      <c r="AK30" s="109"/>
      <c r="AL30" s="109"/>
      <c r="AM30" s="109"/>
      <c r="AN30" s="95">
        <v>54.68026351928711</v>
      </c>
      <c r="AO30" s="96">
        <v>50</v>
      </c>
      <c r="AP30" s="97">
        <v>26.240596771240234</v>
      </c>
      <c r="AQ30" s="98">
        <v>40.54180908203125</v>
      </c>
      <c r="AR30" s="99">
        <v>0.0651092529296875</v>
      </c>
    </row>
    <row r="31" spans="2:44" ht="13.5" customHeight="1" x14ac:dyDescent="0.25">
      <c r="B31" s="14">
        <v>0.70833333333333304</v>
      </c>
      <c r="C31" s="91">
        <v>-80.25897216796875</v>
      </c>
      <c r="D31" s="91">
        <v>-80.56278991699219</v>
      </c>
      <c r="E31" s="91">
        <v>103.13584899902344</v>
      </c>
      <c r="F31" s="91">
        <v>0.10431134700775146</v>
      </c>
      <c r="G31" s="91">
        <v>9.526062058284879E-05</v>
      </c>
      <c r="H31" s="91"/>
      <c r="I31" s="91"/>
      <c r="J31" s="91"/>
      <c r="K31" s="91"/>
      <c r="L31" s="92"/>
      <c r="M31" s="107">
        <v>77.1014175415039</v>
      </c>
      <c r="N31" s="91">
        <v>47.38859939575195</v>
      </c>
      <c r="O31" s="91">
        <v>39.5</v>
      </c>
      <c r="P31" s="91">
        <v>22</v>
      </c>
      <c r="Q31" s="91">
        <v>3.1432292461395264</v>
      </c>
      <c r="R31" s="91">
        <v>22.464553833007812</v>
      </c>
      <c r="S31" s="108">
        <v>93.41724395751953</v>
      </c>
      <c r="T31" s="108">
        <v>30</v>
      </c>
      <c r="U31" s="108">
        <v>0</v>
      </c>
      <c r="V31" s="108">
        <v>13.53624153137207</v>
      </c>
      <c r="W31" s="108">
        <v>54.43793487548828</v>
      </c>
      <c r="X31" s="108">
        <v>29</v>
      </c>
      <c r="Y31" s="108">
        <v>79.38368225097656</v>
      </c>
      <c r="Z31" s="108">
        <v>18.871166229248047</v>
      </c>
      <c r="AA31" s="108">
        <v>21.59288215637207</v>
      </c>
      <c r="AB31" s="108"/>
      <c r="AC31" s="95"/>
      <c r="AD31" s="95">
        <v>1.5483940839767456</v>
      </c>
      <c r="AE31" s="95">
        <v>0.0013280028942972422</v>
      </c>
      <c r="AF31" s="95">
        <v>24.938512802124023</v>
      </c>
      <c r="AG31" s="95">
        <v>32.68229293823242</v>
      </c>
      <c r="AH31" s="95"/>
      <c r="AI31" s="109"/>
      <c r="AJ31" s="109"/>
      <c r="AK31" s="109"/>
      <c r="AL31" s="109"/>
      <c r="AM31" s="109"/>
      <c r="AN31" s="95">
        <v>53.27690887451172</v>
      </c>
      <c r="AO31" s="96">
        <v>50</v>
      </c>
      <c r="AP31" s="97">
        <v>26.683666229248047</v>
      </c>
      <c r="AQ31" s="98">
        <v>40.25246047973633</v>
      </c>
      <c r="AR31" s="99">
        <v>0.075958251953125</v>
      </c>
    </row>
    <row r="32" spans="2:44" ht="13.5" customHeight="1" x14ac:dyDescent="0.25">
      <c r="B32" s="14">
        <v>0.75</v>
      </c>
      <c r="C32" s="91">
        <v>-80.10706329345703</v>
      </c>
      <c r="D32" s="91">
        <v>-80.41088104248047</v>
      </c>
      <c r="E32" s="91">
        <v>103.13223266601562</v>
      </c>
      <c r="F32" s="91">
        <v>0.08232060074806213</v>
      </c>
      <c r="G32" s="91">
        <v>8.745575178181753E-05</v>
      </c>
      <c r="H32" s="91"/>
      <c r="I32" s="91"/>
      <c r="J32" s="91"/>
      <c r="K32" s="91"/>
      <c r="L32" s="92"/>
      <c r="M32" s="107">
        <v>77.57884979248047</v>
      </c>
      <c r="N32" s="91">
        <v>47.58029556274414</v>
      </c>
      <c r="O32" s="91">
        <v>39.5</v>
      </c>
      <c r="P32" s="91">
        <v>22</v>
      </c>
      <c r="Q32" s="91">
        <v>3.203559160232544</v>
      </c>
      <c r="R32" s="91">
        <v>22.294559478759766</v>
      </c>
      <c r="S32" s="108">
        <v>97.96006774902344</v>
      </c>
      <c r="T32" s="108">
        <v>30</v>
      </c>
      <c r="U32" s="108">
        <v>0</v>
      </c>
      <c r="V32" s="108">
        <v>13.519966125488281</v>
      </c>
      <c r="W32" s="108">
        <v>52.907989501953125</v>
      </c>
      <c r="X32" s="108">
        <v>30</v>
      </c>
      <c r="Y32" s="108">
        <v>82.46708679199219</v>
      </c>
      <c r="Z32" s="108">
        <v>18.56553840637207</v>
      </c>
      <c r="AA32" s="108">
        <v>21.365018844604492</v>
      </c>
      <c r="AB32" s="108"/>
      <c r="AC32" s="95"/>
      <c r="AD32" s="95">
        <v>1.5483940839767456</v>
      </c>
      <c r="AE32" s="95">
        <v>0.0014807129045948386</v>
      </c>
      <c r="AF32" s="95">
        <v>23.694299697875977</v>
      </c>
      <c r="AG32" s="95">
        <v>29.712818145751953</v>
      </c>
      <c r="AH32" s="95"/>
      <c r="AI32" s="109"/>
      <c r="AJ32" s="109"/>
      <c r="AK32" s="109"/>
      <c r="AL32" s="109"/>
      <c r="AM32" s="109"/>
      <c r="AN32" s="95">
        <v>51.88078689575195</v>
      </c>
      <c r="AO32" s="96">
        <v>50</v>
      </c>
      <c r="AP32" s="97">
        <v>27.081523895263672</v>
      </c>
      <c r="AQ32" s="98">
        <v>40.48755645751953</v>
      </c>
      <c r="AR32" s="99">
        <v>0.0868072509765625</v>
      </c>
    </row>
    <row r="33" spans="2:44" ht="13.5" customHeight="1" x14ac:dyDescent="0.25">
      <c r="B33" s="14">
        <v>0.79166666666666696</v>
      </c>
      <c r="C33" s="91">
        <v>-79.86111450195312</v>
      </c>
      <c r="D33" s="91">
        <v>-80.20109558105469</v>
      </c>
      <c r="E33" s="91">
        <v>103.13584899902344</v>
      </c>
      <c r="F33" s="91">
        <v>0.0805121511220932</v>
      </c>
      <c r="G33" s="91">
        <v>8.716202137293294E-05</v>
      </c>
      <c r="H33" s="91"/>
      <c r="I33" s="91"/>
      <c r="J33" s="91"/>
      <c r="K33" s="91"/>
      <c r="L33" s="92"/>
      <c r="M33" s="107">
        <v>78.27690887451172</v>
      </c>
      <c r="N33" s="91">
        <v>47.49348831176758</v>
      </c>
      <c r="O33" s="91">
        <v>39.5</v>
      </c>
      <c r="P33" s="91">
        <v>22</v>
      </c>
      <c r="Q33" s="91">
        <v>3.2599825859069824</v>
      </c>
      <c r="R33" s="91">
        <v>22.005207061767578</v>
      </c>
      <c r="S33" s="108">
        <v>95.84056854248047</v>
      </c>
      <c r="T33" s="108">
        <v>30</v>
      </c>
      <c r="U33" s="108">
        <v>0</v>
      </c>
      <c r="V33" s="108">
        <v>13.308377265930176</v>
      </c>
      <c r="W33" s="108">
        <v>51.643882751464844</v>
      </c>
      <c r="X33" s="108">
        <v>30</v>
      </c>
      <c r="Y33" s="108">
        <v>82.09146881103516</v>
      </c>
      <c r="Z33" s="108">
        <v>18.091724395751953</v>
      </c>
      <c r="AA33" s="108">
        <v>21.012371063232422</v>
      </c>
      <c r="AB33" s="108"/>
      <c r="AC33" s="95"/>
      <c r="AD33" s="95">
        <v>1.5484483242034912</v>
      </c>
      <c r="AE33" s="95">
        <v>0.001474548364058137</v>
      </c>
      <c r="AF33" s="95">
        <v>24.573205947875977</v>
      </c>
      <c r="AG33" s="95">
        <v>55.09620666503906</v>
      </c>
      <c r="AH33" s="95"/>
      <c r="AI33" s="109"/>
      <c r="AJ33" s="109"/>
      <c r="AK33" s="109"/>
      <c r="AL33" s="109"/>
      <c r="AM33" s="109"/>
      <c r="AN33" s="95">
        <v>50.6727409362793</v>
      </c>
      <c r="AO33" s="96">
        <v>50</v>
      </c>
      <c r="AP33" s="97">
        <v>27.081523895263672</v>
      </c>
      <c r="AQ33" s="98">
        <v>40.30671310424805</v>
      </c>
      <c r="AR33" s="99">
        <v>0.075958251953125</v>
      </c>
    </row>
    <row r="34" spans="2:44" ht="13.5" customHeight="1" x14ac:dyDescent="0.25">
      <c r="B34" s="15">
        <v>0.83333333333333304</v>
      </c>
      <c r="C34" s="100">
        <v>-80.36024475097656</v>
      </c>
      <c r="D34" s="100">
        <v>-80.78703308105469</v>
      </c>
      <c r="E34" s="100">
        <v>103.13223266601562</v>
      </c>
      <c r="F34" s="100">
        <v>0.0924479141831398</v>
      </c>
      <c r="G34" s="100">
        <v>8.811569568933919E-05</v>
      </c>
      <c r="H34" s="100"/>
      <c r="I34" s="100"/>
      <c r="J34" s="100"/>
      <c r="K34" s="100"/>
      <c r="L34" s="101"/>
      <c r="M34" s="110">
        <v>78.77965545654297</v>
      </c>
      <c r="N34" s="100">
        <v>47.49710464477539</v>
      </c>
      <c r="O34" s="100">
        <v>39.5</v>
      </c>
      <c r="P34" s="100">
        <v>22</v>
      </c>
      <c r="Q34" s="100">
        <v>3.3771700859069824</v>
      </c>
      <c r="R34" s="100">
        <v>21.719472885131836</v>
      </c>
      <c r="S34" s="111">
        <v>90.92520141601562</v>
      </c>
      <c r="T34" s="111">
        <v>30</v>
      </c>
      <c r="U34" s="111">
        <v>0</v>
      </c>
      <c r="V34" s="111">
        <v>13.004557609558105</v>
      </c>
      <c r="W34" s="111">
        <v>50.52626037597656</v>
      </c>
      <c r="X34" s="111">
        <v>35</v>
      </c>
      <c r="Y34" s="111">
        <v>96.99272918701172</v>
      </c>
      <c r="Z34" s="111">
        <v>17.737268447875977</v>
      </c>
      <c r="AA34" s="111">
        <v>20.70855140686035</v>
      </c>
      <c r="AB34" s="111"/>
      <c r="AC34" s="104"/>
      <c r="AD34" s="104">
        <v>1.5482856035232544</v>
      </c>
      <c r="AE34" s="104">
        <v>0.0010468445252627134</v>
      </c>
      <c r="AF34" s="104">
        <v>24.312788009643555</v>
      </c>
      <c r="AG34" s="104">
        <v>30.758100509643555</v>
      </c>
      <c r="AH34" s="104"/>
      <c r="AI34" s="112"/>
      <c r="AJ34" s="112"/>
      <c r="AK34" s="112"/>
      <c r="AL34" s="112"/>
      <c r="AM34" s="112"/>
      <c r="AN34" s="104">
        <v>49.58767318725586</v>
      </c>
      <c r="AO34" s="105">
        <v>50</v>
      </c>
      <c r="AP34" s="113">
        <v>27.12673568725586</v>
      </c>
      <c r="AQ34" s="114">
        <v>40.08246612548828</v>
      </c>
      <c r="AR34" s="115">
        <v>0.0651092529296875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91">
        <v>0</v>
      </c>
      <c r="D39" s="91"/>
      <c r="E39" s="91">
        <v>48.1336784362793</v>
      </c>
      <c r="F39" s="91"/>
      <c r="G39" s="91"/>
      <c r="H39" s="91">
        <v>0</v>
      </c>
      <c r="I39" s="91"/>
      <c r="J39" s="91">
        <v>23.663555145263672</v>
      </c>
      <c r="K39" s="91">
        <v>40</v>
      </c>
      <c r="L39" s="91">
        <v>46.86595916748047</v>
      </c>
      <c r="M39" s="91">
        <v>0</v>
      </c>
      <c r="N39" s="91"/>
      <c r="O39" s="91">
        <v>25.372539520263672</v>
      </c>
      <c r="P39" s="91">
        <v>0.05000000074505806</v>
      </c>
      <c r="Q39" s="91">
        <v>0.2115885466337204</v>
      </c>
      <c r="R39" s="91"/>
      <c r="S39" s="91">
        <v>0</v>
      </c>
      <c r="T39" s="91"/>
      <c r="U39" s="108">
        <v>0</v>
      </c>
      <c r="V39" s="116"/>
      <c r="W39" s="117">
        <v>97.87687683105469</v>
      </c>
      <c r="X39" s="108">
        <v>18.10980796813965</v>
      </c>
      <c r="Y39" s="108">
        <v>50</v>
      </c>
      <c r="Z39" s="108">
        <v>123.87153625488281</v>
      </c>
      <c r="AA39" s="108">
        <v>34.85785675048828</v>
      </c>
      <c r="AB39" s="108">
        <v>118.44075775146484</v>
      </c>
      <c r="AC39" s="108">
        <v>50</v>
      </c>
      <c r="AD39" s="108">
        <v>0</v>
      </c>
      <c r="AE39" s="95">
        <v>13.6085786819458</v>
      </c>
      <c r="AF39" s="95">
        <v>18.37022590637207</v>
      </c>
      <c r="AG39" s="95"/>
      <c r="AH39" s="95">
        <v>0</v>
      </c>
      <c r="AI39" s="95">
        <v>0</v>
      </c>
      <c r="AJ39" s="95"/>
      <c r="AK39" s="95">
        <v>55.226417541503906</v>
      </c>
      <c r="AL39" s="96">
        <v>49.22454071044922</v>
      </c>
      <c r="AM39" s="118"/>
      <c r="AN39" s="109"/>
      <c r="AO39" s="95"/>
      <c r="AP39" s="95"/>
      <c r="AQ39" s="95"/>
      <c r="AR39" s="99"/>
    </row>
    <row r="40" spans="2:44" ht="13.5" customHeight="1" x14ac:dyDescent="0.25">
      <c r="B40" s="14">
        <v>0.375</v>
      </c>
      <c r="C40" s="91">
        <v>0</v>
      </c>
      <c r="D40" s="91">
        <v>3.333091740387317E-07</v>
      </c>
      <c r="E40" s="91">
        <v>56.25</v>
      </c>
      <c r="F40" s="91"/>
      <c r="G40" s="91"/>
      <c r="H40" s="91">
        <v>0</v>
      </c>
      <c r="I40" s="91">
        <v>0</v>
      </c>
      <c r="J40" s="91">
        <v>23.672597885131836</v>
      </c>
      <c r="K40" s="91">
        <v>40</v>
      </c>
      <c r="L40" s="91">
        <v>47.724971771240234</v>
      </c>
      <c r="M40" s="91">
        <v>0</v>
      </c>
      <c r="N40" s="91">
        <v>0</v>
      </c>
      <c r="O40" s="91">
        <v>26.331018447875977</v>
      </c>
      <c r="P40" s="91">
        <v>0.05000000074505806</v>
      </c>
      <c r="Q40" s="91">
        <v>0.20515047013759613</v>
      </c>
      <c r="R40" s="91">
        <v>0.00020858383504673839</v>
      </c>
      <c r="S40" s="91">
        <v>0</v>
      </c>
      <c r="T40" s="91">
        <v>0</v>
      </c>
      <c r="U40" s="108">
        <v>0</v>
      </c>
      <c r="V40" s="116">
        <v>0</v>
      </c>
      <c r="W40" s="117">
        <v>98.62557983398438</v>
      </c>
      <c r="X40" s="108">
        <v>23.151763916015625</v>
      </c>
      <c r="Y40" s="108">
        <v>50</v>
      </c>
      <c r="Z40" s="108">
        <v>123.8758773803711</v>
      </c>
      <c r="AA40" s="108">
        <v>17.420791625976562</v>
      </c>
      <c r="AB40" s="108">
        <v>21.424697875976562</v>
      </c>
      <c r="AC40" s="108">
        <v>50</v>
      </c>
      <c r="AD40" s="108">
        <v>0</v>
      </c>
      <c r="AE40" s="95">
        <v>13.599536895751953</v>
      </c>
      <c r="AF40" s="95">
        <v>93.10438537597656</v>
      </c>
      <c r="AG40" s="95"/>
      <c r="AH40" s="95">
        <v>0</v>
      </c>
      <c r="AI40" s="95">
        <v>0</v>
      </c>
      <c r="AJ40" s="95">
        <v>0</v>
      </c>
      <c r="AK40" s="95">
        <v>51.511863708496094</v>
      </c>
      <c r="AL40" s="96">
        <v>69.45602416992188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14">
        <v>0.41666666666666702</v>
      </c>
      <c r="C41" s="91">
        <v>0</v>
      </c>
      <c r="D41" s="91">
        <v>1.351833276430625E-07</v>
      </c>
      <c r="E41" s="91">
        <v>48.3796272277832</v>
      </c>
      <c r="F41" s="91"/>
      <c r="G41" s="91"/>
      <c r="H41" s="91">
        <v>0</v>
      </c>
      <c r="I41" s="91">
        <v>0</v>
      </c>
      <c r="J41" s="91">
        <v>23.835359573364258</v>
      </c>
      <c r="K41" s="91">
        <v>40</v>
      </c>
      <c r="L41" s="91">
        <v>48.674407958984375</v>
      </c>
      <c r="M41" s="91">
        <v>0</v>
      </c>
      <c r="N41" s="91">
        <v>0</v>
      </c>
      <c r="O41" s="91">
        <v>26.82834243774414</v>
      </c>
      <c r="P41" s="91">
        <v>0.05000000074505806</v>
      </c>
      <c r="Q41" s="91">
        <v>0.21086516976356506</v>
      </c>
      <c r="R41" s="91">
        <v>0.0002097435062751174</v>
      </c>
      <c r="S41" s="91">
        <v>0</v>
      </c>
      <c r="T41" s="91">
        <v>0</v>
      </c>
      <c r="U41" s="108">
        <v>0</v>
      </c>
      <c r="V41" s="116">
        <v>0</v>
      </c>
      <c r="W41" s="117">
        <v>89.83651733398438</v>
      </c>
      <c r="X41" s="108">
        <v>20.90928840637207</v>
      </c>
      <c r="Y41" s="108">
        <v>35</v>
      </c>
      <c r="Z41" s="108">
        <v>89.99132537841797</v>
      </c>
      <c r="AA41" s="108">
        <v>17.518447875976562</v>
      </c>
      <c r="AB41" s="108">
        <v>21.15342903137207</v>
      </c>
      <c r="AC41" s="108">
        <v>35</v>
      </c>
      <c r="AD41" s="108">
        <v>92.15711975097656</v>
      </c>
      <c r="AE41" s="95">
        <v>19.294342041015625</v>
      </c>
      <c r="AF41" s="95">
        <v>79.63324737548828</v>
      </c>
      <c r="AG41" s="95"/>
      <c r="AH41" s="95">
        <v>0</v>
      </c>
      <c r="AI41" s="95">
        <v>0</v>
      </c>
      <c r="AJ41" s="95">
        <v>0</v>
      </c>
      <c r="AK41" s="95">
        <v>85.04774475097656</v>
      </c>
      <c r="AL41" s="96">
        <v>58.842594146728516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0.45833333333333298</v>
      </c>
      <c r="C42" s="91">
        <v>0</v>
      </c>
      <c r="D42" s="91">
        <v>1.3177394748709048E-06</v>
      </c>
      <c r="E42" s="91">
        <v>58.13801956176758</v>
      </c>
      <c r="F42" s="91"/>
      <c r="G42" s="91"/>
      <c r="H42" s="91">
        <v>0</v>
      </c>
      <c r="I42" s="91">
        <v>0</v>
      </c>
      <c r="J42" s="91">
        <v>24.22417449951172</v>
      </c>
      <c r="K42" s="91">
        <v>40</v>
      </c>
      <c r="L42" s="91">
        <v>48.62015151977539</v>
      </c>
      <c r="M42" s="91">
        <v>0</v>
      </c>
      <c r="N42" s="91">
        <v>0</v>
      </c>
      <c r="O42" s="91">
        <v>27.497468948364258</v>
      </c>
      <c r="P42" s="91">
        <v>0.05000000074505806</v>
      </c>
      <c r="Q42" s="91">
        <v>0.2055121511220932</v>
      </c>
      <c r="R42" s="91">
        <v>0.00020944976131431758</v>
      </c>
      <c r="S42" s="91">
        <v>0</v>
      </c>
      <c r="T42" s="91">
        <v>0</v>
      </c>
      <c r="U42" s="108">
        <v>0</v>
      </c>
      <c r="V42" s="116">
        <v>0</v>
      </c>
      <c r="W42" s="117">
        <v>95.27271270751953</v>
      </c>
      <c r="X42" s="108">
        <v>18.059171676635742</v>
      </c>
      <c r="Y42" s="108">
        <v>33</v>
      </c>
      <c r="Z42" s="108">
        <v>84.57032012939453</v>
      </c>
      <c r="AA42" s="108">
        <v>17.7734375</v>
      </c>
      <c r="AB42" s="108">
        <v>21.65256118774414</v>
      </c>
      <c r="AC42" s="108">
        <v>33</v>
      </c>
      <c r="AD42" s="108">
        <v>85.8420181274414</v>
      </c>
      <c r="AE42" s="95">
        <v>20.923755645751953</v>
      </c>
      <c r="AF42" s="95">
        <v>72.4826431274414</v>
      </c>
      <c r="AG42" s="95"/>
      <c r="AH42" s="95">
        <v>0</v>
      </c>
      <c r="AI42" s="95">
        <v>0</v>
      </c>
      <c r="AJ42" s="95">
        <v>0</v>
      </c>
      <c r="AK42" s="95">
        <v>85.06944274902344</v>
      </c>
      <c r="AL42" s="96">
        <v>58.7210693359375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14">
        <v>0.5</v>
      </c>
      <c r="C43" s="91">
        <v>0.4338107705116272</v>
      </c>
      <c r="D43" s="91">
        <v>1.0061263822080946E-07</v>
      </c>
      <c r="E43" s="91">
        <v>81.32233428955078</v>
      </c>
      <c r="F43" s="91"/>
      <c r="G43" s="91"/>
      <c r="H43" s="91">
        <v>0</v>
      </c>
      <c r="I43" s="91">
        <v>0</v>
      </c>
      <c r="J43" s="91">
        <v>24.567781448364258</v>
      </c>
      <c r="K43" s="91">
        <v>40</v>
      </c>
      <c r="L43" s="91">
        <v>48.059532165527344</v>
      </c>
      <c r="M43" s="91">
        <v>0</v>
      </c>
      <c r="N43" s="91">
        <v>0</v>
      </c>
      <c r="O43" s="91">
        <v>28.275100708007812</v>
      </c>
      <c r="P43" s="91">
        <v>0.05000000074505806</v>
      </c>
      <c r="Q43" s="91">
        <v>0.20775462687015533</v>
      </c>
      <c r="R43" s="91">
        <v>0.00020944213611073792</v>
      </c>
      <c r="S43" s="91">
        <v>0</v>
      </c>
      <c r="T43" s="91">
        <v>0</v>
      </c>
      <c r="U43" s="108">
        <v>0</v>
      </c>
      <c r="V43" s="116">
        <v>0</v>
      </c>
      <c r="W43" s="117">
        <v>99.9819107055664</v>
      </c>
      <c r="X43" s="108">
        <v>16.87282943725586</v>
      </c>
      <c r="Y43" s="108">
        <v>30</v>
      </c>
      <c r="Z43" s="108">
        <v>75.59896087646484</v>
      </c>
      <c r="AA43" s="108">
        <v>18.09895896911621</v>
      </c>
      <c r="AB43" s="108">
        <v>21.94552993774414</v>
      </c>
      <c r="AC43" s="108">
        <v>30</v>
      </c>
      <c r="AD43" s="108">
        <v>76.8967056274414</v>
      </c>
      <c r="AE43" s="95">
        <v>22.117332458496094</v>
      </c>
      <c r="AF43" s="95">
        <v>68.35395050048828</v>
      </c>
      <c r="AG43" s="95"/>
      <c r="AH43" s="95">
        <v>0</v>
      </c>
      <c r="AI43" s="95">
        <v>0</v>
      </c>
      <c r="AJ43" s="95">
        <v>0</v>
      </c>
      <c r="AK43" s="95">
        <v>85.09838104248047</v>
      </c>
      <c r="AL43" s="96">
        <v>58.64004898071289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0.54166666666666596</v>
      </c>
      <c r="C44" s="91">
        <v>0</v>
      </c>
      <c r="D44" s="91">
        <v>3.4239292290294543E-06</v>
      </c>
      <c r="E44" s="91">
        <v>81.4453125</v>
      </c>
      <c r="F44" s="91"/>
      <c r="G44" s="91"/>
      <c r="H44" s="91">
        <v>0</v>
      </c>
      <c r="I44" s="91">
        <v>0</v>
      </c>
      <c r="J44" s="91">
        <v>25.01085090637207</v>
      </c>
      <c r="K44" s="91">
        <v>40</v>
      </c>
      <c r="L44" s="91">
        <v>46.82074737548828</v>
      </c>
      <c r="M44" s="91">
        <v>0</v>
      </c>
      <c r="N44" s="91">
        <v>0</v>
      </c>
      <c r="O44" s="91">
        <v>29.070817947387695</v>
      </c>
      <c r="P44" s="91">
        <v>0.05000000074505806</v>
      </c>
      <c r="Q44" s="91">
        <v>0.2092013955116272</v>
      </c>
      <c r="R44" s="91">
        <v>0.00021000670676585287</v>
      </c>
      <c r="S44" s="91">
        <v>0</v>
      </c>
      <c r="T44" s="91">
        <v>0</v>
      </c>
      <c r="U44" s="108">
        <v>0</v>
      </c>
      <c r="V44" s="116">
        <v>0</v>
      </c>
      <c r="W44" s="117">
        <v>94.27806854248047</v>
      </c>
      <c r="X44" s="108">
        <v>18.50043296813965</v>
      </c>
      <c r="Y44" s="108">
        <v>33</v>
      </c>
      <c r="Z44" s="108">
        <v>83.64583587646484</v>
      </c>
      <c r="AA44" s="108">
        <v>11.507162094116211</v>
      </c>
      <c r="AB44" s="108">
        <v>92.54015350341797</v>
      </c>
      <c r="AC44" s="108">
        <v>33</v>
      </c>
      <c r="AD44" s="108">
        <v>85.36458587646484</v>
      </c>
      <c r="AE44" s="95">
        <v>20.672380447387695</v>
      </c>
      <c r="AF44" s="95">
        <v>22.99262237548828</v>
      </c>
      <c r="AG44" s="95"/>
      <c r="AH44" s="95">
        <v>0</v>
      </c>
      <c r="AI44" s="95">
        <v>0</v>
      </c>
      <c r="AJ44" s="95">
        <v>0</v>
      </c>
      <c r="AK44" s="95">
        <v>85.14540100097656</v>
      </c>
      <c r="AL44" s="96">
        <v>58.3304443359375</v>
      </c>
      <c r="AM44" s="118"/>
      <c r="AN44" s="109">
        <v>0.05999999865889549</v>
      </c>
      <c r="AO44" s="95"/>
      <c r="AP44" s="95"/>
      <c r="AQ44" s="95"/>
      <c r="AR44" s="99"/>
    </row>
    <row r="45" spans="2:44" ht="13.5" customHeight="1" x14ac:dyDescent="0.25">
      <c r="B45" s="14">
        <v>0.58333333333333304</v>
      </c>
      <c r="C45" s="91">
        <v>0</v>
      </c>
      <c r="D45" s="91">
        <v>9.69171537690272E-07</v>
      </c>
      <c r="E45" s="91">
        <v>45.65972137451172</v>
      </c>
      <c r="F45" s="91"/>
      <c r="G45" s="91"/>
      <c r="H45" s="91">
        <v>0</v>
      </c>
      <c r="I45" s="91">
        <v>0</v>
      </c>
      <c r="J45" s="91">
        <v>25.517215728759766</v>
      </c>
      <c r="K45" s="91">
        <v>40</v>
      </c>
      <c r="L45" s="91">
        <v>46.477142333984375</v>
      </c>
      <c r="M45" s="91">
        <v>0</v>
      </c>
      <c r="N45" s="91">
        <v>0</v>
      </c>
      <c r="O45" s="91">
        <v>29.73090171813965</v>
      </c>
      <c r="P45" s="91">
        <v>0.05000000074505806</v>
      </c>
      <c r="Q45" s="91">
        <v>0.20912905037403107</v>
      </c>
      <c r="R45" s="91">
        <v>0.00021035003010183573</v>
      </c>
      <c r="S45" s="91">
        <v>0</v>
      </c>
      <c r="T45" s="91">
        <v>0</v>
      </c>
      <c r="U45" s="108">
        <v>0</v>
      </c>
      <c r="V45" s="116">
        <v>0</v>
      </c>
      <c r="W45" s="117">
        <v>96.54586029052734</v>
      </c>
      <c r="X45" s="108">
        <v>18.475114822387695</v>
      </c>
      <c r="Y45" s="108">
        <v>33</v>
      </c>
      <c r="Z45" s="108">
        <v>83.8107681274414</v>
      </c>
      <c r="AA45" s="108">
        <v>14.143880844116211</v>
      </c>
      <c r="AB45" s="108">
        <v>69.47157287597656</v>
      </c>
      <c r="AC45" s="108">
        <v>33</v>
      </c>
      <c r="AD45" s="108">
        <v>85.31684112548828</v>
      </c>
      <c r="AE45" s="95">
        <v>19.847728729248047</v>
      </c>
      <c r="AF45" s="95">
        <v>22.52061653137207</v>
      </c>
      <c r="AG45" s="95"/>
      <c r="AH45" s="95">
        <v>0</v>
      </c>
      <c r="AI45" s="95">
        <v>0</v>
      </c>
      <c r="AJ45" s="95">
        <v>0</v>
      </c>
      <c r="AK45" s="95">
        <v>85.17794799804688</v>
      </c>
      <c r="AL45" s="96">
        <v>57.96296691894531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0.625</v>
      </c>
      <c r="C46" s="91">
        <v>0</v>
      </c>
      <c r="D46" s="91">
        <v>4.961490844834771E-07</v>
      </c>
      <c r="E46" s="91">
        <v>62.91232681274414</v>
      </c>
      <c r="F46" s="91"/>
      <c r="G46" s="91"/>
      <c r="H46" s="91">
        <v>0</v>
      </c>
      <c r="I46" s="91">
        <v>0</v>
      </c>
      <c r="J46" s="91">
        <v>25.969327926635742</v>
      </c>
      <c r="K46" s="91">
        <v>40</v>
      </c>
      <c r="L46" s="91">
        <v>46.49522399902344</v>
      </c>
      <c r="M46" s="91">
        <v>0</v>
      </c>
      <c r="N46" s="91">
        <v>0</v>
      </c>
      <c r="O46" s="91">
        <v>30.291521072387695</v>
      </c>
      <c r="P46" s="91">
        <v>0.05000000074505806</v>
      </c>
      <c r="Q46" s="91">
        <v>0.20912905037403107</v>
      </c>
      <c r="R46" s="91">
        <v>0.0002097015385515988</v>
      </c>
      <c r="S46" s="91">
        <v>0</v>
      </c>
      <c r="T46" s="91">
        <v>0</v>
      </c>
      <c r="U46" s="108">
        <v>0</v>
      </c>
      <c r="V46" s="116">
        <v>0</v>
      </c>
      <c r="W46" s="117">
        <v>93.55830383300781</v>
      </c>
      <c r="X46" s="108">
        <v>17.592592239379883</v>
      </c>
      <c r="Y46" s="108">
        <v>33</v>
      </c>
      <c r="Z46" s="108">
        <v>83.15104675292969</v>
      </c>
      <c r="AA46" s="108">
        <v>13.88888931274414</v>
      </c>
      <c r="AB46" s="108">
        <v>61.5342903137207</v>
      </c>
      <c r="AC46" s="108">
        <v>33</v>
      </c>
      <c r="AD46" s="108">
        <v>85.38195037841797</v>
      </c>
      <c r="AE46" s="95">
        <v>19.328702926635742</v>
      </c>
      <c r="AF46" s="95">
        <v>21.93467903137207</v>
      </c>
      <c r="AG46" s="95"/>
      <c r="AH46" s="95">
        <v>0</v>
      </c>
      <c r="AI46" s="95">
        <v>0</v>
      </c>
      <c r="AJ46" s="95">
        <v>0.0001011741187539883</v>
      </c>
      <c r="AK46" s="95">
        <v>85.17794799804688</v>
      </c>
      <c r="AL46" s="96">
        <v>57.404518127441406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0.66666666666666596</v>
      </c>
      <c r="C47" s="91">
        <v>0</v>
      </c>
      <c r="D47" s="91">
        <v>0</v>
      </c>
      <c r="E47" s="91">
        <v>66.81134033203125</v>
      </c>
      <c r="F47" s="91"/>
      <c r="G47" s="91"/>
      <c r="H47" s="91">
        <v>0</v>
      </c>
      <c r="I47" s="91">
        <v>0</v>
      </c>
      <c r="J47" s="91">
        <v>26.47569465637207</v>
      </c>
      <c r="K47" s="91">
        <v>40</v>
      </c>
      <c r="L47" s="91">
        <v>46.89308547973633</v>
      </c>
      <c r="M47" s="91">
        <v>0</v>
      </c>
      <c r="N47" s="91">
        <v>0</v>
      </c>
      <c r="O47" s="91">
        <v>30.743633270263672</v>
      </c>
      <c r="P47" s="91">
        <v>0.05000000074505806</v>
      </c>
      <c r="Q47" s="91">
        <v>0.20992477238178253</v>
      </c>
      <c r="R47" s="91">
        <v>0.00020978164684493095</v>
      </c>
      <c r="S47" s="91">
        <v>0</v>
      </c>
      <c r="T47" s="91">
        <v>0</v>
      </c>
      <c r="U47" s="108">
        <v>0</v>
      </c>
      <c r="V47" s="116">
        <v>0</v>
      </c>
      <c r="W47" s="117">
        <v>99.97467803955078</v>
      </c>
      <c r="X47" s="108">
        <v>17.12239646911621</v>
      </c>
      <c r="Y47" s="108">
        <v>33</v>
      </c>
      <c r="Z47" s="108">
        <v>82.87760925292969</v>
      </c>
      <c r="AA47" s="108">
        <v>13.623047828674316</v>
      </c>
      <c r="AB47" s="108">
        <v>57.41645050048828</v>
      </c>
      <c r="AC47" s="108">
        <v>33</v>
      </c>
      <c r="AD47" s="108">
        <v>85.0607681274414</v>
      </c>
      <c r="AE47" s="95">
        <v>19.033926010131836</v>
      </c>
      <c r="AF47" s="95">
        <v>21.70138931274414</v>
      </c>
      <c r="AG47" s="95"/>
      <c r="AH47" s="95">
        <v>0</v>
      </c>
      <c r="AI47" s="95">
        <v>0</v>
      </c>
      <c r="AJ47" s="95">
        <v>0</v>
      </c>
      <c r="AK47" s="95">
        <v>85.19603729248047</v>
      </c>
      <c r="AL47" s="96">
        <v>56.73900604248047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0.70833333333333304</v>
      </c>
      <c r="C48" s="91">
        <v>0</v>
      </c>
      <c r="D48" s="91">
        <v>4.072904630447738E-06</v>
      </c>
      <c r="E48" s="91">
        <v>68.00492095947266</v>
      </c>
      <c r="F48" s="91"/>
      <c r="G48" s="91"/>
      <c r="H48" s="91">
        <v>0</v>
      </c>
      <c r="I48" s="91">
        <v>0</v>
      </c>
      <c r="J48" s="91">
        <v>26.864511489868164</v>
      </c>
      <c r="K48" s="91">
        <v>40</v>
      </c>
      <c r="L48" s="91">
        <v>47.38136672973633</v>
      </c>
      <c r="M48" s="91">
        <v>0</v>
      </c>
      <c r="N48" s="91">
        <v>0</v>
      </c>
      <c r="O48" s="91">
        <v>31.014902114868164</v>
      </c>
      <c r="P48" s="91">
        <v>0.05000000074505806</v>
      </c>
      <c r="Q48" s="91">
        <v>0.2083333283662796</v>
      </c>
      <c r="R48" s="91">
        <v>0.00020891951862722635</v>
      </c>
      <c r="S48" s="91">
        <v>0</v>
      </c>
      <c r="T48" s="91">
        <v>0</v>
      </c>
      <c r="U48" s="108">
        <v>0</v>
      </c>
      <c r="V48" s="116">
        <v>0</v>
      </c>
      <c r="W48" s="117">
        <v>99.9782943725586</v>
      </c>
      <c r="X48" s="108">
        <v>18.95616340637207</v>
      </c>
      <c r="Y48" s="108">
        <v>33</v>
      </c>
      <c r="Z48" s="108">
        <v>83.69792175292969</v>
      </c>
      <c r="AA48" s="108">
        <v>13.53624153137207</v>
      </c>
      <c r="AB48" s="108">
        <v>54.43793487548828</v>
      </c>
      <c r="AC48" s="108">
        <v>33</v>
      </c>
      <c r="AD48" s="108">
        <v>84.96527862548828</v>
      </c>
      <c r="AE48" s="95">
        <v>18.871166229248047</v>
      </c>
      <c r="AF48" s="95">
        <v>21.59288215637207</v>
      </c>
      <c r="AG48" s="95"/>
      <c r="AH48" s="95">
        <v>0</v>
      </c>
      <c r="AI48" s="95">
        <v>0</v>
      </c>
      <c r="AJ48" s="95">
        <v>0</v>
      </c>
      <c r="AK48" s="95">
        <v>85.2032699584961</v>
      </c>
      <c r="AL48" s="96">
        <v>55.998268127441406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0.75</v>
      </c>
      <c r="C49" s="91">
        <v>0</v>
      </c>
      <c r="D49" s="91">
        <v>1.2612342459306092E-07</v>
      </c>
      <c r="E49" s="91">
        <v>101.7071762084961</v>
      </c>
      <c r="F49" s="91"/>
      <c r="G49" s="91"/>
      <c r="H49" s="91">
        <v>0</v>
      </c>
      <c r="I49" s="91">
        <v>0</v>
      </c>
      <c r="J49" s="91">
        <v>27.20811653137207</v>
      </c>
      <c r="K49" s="91">
        <v>40</v>
      </c>
      <c r="L49" s="91">
        <v>47.87868881225586</v>
      </c>
      <c r="M49" s="91">
        <v>0</v>
      </c>
      <c r="N49" s="91">
        <v>0</v>
      </c>
      <c r="O49" s="91">
        <v>31.186704635620117</v>
      </c>
      <c r="P49" s="91">
        <v>0.05000000074505806</v>
      </c>
      <c r="Q49" s="91">
        <v>0.2113715261220932</v>
      </c>
      <c r="R49" s="91">
        <v>0.00020969772594980896</v>
      </c>
      <c r="S49" s="91">
        <v>0</v>
      </c>
      <c r="T49" s="91">
        <v>0</v>
      </c>
      <c r="U49" s="108">
        <v>0</v>
      </c>
      <c r="V49" s="116">
        <v>0</v>
      </c>
      <c r="W49" s="117">
        <v>96.30352783203125</v>
      </c>
      <c r="X49" s="108">
        <v>19.34678840637207</v>
      </c>
      <c r="Y49" s="108">
        <v>33</v>
      </c>
      <c r="Z49" s="108">
        <v>83.51129150390625</v>
      </c>
      <c r="AA49" s="108">
        <v>13.519966125488281</v>
      </c>
      <c r="AB49" s="108">
        <v>52.907989501953125</v>
      </c>
      <c r="AC49" s="108">
        <v>33</v>
      </c>
      <c r="AD49" s="108">
        <v>85.30382537841797</v>
      </c>
      <c r="AE49" s="95">
        <v>18.56553840637207</v>
      </c>
      <c r="AF49" s="95">
        <v>21.365018844604492</v>
      </c>
      <c r="AG49" s="95"/>
      <c r="AH49" s="95">
        <v>0</v>
      </c>
      <c r="AI49" s="95">
        <v>0</v>
      </c>
      <c r="AJ49" s="95">
        <v>0</v>
      </c>
      <c r="AK49" s="95">
        <v>85.21411895751953</v>
      </c>
      <c r="AL49" s="96">
        <v>55.28067398071289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0.79166666666666696</v>
      </c>
      <c r="C50" s="91">
        <v>0</v>
      </c>
      <c r="D50" s="91">
        <v>8.687973149790196E-07</v>
      </c>
      <c r="E50" s="91">
        <v>79.36920928955078</v>
      </c>
      <c r="F50" s="91"/>
      <c r="G50" s="91"/>
      <c r="H50" s="91">
        <v>0</v>
      </c>
      <c r="I50" s="91">
        <v>0</v>
      </c>
      <c r="J50" s="91">
        <v>27.488426208496094</v>
      </c>
      <c r="K50" s="91">
        <v>40</v>
      </c>
      <c r="L50" s="91">
        <v>48.466434478759766</v>
      </c>
      <c r="M50" s="91">
        <v>0</v>
      </c>
      <c r="N50" s="91">
        <v>0</v>
      </c>
      <c r="O50" s="91">
        <v>31.19574546813965</v>
      </c>
      <c r="P50" s="91">
        <v>0.05000000074505806</v>
      </c>
      <c r="Q50" s="91">
        <v>0.15053530037403107</v>
      </c>
      <c r="R50" s="91">
        <v>0.00018998337327502668</v>
      </c>
      <c r="S50" s="91">
        <v>0</v>
      </c>
      <c r="T50" s="91">
        <v>0</v>
      </c>
      <c r="U50" s="108">
        <v>0</v>
      </c>
      <c r="V50" s="116">
        <v>0</v>
      </c>
      <c r="W50" s="117">
        <v>92.64684295654297</v>
      </c>
      <c r="X50" s="108">
        <v>18.290653228759766</v>
      </c>
      <c r="Y50" s="108">
        <v>50</v>
      </c>
      <c r="Z50" s="108">
        <v>123.8758773803711</v>
      </c>
      <c r="AA50" s="108">
        <v>13.308377265930176</v>
      </c>
      <c r="AB50" s="108">
        <v>51.643882751464844</v>
      </c>
      <c r="AC50" s="108">
        <v>50</v>
      </c>
      <c r="AD50" s="108">
        <v>123.78472900390625</v>
      </c>
      <c r="AE50" s="95">
        <v>18.091724395751953</v>
      </c>
      <c r="AF50" s="95">
        <v>21.012371063232422</v>
      </c>
      <c r="AG50" s="95"/>
      <c r="AH50" s="95">
        <v>0</v>
      </c>
      <c r="AI50" s="95">
        <v>0</v>
      </c>
      <c r="AJ50" s="95">
        <v>0</v>
      </c>
      <c r="AK50" s="95">
        <v>85.1851806640625</v>
      </c>
      <c r="AL50" s="96">
        <v>54.606483459472656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14">
        <v>0.83333333333333304</v>
      </c>
      <c r="C51" s="100">
        <v>0</v>
      </c>
      <c r="D51" s="100">
        <v>9.849071602729964E-07</v>
      </c>
      <c r="E51" s="100">
        <v>85.3804931640625</v>
      </c>
      <c r="F51" s="100"/>
      <c r="G51" s="100"/>
      <c r="H51" s="100">
        <v>0</v>
      </c>
      <c r="I51" s="100">
        <v>0</v>
      </c>
      <c r="J51" s="100">
        <v>27.660228729248047</v>
      </c>
      <c r="K51" s="100">
        <v>40</v>
      </c>
      <c r="L51" s="100">
        <v>50.202545166015625</v>
      </c>
      <c r="M51" s="100">
        <v>0</v>
      </c>
      <c r="N51" s="100">
        <v>0</v>
      </c>
      <c r="O51" s="100">
        <v>30.861183166503906</v>
      </c>
      <c r="P51" s="100">
        <v>0.05000000074505806</v>
      </c>
      <c r="Q51" s="100">
        <v>0.1041666641831398</v>
      </c>
      <c r="R51" s="100">
        <v>0.00014017868670634925</v>
      </c>
      <c r="S51" s="100">
        <v>0</v>
      </c>
      <c r="T51" s="100">
        <v>0</v>
      </c>
      <c r="U51" s="111">
        <v>0</v>
      </c>
      <c r="V51" s="119">
        <v>0</v>
      </c>
      <c r="W51" s="120">
        <v>97.47178649902344</v>
      </c>
      <c r="X51" s="111">
        <v>17.592592239379883</v>
      </c>
      <c r="Y51" s="111">
        <v>50</v>
      </c>
      <c r="Z51" s="111">
        <v>123.88021087646484</v>
      </c>
      <c r="AA51" s="111">
        <v>13.004557609558105</v>
      </c>
      <c r="AB51" s="111">
        <v>50.52626037597656</v>
      </c>
      <c r="AC51" s="111">
        <v>50</v>
      </c>
      <c r="AD51" s="111">
        <v>123.78907012939453</v>
      </c>
      <c r="AE51" s="104">
        <v>17.737268447875977</v>
      </c>
      <c r="AF51" s="104">
        <v>20.70855140686035</v>
      </c>
      <c r="AG51" s="104"/>
      <c r="AH51" s="104">
        <v>0</v>
      </c>
      <c r="AI51" s="104">
        <v>0</v>
      </c>
      <c r="AJ51" s="104">
        <v>0</v>
      </c>
      <c r="AK51" s="104">
        <v>85.15986633300781</v>
      </c>
      <c r="AL51" s="105">
        <v>53.85416793823242</v>
      </c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19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19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226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91">
        <v>6.875723361968994</v>
      </c>
      <c r="D6" s="91">
        <v>22.14084243774414</v>
      </c>
      <c r="E6" s="91">
        <v>417.5396423339844</v>
      </c>
      <c r="F6" s="91"/>
      <c r="G6" s="91"/>
      <c r="H6" s="92">
        <v>417.4065856933594</v>
      </c>
      <c r="I6" s="93">
        <v>22.583911895751953</v>
      </c>
      <c r="J6" s="91"/>
      <c r="K6" s="91">
        <v>44.755496978759766</v>
      </c>
      <c r="L6" s="91">
        <v>1.401548147201538</v>
      </c>
      <c r="M6" s="91">
        <v>111.6916275024414</v>
      </c>
      <c r="N6" s="91">
        <v>112.41319274902344</v>
      </c>
      <c r="O6" s="91">
        <v>20.361408233642578</v>
      </c>
      <c r="P6" s="91"/>
      <c r="Q6" s="91"/>
      <c r="R6" s="91"/>
      <c r="S6" s="91">
        <v>139.64120483398438</v>
      </c>
      <c r="T6" s="91">
        <v>1.6100000143051147</v>
      </c>
      <c r="U6" s="91">
        <v>0.3023143708705902</v>
      </c>
      <c r="V6" s="91"/>
      <c r="W6" s="91">
        <v>90.61776733398438</v>
      </c>
      <c r="X6" s="91">
        <v>0.5303882360458374</v>
      </c>
      <c r="Y6" s="91" t="s">
        <v>4</v>
      </c>
      <c r="Z6" s="91">
        <v>0.7150463461875916</v>
      </c>
      <c r="AA6" s="91">
        <v>149.97830200195312</v>
      </c>
      <c r="AB6" s="91">
        <v>163.58506774902344</v>
      </c>
      <c r="AC6" s="91">
        <v>0.32754629850387573</v>
      </c>
      <c r="AD6" s="91">
        <v>155.5627899169922</v>
      </c>
      <c r="AE6" s="94">
        <v>33.95000076293945</v>
      </c>
      <c r="AF6" s="94"/>
      <c r="AG6" s="94"/>
      <c r="AH6" s="94">
        <v>17.3700008392334</v>
      </c>
      <c r="AI6" s="94"/>
      <c r="AJ6" s="94"/>
      <c r="AK6" s="94">
        <v>6.730000019073486</v>
      </c>
      <c r="AL6" s="91">
        <v>18.702980041503906</v>
      </c>
      <c r="AM6" s="95"/>
      <c r="AN6" s="96">
        <v>52.91160202026367</v>
      </c>
      <c r="AO6" s="97"/>
      <c r="AP6" s="98">
        <v>-80.36024475097656</v>
      </c>
      <c r="AQ6" s="98">
        <v>0.2914496660232544</v>
      </c>
      <c r="AR6" s="99"/>
    </row>
    <row r="7" spans="2:47" ht="13.5" customHeight="1" x14ac:dyDescent="0.25">
      <c r="B7" s="14">
        <v>0.875</v>
      </c>
      <c r="C7" s="91">
        <v>7.729310989379883</v>
      </c>
      <c r="D7" s="91">
        <v>21.49522590637207</v>
      </c>
      <c r="E7" s="91">
        <v>417.45343017578125</v>
      </c>
      <c r="F7" s="91">
        <v>0.3369140625</v>
      </c>
      <c r="G7" s="91">
        <v>0</v>
      </c>
      <c r="H7" s="92">
        <v>417.6575622558594</v>
      </c>
      <c r="I7" s="93">
        <v>21.469907760620117</v>
      </c>
      <c r="J7" s="91">
        <v>0.02041601575911045</v>
      </c>
      <c r="K7" s="91">
        <v>45.22569274902344</v>
      </c>
      <c r="L7" s="91">
        <v>1.4224356412887573</v>
      </c>
      <c r="M7" s="91">
        <v>109.14714050292969</v>
      </c>
      <c r="N7" s="91">
        <v>114.39525604248047</v>
      </c>
      <c r="O7" s="91">
        <v>19.866451263427734</v>
      </c>
      <c r="P7" s="91">
        <v>20.18017578125</v>
      </c>
      <c r="Q7" s="91"/>
      <c r="R7" s="91">
        <v>2.4195556640625</v>
      </c>
      <c r="S7" s="91">
        <v>139.6773681640625</v>
      </c>
      <c r="T7" s="91">
        <v>1.6100000143051147</v>
      </c>
      <c r="U7" s="91">
        <v>0.2966558635234833</v>
      </c>
      <c r="V7" s="91">
        <v>0.3000234365463257</v>
      </c>
      <c r="W7" s="91">
        <v>90.53819274902344</v>
      </c>
      <c r="X7" s="91">
        <v>0.5273143649101257</v>
      </c>
      <c r="Y7" s="91" t="s">
        <v>82</v>
      </c>
      <c r="Z7" s="91">
        <v>0.7400463223457336</v>
      </c>
      <c r="AA7" s="91">
        <v>150.057861328125</v>
      </c>
      <c r="AB7" s="91">
        <v>163.32464599609375</v>
      </c>
      <c r="AC7" s="91">
        <v>0.3240740895271301</v>
      </c>
      <c r="AD7" s="91">
        <v>155.97511291503906</v>
      </c>
      <c r="AE7" s="94"/>
      <c r="AF7" s="94"/>
      <c r="AG7" s="94"/>
      <c r="AH7" s="94"/>
      <c r="AI7" s="94"/>
      <c r="AJ7" s="94"/>
      <c r="AK7" s="94"/>
      <c r="AL7" s="91">
        <v>40.165653228759766</v>
      </c>
      <c r="AM7" s="95">
        <v>0.02736816368997097</v>
      </c>
      <c r="AN7" s="96">
        <v>59.97901916503906</v>
      </c>
      <c r="AO7" s="97"/>
      <c r="AP7" s="98">
        <v>-78.47945404052734</v>
      </c>
      <c r="AQ7" s="98">
        <v>0.29636862874031067</v>
      </c>
      <c r="AR7" s="99">
        <v>0.0002922058047261089</v>
      </c>
    </row>
    <row r="8" spans="2:47" ht="13.5" customHeight="1" x14ac:dyDescent="0.25">
      <c r="B8" s="41" t="s">
        <v>271</v>
      </c>
      <c r="C8" s="91">
        <v>6.698495388031006</v>
      </c>
      <c r="D8" s="91">
        <v>21.072050094604492</v>
      </c>
      <c r="E8" s="91">
        <v>417.4116516113281</v>
      </c>
      <c r="F8" s="91">
        <v>0.2674609422683716</v>
      </c>
      <c r="G8" s="91">
        <v>0</v>
      </c>
      <c r="H8" s="92">
        <v>417.93072509765625</v>
      </c>
      <c r="I8" s="93">
        <v>25.318286895751953</v>
      </c>
      <c r="J8" s="91">
        <v>0.019810546189546585</v>
      </c>
      <c r="K8" s="91">
        <v>43.51128387451172</v>
      </c>
      <c r="L8" s="91">
        <v>1.367006778717041</v>
      </c>
      <c r="M8" s="91">
        <v>110.5685806274414</v>
      </c>
      <c r="N8" s="91">
        <v>112.41319274902344</v>
      </c>
      <c r="O8" s="91">
        <v>19.58903694152832</v>
      </c>
      <c r="P8" s="91">
        <v>20.1572265625</v>
      </c>
      <c r="Q8" s="91"/>
      <c r="R8" s="91">
        <v>2.4327392578125</v>
      </c>
      <c r="S8" s="91">
        <v>139.73524475097656</v>
      </c>
      <c r="T8" s="91">
        <v>1.6100000143051147</v>
      </c>
      <c r="U8" s="91">
        <v>0.29304826259613037</v>
      </c>
      <c r="V8" s="91">
        <v>0.299742192029953</v>
      </c>
      <c r="W8" s="91">
        <v>90.35734558105469</v>
      </c>
      <c r="X8" s="91">
        <v>0.5309028029441833</v>
      </c>
      <c r="Y8" s="91" t="s">
        <v>82</v>
      </c>
      <c r="Z8" s="91">
        <v>0.7372685670852661</v>
      </c>
      <c r="AA8" s="91">
        <v>149.69618225097656</v>
      </c>
      <c r="AB8" s="91">
        <v>162.9918975830078</v>
      </c>
      <c r="AC8" s="91">
        <v>0.447265625</v>
      </c>
      <c r="AD8" s="91">
        <v>155.859375</v>
      </c>
      <c r="AE8" s="94"/>
      <c r="AF8" s="94"/>
      <c r="AG8" s="94"/>
      <c r="AH8" s="94"/>
      <c r="AI8" s="94"/>
      <c r="AJ8" s="94"/>
      <c r="AK8" s="94"/>
      <c r="AL8" s="91">
        <v>85.546875</v>
      </c>
      <c r="AM8" s="95">
        <v>0.026894042268395424</v>
      </c>
      <c r="AN8" s="96">
        <v>57.79441452026367</v>
      </c>
      <c r="AO8" s="97"/>
      <c r="AP8" s="98">
        <v>-80.90277862548828</v>
      </c>
      <c r="AQ8" s="98">
        <v>0.28544560074806213</v>
      </c>
      <c r="AR8" s="99">
        <v>0.0002936401288025081</v>
      </c>
    </row>
    <row r="9" spans="2:47" ht="13.5" customHeight="1" x14ac:dyDescent="0.25">
      <c r="B9" s="14">
        <v>0.95833333333333337</v>
      </c>
      <c r="C9" s="91">
        <v>7.530381679534912</v>
      </c>
      <c r="D9" s="91">
        <v>20.57834243774414</v>
      </c>
      <c r="E9" s="91">
        <v>417.76287841796875</v>
      </c>
      <c r="F9" s="91">
        <v>0.3364843726158142</v>
      </c>
      <c r="G9" s="91">
        <v>0</v>
      </c>
      <c r="H9" s="92">
        <v>418.2594299316406</v>
      </c>
      <c r="I9" s="93">
        <v>18.98871612548828</v>
      </c>
      <c r="J9" s="91">
        <v>0.019800780341029167</v>
      </c>
      <c r="K9" s="91">
        <v>46.122684478759766</v>
      </c>
      <c r="L9" s="91">
        <v>1.4511899948120117</v>
      </c>
      <c r="M9" s="91">
        <v>107.34049987792969</v>
      </c>
      <c r="N9" s="91">
        <v>111.61024475097656</v>
      </c>
      <c r="O9" s="91">
        <v>19.977712631225586</v>
      </c>
      <c r="P9" s="91">
        <v>20.1689453125</v>
      </c>
      <c r="Q9" s="91"/>
      <c r="R9" s="91">
        <v>2.473876953125</v>
      </c>
      <c r="S9" s="91">
        <v>139.6050262451172</v>
      </c>
      <c r="T9" s="91">
        <v>1.6100000143051147</v>
      </c>
      <c r="U9" s="91">
        <v>0.29961204528808594</v>
      </c>
      <c r="V9" s="91">
        <v>0.2998906373977661</v>
      </c>
      <c r="W9" s="91">
        <v>90.53819274902344</v>
      </c>
      <c r="X9" s="91">
        <v>0.5312145948410034</v>
      </c>
      <c r="Y9" s="91" t="s">
        <v>82</v>
      </c>
      <c r="Z9" s="91">
        <v>0.7312500476837158</v>
      </c>
      <c r="AA9" s="91">
        <v>149.75404357910156</v>
      </c>
      <c r="AB9" s="91">
        <v>163.1872100830078</v>
      </c>
      <c r="AC9" s="91">
        <v>0.33807146549224854</v>
      </c>
      <c r="AD9" s="91">
        <v>155.72915649414062</v>
      </c>
      <c r="AE9" s="94"/>
      <c r="AF9" s="94"/>
      <c r="AG9" s="94"/>
      <c r="AH9" s="94"/>
      <c r="AI9" s="94"/>
      <c r="AJ9" s="94"/>
      <c r="AK9" s="94"/>
      <c r="AL9" s="91">
        <v>0</v>
      </c>
      <c r="AM9" s="95">
        <v>0.02459082007408142</v>
      </c>
      <c r="AN9" s="96">
        <v>55.98958206176758</v>
      </c>
      <c r="AO9" s="97"/>
      <c r="AP9" s="98">
        <v>-80.49044799804688</v>
      </c>
      <c r="AQ9" s="98">
        <v>0.29130497574806213</v>
      </c>
      <c r="AR9" s="99">
        <v>0.000291267380816862</v>
      </c>
    </row>
    <row r="10" spans="2:47" ht="13.5" customHeight="1" x14ac:dyDescent="0.25">
      <c r="B10" s="41" t="s">
        <v>272</v>
      </c>
      <c r="C10" s="91">
        <v>6.781683921813965</v>
      </c>
      <c r="D10" s="91">
        <v>20.48068618774414</v>
      </c>
      <c r="E10" s="91">
        <v>417.6963806152344</v>
      </c>
      <c r="F10" s="91">
        <v>0.26710936427116394</v>
      </c>
      <c r="G10" s="91">
        <v>0</v>
      </c>
      <c r="H10" s="92">
        <v>418.3782653808594</v>
      </c>
      <c r="I10" s="93">
        <v>18.330440521240234</v>
      </c>
      <c r="J10" s="91">
        <v>0.019837889820337296</v>
      </c>
      <c r="K10" s="91">
        <v>44.61082077026367</v>
      </c>
      <c r="L10" s="91">
        <v>1.3877134323120117</v>
      </c>
      <c r="M10" s="91">
        <v>111.35525512695312</v>
      </c>
      <c r="N10" s="91">
        <v>111.98639678955078</v>
      </c>
      <c r="O10" s="91">
        <v>19.770889282226562</v>
      </c>
      <c r="P10" s="91">
        <v>20.17041015625</v>
      </c>
      <c r="Q10" s="91"/>
      <c r="R10" s="91">
        <v>2.5184326171875</v>
      </c>
      <c r="S10" s="91">
        <v>139.6195068359375</v>
      </c>
      <c r="T10" s="91">
        <v>1.6100000143051147</v>
      </c>
      <c r="U10" s="91">
        <v>0.29572412371635437</v>
      </c>
      <c r="V10" s="91">
        <v>0.2999843657016754</v>
      </c>
      <c r="W10" s="91">
        <v>90.35011291503906</v>
      </c>
      <c r="X10" s="91">
        <v>0.53239905834198</v>
      </c>
      <c r="Y10" s="91" t="s">
        <v>82</v>
      </c>
      <c r="Z10" s="91">
        <v>0.7336806058883667</v>
      </c>
      <c r="AA10" s="91">
        <v>149.862548828125</v>
      </c>
      <c r="AB10" s="91">
        <v>163.143798828125</v>
      </c>
      <c r="AC10" s="91">
        <v>0.35083910822868347</v>
      </c>
      <c r="AD10" s="91">
        <v>155.88107299804688</v>
      </c>
      <c r="AE10" s="94"/>
      <c r="AF10" s="94"/>
      <c r="AG10" s="94"/>
      <c r="AH10" s="94"/>
      <c r="AI10" s="94"/>
      <c r="AJ10" s="94"/>
      <c r="AK10" s="94"/>
      <c r="AL10" s="91">
        <v>14.029947280883789</v>
      </c>
      <c r="AM10" s="95">
        <v>0.02208886668086052</v>
      </c>
      <c r="AN10" s="96">
        <v>54.18113327026367</v>
      </c>
      <c r="AO10" s="97"/>
      <c r="AP10" s="98">
        <v>-80.39640808105469</v>
      </c>
      <c r="AQ10" s="98">
        <v>0.29304108023643494</v>
      </c>
      <c r="AR10" s="99">
        <v>0.000292716984404251</v>
      </c>
    </row>
    <row r="11" spans="2:47" ht="13.5" customHeight="1" x14ac:dyDescent="0.25">
      <c r="B11" s="14">
        <v>4.1666666666666664E-2</v>
      </c>
      <c r="C11" s="91">
        <v>7.642505645751953</v>
      </c>
      <c r="D11" s="91">
        <v>20.182292938232422</v>
      </c>
      <c r="E11" s="91">
        <v>417.99493408203125</v>
      </c>
      <c r="F11" s="91">
        <v>0.33623436093330383</v>
      </c>
      <c r="G11" s="91">
        <v>0</v>
      </c>
      <c r="H11" s="92">
        <v>418.6884765625</v>
      </c>
      <c r="I11" s="93">
        <v>25.9765625</v>
      </c>
      <c r="J11" s="91">
        <v>0.019763672724366188</v>
      </c>
      <c r="K11" s="91">
        <v>43.229164123535156</v>
      </c>
      <c r="L11" s="91">
        <v>1.335087537765503</v>
      </c>
      <c r="M11" s="91">
        <v>109.5431900024414</v>
      </c>
      <c r="N11" s="91">
        <v>112.4493637084961</v>
      </c>
      <c r="O11" s="91">
        <v>20.203189849853516</v>
      </c>
      <c r="P11" s="91">
        <v>20.181640625</v>
      </c>
      <c r="Q11" s="91"/>
      <c r="R11" s="91">
        <v>2.4906005859375</v>
      </c>
      <c r="S11" s="91">
        <v>139.59056091308594</v>
      </c>
      <c r="T11" s="91">
        <v>1.6100000143051147</v>
      </c>
      <c r="U11" s="91">
        <v>0.29905447363853455</v>
      </c>
      <c r="V11" s="91">
        <v>0.30015623569488525</v>
      </c>
      <c r="W11" s="91">
        <v>90.39351654052734</v>
      </c>
      <c r="X11" s="91">
        <v>0.5307048559188843</v>
      </c>
      <c r="Y11" s="91" t="s">
        <v>82</v>
      </c>
      <c r="Z11" s="91">
        <v>0.73587965965271</v>
      </c>
      <c r="AA11" s="91">
        <v>150.20977783203125</v>
      </c>
      <c r="AB11" s="91">
        <v>163.15103149414062</v>
      </c>
      <c r="AC11" s="91">
        <v>0.37322771549224854</v>
      </c>
      <c r="AD11" s="91">
        <v>155.721923828125</v>
      </c>
      <c r="AE11" s="94"/>
      <c r="AF11" s="94"/>
      <c r="AG11" s="94"/>
      <c r="AH11" s="94"/>
      <c r="AI11" s="94"/>
      <c r="AJ11" s="94"/>
      <c r="AK11" s="94"/>
      <c r="AL11" s="91">
        <v>0</v>
      </c>
      <c r="AM11" s="95">
        <v>0.023097656667232513</v>
      </c>
      <c r="AN11" s="96">
        <v>52.607784271240234</v>
      </c>
      <c r="AO11" s="97"/>
      <c r="AP11" s="98">
        <v>-80.33130645751953</v>
      </c>
      <c r="AQ11" s="98">
        <v>0.2801649272441864</v>
      </c>
      <c r="AR11" s="99">
        <v>0.0002918548707384616</v>
      </c>
    </row>
    <row r="12" spans="2:47" ht="13.5" customHeight="1" x14ac:dyDescent="0.25">
      <c r="B12" s="41" t="s">
        <v>273</v>
      </c>
      <c r="C12" s="91">
        <v>6.470630645751953</v>
      </c>
      <c r="D12" s="91">
        <v>20.193143844604492</v>
      </c>
      <c r="E12" s="91">
        <v>417.695556640625</v>
      </c>
      <c r="F12" s="91">
        <v>0.2676093876361847</v>
      </c>
      <c r="G12" s="91">
        <v>0</v>
      </c>
      <c r="H12" s="92">
        <v>418.480224609375</v>
      </c>
      <c r="I12" s="93">
        <v>1.6203703880310059</v>
      </c>
      <c r="J12" s="91">
        <v>0.01974511705338955</v>
      </c>
      <c r="K12" s="91">
        <v>42.89641189575195</v>
      </c>
      <c r="L12" s="91">
        <v>1.3217051029205322</v>
      </c>
      <c r="M12" s="91">
        <v>108.26280975341797</v>
      </c>
      <c r="N12" s="91">
        <v>111.24855041503906</v>
      </c>
      <c r="O12" s="91">
        <v>20.11734390258789</v>
      </c>
      <c r="P12" s="91">
        <v>20.1650390625</v>
      </c>
      <c r="Q12" s="91"/>
      <c r="R12" s="91">
        <v>2.5032958984375</v>
      </c>
      <c r="S12" s="91">
        <v>139.63397216796875</v>
      </c>
      <c r="T12" s="91">
        <v>1.6100000143051147</v>
      </c>
      <c r="U12" s="91">
        <v>0.2960556447505951</v>
      </c>
      <c r="V12" s="91">
        <v>0.29988279938697815</v>
      </c>
      <c r="W12" s="91">
        <v>90.4586181640625</v>
      </c>
      <c r="X12" s="91">
        <v>0.5323856472969055</v>
      </c>
      <c r="Y12" s="91" t="s">
        <v>82</v>
      </c>
      <c r="Z12" s="91">
        <v>0.7333333492279053</v>
      </c>
      <c r="AA12" s="91">
        <v>150.5570068359375</v>
      </c>
      <c r="AB12" s="91">
        <v>163.17274475097656</v>
      </c>
      <c r="AC12" s="91">
        <v>0.314019113779068</v>
      </c>
      <c r="AD12" s="91">
        <v>155.46151733398438</v>
      </c>
      <c r="AE12" s="94"/>
      <c r="AF12" s="94"/>
      <c r="AG12" s="94"/>
      <c r="AH12" s="94"/>
      <c r="AI12" s="94"/>
      <c r="AJ12" s="94"/>
      <c r="AK12" s="94"/>
      <c r="AL12" s="91">
        <v>18.059171676635742</v>
      </c>
      <c r="AM12" s="95">
        <v>0.025840332731604576</v>
      </c>
      <c r="AN12" s="96">
        <v>59.834346771240234</v>
      </c>
      <c r="AO12" s="97"/>
      <c r="AP12" s="98">
        <v>-80.06365966796875</v>
      </c>
      <c r="AQ12" s="98">
        <v>0.286675363779068</v>
      </c>
      <c r="AR12" s="99">
        <v>0.0002940215927083045</v>
      </c>
    </row>
    <row r="13" spans="2:47" ht="13.5" customHeight="1" x14ac:dyDescent="0.25">
      <c r="B13" s="14">
        <v>0.125</v>
      </c>
      <c r="C13" s="91">
        <v>7.298900127410889</v>
      </c>
      <c r="D13" s="91">
        <v>20.008682250976562</v>
      </c>
      <c r="E13" s="91">
        <v>417.76446533203125</v>
      </c>
      <c r="F13" s="91">
        <v>0.33631250262260437</v>
      </c>
      <c r="G13" s="91">
        <v>0</v>
      </c>
      <c r="H13" s="92">
        <v>418.49798583984375</v>
      </c>
      <c r="I13" s="93">
        <v>0</v>
      </c>
      <c r="J13" s="91">
        <v>0.019757812842726707</v>
      </c>
      <c r="K13" s="91">
        <v>44.37934112548828</v>
      </c>
      <c r="L13" s="91">
        <v>1.3761394023895264</v>
      </c>
      <c r="M13" s="91">
        <v>108.58833312988281</v>
      </c>
      <c r="N13" s="91">
        <v>111.64640808105469</v>
      </c>
      <c r="O13" s="91">
        <v>20.391128540039062</v>
      </c>
      <c r="P13" s="91">
        <v>20.17626953125</v>
      </c>
      <c r="Q13" s="91"/>
      <c r="R13" s="91">
        <v>2.5179443359375</v>
      </c>
      <c r="S13" s="91">
        <v>139.66290283203125</v>
      </c>
      <c r="T13" s="91">
        <v>1.6100000143051147</v>
      </c>
      <c r="U13" s="91">
        <v>0.3008241355419159</v>
      </c>
      <c r="V13" s="91">
        <v>0.3000156283378601</v>
      </c>
      <c r="W13" s="91">
        <v>90.54542541503906</v>
      </c>
      <c r="X13" s="91">
        <v>0.5287612080574036</v>
      </c>
      <c r="Y13" s="91" t="s">
        <v>82</v>
      </c>
      <c r="Z13" s="91">
        <v>0.7409722805023193</v>
      </c>
      <c r="AA13" s="91">
        <v>151.01995849609375</v>
      </c>
      <c r="AB13" s="91">
        <v>162.9846649169922</v>
      </c>
      <c r="AC13" s="91">
        <v>0.3733724057674408</v>
      </c>
      <c r="AD13" s="91">
        <v>155.5917205810547</v>
      </c>
      <c r="AE13" s="94"/>
      <c r="AF13" s="94"/>
      <c r="AG13" s="94"/>
      <c r="AH13" s="94"/>
      <c r="AI13" s="94"/>
      <c r="AJ13" s="94"/>
      <c r="AK13" s="94"/>
      <c r="AL13" s="91">
        <v>3.5373263359069824</v>
      </c>
      <c r="AM13" s="95">
        <v>0.02192089892923832</v>
      </c>
      <c r="AN13" s="96">
        <v>58.06568145751953</v>
      </c>
      <c r="AO13" s="97"/>
      <c r="AP13" s="98">
        <v>-80.0491943359375</v>
      </c>
      <c r="AQ13" s="98">
        <v>0.2979600727558136</v>
      </c>
      <c r="AR13" s="99">
        <v>0.00029310607351362705</v>
      </c>
    </row>
    <row r="14" spans="2:47" ht="13.5" customHeight="1" x14ac:dyDescent="0.25">
      <c r="B14" s="14">
        <v>0.16666666666666666</v>
      </c>
      <c r="C14" s="91">
        <v>6.452546119689941</v>
      </c>
      <c r="D14" s="91">
        <v>19.88389778137207</v>
      </c>
      <c r="E14" s="91">
        <v>417.7175598144531</v>
      </c>
      <c r="F14" s="91">
        <v>0.26329687237739563</v>
      </c>
      <c r="G14" s="91">
        <v>0</v>
      </c>
      <c r="H14" s="92">
        <v>418.48443603515625</v>
      </c>
      <c r="I14" s="93">
        <v>3.4686052799224854</v>
      </c>
      <c r="J14" s="91">
        <v>0.019990723580121994</v>
      </c>
      <c r="K14" s="91">
        <v>43.39554214477539</v>
      </c>
      <c r="L14" s="91">
        <v>1.3364439010620117</v>
      </c>
      <c r="M14" s="91">
        <v>110.82899475097656</v>
      </c>
      <c r="N14" s="91">
        <v>111.80555725097656</v>
      </c>
      <c r="O14" s="91">
        <v>20.306978225708008</v>
      </c>
      <c r="P14" s="91">
        <v>20.1904296875</v>
      </c>
      <c r="Q14" s="91"/>
      <c r="R14" s="91">
        <v>2.53955078125</v>
      </c>
      <c r="S14" s="91">
        <v>139.47482299804688</v>
      </c>
      <c r="T14" s="91">
        <v>1.6100000143051147</v>
      </c>
      <c r="U14" s="91">
        <v>0.2977771461009979</v>
      </c>
      <c r="V14" s="91">
        <v>0.3002578020095825</v>
      </c>
      <c r="W14" s="91">
        <v>90.24160766601562</v>
      </c>
      <c r="X14" s="91">
        <v>0.5311834216117859</v>
      </c>
      <c r="Y14" s="91" t="s">
        <v>82</v>
      </c>
      <c r="Z14" s="91">
        <v>0.7277778387069702</v>
      </c>
      <c r="AA14" s="91">
        <v>150.92591857910156</v>
      </c>
      <c r="AB14" s="91">
        <v>162.93402099609375</v>
      </c>
      <c r="AC14" s="91">
        <v>0.32273581624031067</v>
      </c>
      <c r="AD14" s="91">
        <v>155.46151733398438</v>
      </c>
      <c r="AE14" s="94"/>
      <c r="AF14" s="94"/>
      <c r="AG14" s="94"/>
      <c r="AH14" s="94"/>
      <c r="AI14" s="94"/>
      <c r="AJ14" s="94"/>
      <c r="AK14" s="94"/>
      <c r="AL14" s="91">
        <v>5.837673664093018</v>
      </c>
      <c r="AM14" s="95">
        <v>0.02147851511836052</v>
      </c>
      <c r="AN14" s="96">
        <v>56.4850959777832</v>
      </c>
      <c r="AO14" s="97"/>
      <c r="AP14" s="98">
        <v>-80.70023345947266</v>
      </c>
      <c r="AQ14" s="98">
        <v>0.290581613779068</v>
      </c>
      <c r="AR14" s="99">
        <v>0.0002934799122158438</v>
      </c>
    </row>
    <row r="15" spans="2:47" ht="13.5" customHeight="1" x14ac:dyDescent="0.25">
      <c r="B15" s="14">
        <v>0.20833333333333334</v>
      </c>
      <c r="C15" s="91">
        <v>7.4544267654418945</v>
      </c>
      <c r="D15" s="91">
        <v>19.607206344604492</v>
      </c>
      <c r="E15" s="91">
        <v>415.6802673339844</v>
      </c>
      <c r="F15" s="91">
        <v>0.3364609479904175</v>
      </c>
      <c r="G15" s="91">
        <v>0</v>
      </c>
      <c r="H15" s="92">
        <v>418.0951843261719</v>
      </c>
      <c r="I15" s="93">
        <v>1.240596055984497</v>
      </c>
      <c r="J15" s="91">
        <v>0.019789062440395355</v>
      </c>
      <c r="K15" s="91">
        <v>42.447914123535156</v>
      </c>
      <c r="L15" s="91">
        <v>1.2868924140930176</v>
      </c>
      <c r="M15" s="91">
        <v>110.52517700195312</v>
      </c>
      <c r="N15" s="91">
        <v>111.97916412353516</v>
      </c>
      <c r="O15" s="91">
        <v>20.245830535888672</v>
      </c>
      <c r="P15" s="91">
        <v>20.15185546875</v>
      </c>
      <c r="Q15" s="91"/>
      <c r="R15" s="91">
        <v>2.4837646484375</v>
      </c>
      <c r="S15" s="91">
        <v>139.3518524169922</v>
      </c>
      <c r="T15" s="91">
        <v>1.6100000143051147</v>
      </c>
      <c r="U15" s="91">
        <v>0.30217206478118896</v>
      </c>
      <c r="V15" s="91">
        <v>0.29975780844688416</v>
      </c>
      <c r="W15" s="91">
        <v>90.39351654052734</v>
      </c>
      <c r="X15" s="91">
        <v>0.5278016328811646</v>
      </c>
      <c r="Y15" s="91" t="s">
        <v>82</v>
      </c>
      <c r="Z15" s="91">
        <v>0.7312500476837158</v>
      </c>
      <c r="AA15" s="91">
        <v>151.64207458496094</v>
      </c>
      <c r="AB15" s="91">
        <v>162.51446533203125</v>
      </c>
      <c r="AC15" s="91">
        <v>0.35083910822868347</v>
      </c>
      <c r="AD15" s="91">
        <v>155.0491943359375</v>
      </c>
      <c r="AE15" s="94"/>
      <c r="AF15" s="94"/>
      <c r="AG15" s="94"/>
      <c r="AH15" s="94"/>
      <c r="AI15" s="94"/>
      <c r="AJ15" s="94"/>
      <c r="AK15" s="94"/>
      <c r="AL15" s="91">
        <v>0</v>
      </c>
      <c r="AM15" s="95">
        <v>0.016941893845796585</v>
      </c>
      <c r="AN15" s="96">
        <v>56.63338851928711</v>
      </c>
      <c r="AO15" s="97"/>
      <c r="AP15" s="98">
        <v>-80.6351318359375</v>
      </c>
      <c r="AQ15" s="98">
        <v>0.3018663227558136</v>
      </c>
      <c r="AR15" s="99">
        <v>0.00029259492293931544</v>
      </c>
    </row>
    <row r="16" spans="2:47" ht="13.5" customHeight="1" x14ac:dyDescent="0.25">
      <c r="B16" s="14">
        <v>0.25</v>
      </c>
      <c r="C16" s="91">
        <v>6.626157283782959</v>
      </c>
      <c r="D16" s="91">
        <v>19.62890625</v>
      </c>
      <c r="E16" s="91">
        <v>415.45166015625</v>
      </c>
      <c r="F16" s="91">
        <v>0.2673593759536743</v>
      </c>
      <c r="G16" s="91">
        <v>0</v>
      </c>
      <c r="H16" s="92">
        <v>417.5840148925781</v>
      </c>
      <c r="I16" s="93">
        <v>18.786169052124023</v>
      </c>
      <c r="J16" s="91">
        <v>0.02024511806666851</v>
      </c>
      <c r="K16" s="91">
        <v>46.07204818725586</v>
      </c>
      <c r="L16" s="91">
        <v>1.4542644023895264</v>
      </c>
      <c r="M16" s="91">
        <v>105.53385925292969</v>
      </c>
      <c r="N16" s="91">
        <v>110.29369354248047</v>
      </c>
      <c r="O16" s="91">
        <v>19.917539596557617</v>
      </c>
      <c r="P16" s="91">
        <v>20.21142578125</v>
      </c>
      <c r="Q16" s="91"/>
      <c r="R16" s="91">
        <v>2.56982421875</v>
      </c>
      <c r="S16" s="91">
        <v>139.59779357910156</v>
      </c>
      <c r="T16" s="91">
        <v>1.6100000143051147</v>
      </c>
      <c r="U16" s="91">
        <v>0.29592660069465637</v>
      </c>
      <c r="V16" s="91">
        <v>0.30042970180511475</v>
      </c>
      <c r="W16" s="91">
        <v>91.5509262084961</v>
      </c>
      <c r="X16" s="91">
        <v>0.5330228805541992</v>
      </c>
      <c r="Y16" s="91" t="s">
        <v>82</v>
      </c>
      <c r="Z16" s="91">
        <v>0.7426505088806152</v>
      </c>
      <c r="AA16" s="91">
        <v>152.792236328125</v>
      </c>
      <c r="AB16" s="91">
        <v>162.362548828125</v>
      </c>
      <c r="AC16" s="91">
        <v>0.41757088899612427</v>
      </c>
      <c r="AD16" s="91">
        <v>154.8538818359375</v>
      </c>
      <c r="AE16" s="94"/>
      <c r="AF16" s="94"/>
      <c r="AG16" s="94"/>
      <c r="AH16" s="94"/>
      <c r="AI16" s="94"/>
      <c r="AJ16" s="94"/>
      <c r="AK16" s="94"/>
      <c r="AL16" s="91">
        <v>0</v>
      </c>
      <c r="AM16" s="95">
        <v>0.020842773839831352</v>
      </c>
      <c r="AN16" s="96">
        <v>59.324363708496094</v>
      </c>
      <c r="AO16" s="97"/>
      <c r="AP16" s="98">
        <v>-80.72917175292969</v>
      </c>
      <c r="AQ16" s="98">
        <v>0.27748844027519226</v>
      </c>
      <c r="AR16" s="99">
        <v>0.0002939529367722571</v>
      </c>
    </row>
    <row r="17" spans="2:44" ht="13.5" customHeight="1" x14ac:dyDescent="0.25">
      <c r="B17" s="14">
        <v>0.29166666666666669</v>
      </c>
      <c r="C17" s="91">
        <v>7.389322757720947</v>
      </c>
      <c r="D17" s="91">
        <v>19.49327278137207</v>
      </c>
      <c r="E17" s="91">
        <v>415.41448974609375</v>
      </c>
      <c r="F17" s="91">
        <v>0.3363906145095825</v>
      </c>
      <c r="G17" s="91">
        <v>0</v>
      </c>
      <c r="H17" s="92">
        <v>417.23162841796875</v>
      </c>
      <c r="I17" s="93">
        <v>16.887298583984375</v>
      </c>
      <c r="J17" s="91">
        <v>0.019611816853284836</v>
      </c>
      <c r="K17" s="91">
        <v>46.22395706176758</v>
      </c>
      <c r="L17" s="91">
        <v>1.4396159648895264</v>
      </c>
      <c r="M17" s="91">
        <v>110.36784362792969</v>
      </c>
      <c r="N17" s="91">
        <v>109.69328308105469</v>
      </c>
      <c r="O17" s="91">
        <v>20.401636123657227</v>
      </c>
      <c r="P17" s="91">
        <v>20.12939453125</v>
      </c>
      <c r="Q17" s="91"/>
      <c r="R17" s="91">
        <v>2.591552734375</v>
      </c>
      <c r="S17" s="91">
        <v>139.510986328125</v>
      </c>
      <c r="T17" s="91">
        <v>1.6100000143051147</v>
      </c>
      <c r="U17" s="91">
        <v>0.3028247356414795</v>
      </c>
      <c r="V17" s="91">
        <v>0.2993984520435333</v>
      </c>
      <c r="W17" s="91">
        <v>90.32841491699219</v>
      </c>
      <c r="X17" s="91">
        <v>0.5298202037811279</v>
      </c>
      <c r="Y17" s="91" t="s">
        <v>82</v>
      </c>
      <c r="Z17" s="91">
        <v>0.7359375357627869</v>
      </c>
      <c r="AA17" s="91">
        <v>149.5370330810547</v>
      </c>
      <c r="AB17" s="91">
        <v>162.90509033203125</v>
      </c>
      <c r="AC17" s="91">
        <v>0.40328413248062134</v>
      </c>
      <c r="AD17" s="91">
        <v>155.80149841308594</v>
      </c>
      <c r="AE17" s="94"/>
      <c r="AF17" s="94"/>
      <c r="AG17" s="94"/>
      <c r="AH17" s="94"/>
      <c r="AI17" s="94"/>
      <c r="AJ17" s="94"/>
      <c r="AK17" s="94"/>
      <c r="AL17" s="91">
        <v>37.96296310424805</v>
      </c>
      <c r="AM17" s="95">
        <v>0.020749999210238457</v>
      </c>
      <c r="AN17" s="96">
        <v>57.60995101928711</v>
      </c>
      <c r="AO17" s="97"/>
      <c r="AP17" s="98">
        <v>-80.67852783203125</v>
      </c>
      <c r="AQ17" s="98">
        <v>0.29701969027519226</v>
      </c>
      <c r="AR17" s="99">
        <v>0.0002941131533589214</v>
      </c>
    </row>
    <row r="18" spans="2:44" ht="13.5" customHeight="1" x14ac:dyDescent="0.25">
      <c r="B18" s="42">
        <v>0.33333333333333331</v>
      </c>
      <c r="C18" s="100"/>
      <c r="D18" s="100"/>
      <c r="E18" s="100"/>
      <c r="F18" s="100"/>
      <c r="G18" s="100"/>
      <c r="H18" s="101"/>
      <c r="I18" s="102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3"/>
      <c r="AF18" s="103"/>
      <c r="AG18" s="103"/>
      <c r="AH18" s="103"/>
      <c r="AI18" s="103"/>
      <c r="AJ18" s="103"/>
      <c r="AK18" s="103"/>
      <c r="AL18" s="100"/>
      <c r="AM18" s="104"/>
      <c r="AN18" s="105"/>
      <c r="AO18" s="97"/>
      <c r="AP18" s="98"/>
      <c r="AQ18" s="98"/>
      <c r="AR18" s="106"/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91">
        <v>-80.36024475097656</v>
      </c>
      <c r="D22" s="91">
        <v>-80.78703308105469</v>
      </c>
      <c r="E22" s="91">
        <v>103.13223266601562</v>
      </c>
      <c r="F22" s="91">
        <v>0.0924479141831398</v>
      </c>
      <c r="G22" s="91"/>
      <c r="H22" s="91"/>
      <c r="I22" s="91"/>
      <c r="J22" s="91"/>
      <c r="K22" s="91"/>
      <c r="L22" s="92"/>
      <c r="M22" s="107">
        <v>78.77965545654297</v>
      </c>
      <c r="N22" s="91">
        <v>47.49710464477539</v>
      </c>
      <c r="O22" s="91">
        <v>39.5</v>
      </c>
      <c r="P22" s="91">
        <v>22</v>
      </c>
      <c r="Q22" s="91">
        <v>3.3771700859069824</v>
      </c>
      <c r="R22" s="91">
        <v>21.719472885131836</v>
      </c>
      <c r="S22" s="108">
        <v>90.92520141601562</v>
      </c>
      <c r="T22" s="108">
        <v>30</v>
      </c>
      <c r="U22" s="108">
        <v>0</v>
      </c>
      <c r="V22" s="108">
        <v>13.004557609558105</v>
      </c>
      <c r="W22" s="108">
        <v>50.52626037597656</v>
      </c>
      <c r="X22" s="108">
        <v>35</v>
      </c>
      <c r="Y22" s="108">
        <v>96.99272918701172</v>
      </c>
      <c r="Z22" s="108">
        <v>17.737268447875977</v>
      </c>
      <c r="AA22" s="108">
        <v>20.70855140686035</v>
      </c>
      <c r="AB22" s="108"/>
      <c r="AC22" s="95"/>
      <c r="AD22" s="95">
        <v>1.5482856035232544</v>
      </c>
      <c r="AE22" s="95"/>
      <c r="AF22" s="95">
        <v>24.312788009643555</v>
      </c>
      <c r="AG22" s="95">
        <v>30.758100509643555</v>
      </c>
      <c r="AH22" s="95"/>
      <c r="AI22" s="109"/>
      <c r="AJ22" s="109"/>
      <c r="AK22" s="109"/>
      <c r="AL22" s="109"/>
      <c r="AM22" s="109"/>
      <c r="AN22" s="95">
        <v>49.58767318725586</v>
      </c>
      <c r="AO22" s="96">
        <v>50</v>
      </c>
      <c r="AP22" s="97">
        <v>27.12673568725586</v>
      </c>
      <c r="AQ22" s="98">
        <v>40.08246612548828</v>
      </c>
      <c r="AR22" s="99">
        <v>0.0651092529296875</v>
      </c>
    </row>
    <row r="23" spans="2:44" ht="13.5" customHeight="1" x14ac:dyDescent="0.25">
      <c r="B23" s="14">
        <v>0.875</v>
      </c>
      <c r="C23" s="91">
        <v>-78.47945404052734</v>
      </c>
      <c r="D23" s="91">
        <v>-78.92071533203125</v>
      </c>
      <c r="E23" s="91">
        <v>103.13223266601562</v>
      </c>
      <c r="F23" s="91">
        <v>0.08579282462596893</v>
      </c>
      <c r="G23" s="91">
        <v>8.408736903220415E-05</v>
      </c>
      <c r="H23" s="91"/>
      <c r="I23" s="91"/>
      <c r="J23" s="91"/>
      <c r="K23" s="91"/>
      <c r="L23" s="92"/>
      <c r="M23" s="107">
        <v>78.53009033203125</v>
      </c>
      <c r="N23" s="91">
        <v>47.63816452026367</v>
      </c>
      <c r="O23" s="91">
        <v>39.5</v>
      </c>
      <c r="P23" s="91">
        <v>22</v>
      </c>
      <c r="Q23" s="91">
        <v>3.284288167953491</v>
      </c>
      <c r="R23" s="91">
        <v>21.708621978759766</v>
      </c>
      <c r="S23" s="108">
        <v>91.18199920654297</v>
      </c>
      <c r="T23" s="108">
        <v>30</v>
      </c>
      <c r="U23" s="108">
        <v>0</v>
      </c>
      <c r="V23" s="108">
        <v>12.75499153137207</v>
      </c>
      <c r="W23" s="108">
        <v>49.419490814208984</v>
      </c>
      <c r="X23" s="108">
        <v>33</v>
      </c>
      <c r="Y23" s="108">
        <v>91.56593322753906</v>
      </c>
      <c r="Z23" s="108">
        <v>17.61067771911621</v>
      </c>
      <c r="AA23" s="108">
        <v>20.84418487548828</v>
      </c>
      <c r="AB23" s="108"/>
      <c r="AC23" s="95"/>
      <c r="AD23" s="95">
        <v>1.5483940839767456</v>
      </c>
      <c r="AE23" s="95">
        <v>0.001539398217573762</v>
      </c>
      <c r="AF23" s="95">
        <v>24.77213478088379</v>
      </c>
      <c r="AG23" s="95">
        <v>16.778789520263672</v>
      </c>
      <c r="AH23" s="95"/>
      <c r="AI23" s="109"/>
      <c r="AJ23" s="109"/>
      <c r="AK23" s="109"/>
      <c r="AL23" s="109"/>
      <c r="AM23" s="109"/>
      <c r="AN23" s="95">
        <v>48.67621612548828</v>
      </c>
      <c r="AO23" s="96">
        <v>50</v>
      </c>
      <c r="AP23" s="97">
        <v>26.683666229248047</v>
      </c>
      <c r="AQ23" s="98">
        <v>40.31032943725586</v>
      </c>
      <c r="AR23" s="99">
        <v>0.075958251953125</v>
      </c>
    </row>
    <row r="24" spans="2:44" ht="13.5" customHeight="1" x14ac:dyDescent="0.25">
      <c r="B24" s="41" t="s">
        <v>271</v>
      </c>
      <c r="C24" s="91">
        <v>-80.90277862548828</v>
      </c>
      <c r="D24" s="91">
        <v>-81.4453125</v>
      </c>
      <c r="E24" s="91">
        <v>103.13223266601562</v>
      </c>
      <c r="F24" s="91">
        <v>0.10402198880910873</v>
      </c>
      <c r="G24" s="91">
        <v>9.157943713944405E-05</v>
      </c>
      <c r="H24" s="91"/>
      <c r="I24" s="91"/>
      <c r="J24" s="91"/>
      <c r="K24" s="91"/>
      <c r="L24" s="92"/>
      <c r="M24" s="107">
        <v>78.5662612915039</v>
      </c>
      <c r="N24" s="91">
        <v>47.63454818725586</v>
      </c>
      <c r="O24" s="91">
        <v>39.5</v>
      </c>
      <c r="P24" s="91">
        <v>22</v>
      </c>
      <c r="Q24" s="91">
        <v>3.2239582538604736</v>
      </c>
      <c r="R24" s="91">
        <v>21.589263916015625</v>
      </c>
      <c r="S24" s="108">
        <v>94.82421875</v>
      </c>
      <c r="T24" s="108">
        <v>30</v>
      </c>
      <c r="U24" s="108">
        <v>0</v>
      </c>
      <c r="V24" s="108">
        <v>13.183594703674316</v>
      </c>
      <c r="W24" s="108">
        <v>48.4483528137207</v>
      </c>
      <c r="X24" s="108">
        <v>28.5</v>
      </c>
      <c r="Y24" s="108">
        <v>77.83637237548828</v>
      </c>
      <c r="Z24" s="108">
        <v>16.353805541992188</v>
      </c>
      <c r="AA24" s="108">
        <v>20.40473175048828</v>
      </c>
      <c r="AB24" s="108"/>
      <c r="AC24" s="95"/>
      <c r="AD24" s="95">
        <v>1.54833984375</v>
      </c>
      <c r="AE24" s="95">
        <v>0.0015330810565501451</v>
      </c>
      <c r="AF24" s="95">
        <v>24.743200302124023</v>
      </c>
      <c r="AG24" s="95">
        <v>15.860097885131836</v>
      </c>
      <c r="AH24" s="95"/>
      <c r="AI24" s="109"/>
      <c r="AJ24" s="109"/>
      <c r="AK24" s="109"/>
      <c r="AL24" s="109"/>
      <c r="AM24" s="109"/>
      <c r="AN24" s="95">
        <v>47.78645706176758</v>
      </c>
      <c r="AO24" s="96">
        <v>50</v>
      </c>
      <c r="AP24" s="97">
        <v>26.358144760131836</v>
      </c>
      <c r="AQ24" s="98">
        <v>40.476707458496094</v>
      </c>
      <c r="AR24" s="99">
        <v>0.05426025390625</v>
      </c>
    </row>
    <row r="25" spans="2:44" ht="13.5" customHeight="1" x14ac:dyDescent="0.25">
      <c r="B25" s="14">
        <v>0.95833333333333337</v>
      </c>
      <c r="C25" s="91">
        <v>-80.49044799804688</v>
      </c>
      <c r="D25" s="91">
        <v>-81.0040512084961</v>
      </c>
      <c r="E25" s="91">
        <v>103.13584899902344</v>
      </c>
      <c r="F25" s="91">
        <v>0.10033275187015533</v>
      </c>
      <c r="G25" s="91">
        <v>9.489822696195915E-05</v>
      </c>
      <c r="H25" s="91"/>
      <c r="I25" s="91"/>
      <c r="J25" s="91"/>
      <c r="K25" s="91"/>
      <c r="L25" s="92"/>
      <c r="M25" s="107">
        <v>79.0798568725586</v>
      </c>
      <c r="N25" s="91">
        <v>48.53515625</v>
      </c>
      <c r="O25" s="91">
        <v>39.5</v>
      </c>
      <c r="P25" s="91">
        <v>22</v>
      </c>
      <c r="Q25" s="91">
        <v>3.2204861640930176</v>
      </c>
      <c r="R25" s="91">
        <v>21.2601261138916</v>
      </c>
      <c r="S25" s="108">
        <v>92.1657943725586</v>
      </c>
      <c r="T25" s="108">
        <v>30</v>
      </c>
      <c r="U25" s="108">
        <v>0</v>
      </c>
      <c r="V25" s="108">
        <v>15.673829078674316</v>
      </c>
      <c r="W25" s="108">
        <v>47.6671028137207</v>
      </c>
      <c r="X25" s="108">
        <v>30</v>
      </c>
      <c r="Y25" s="108">
        <v>81.7999496459961</v>
      </c>
      <c r="Z25" s="108">
        <v>15.90711784362793</v>
      </c>
      <c r="AA25" s="108">
        <v>20.008682250976562</v>
      </c>
      <c r="AB25" s="108"/>
      <c r="AC25" s="95"/>
      <c r="AD25" s="95">
        <v>1.5483940839767456</v>
      </c>
      <c r="AE25" s="95">
        <v>0.0014472961192950606</v>
      </c>
      <c r="AF25" s="95">
        <v>24.334489822387695</v>
      </c>
      <c r="AG25" s="95">
        <v>19.04296875</v>
      </c>
      <c r="AH25" s="95"/>
      <c r="AI25" s="109"/>
      <c r="AJ25" s="109"/>
      <c r="AK25" s="109"/>
      <c r="AL25" s="109"/>
      <c r="AM25" s="109"/>
      <c r="AN25" s="95">
        <v>47.04861068725586</v>
      </c>
      <c r="AO25" s="96">
        <v>50</v>
      </c>
      <c r="AP25" s="97">
        <v>26.17729949951172</v>
      </c>
      <c r="AQ25" s="98">
        <v>41.61241149902344</v>
      </c>
      <c r="AR25" s="99">
        <v>0.075958251953125</v>
      </c>
    </row>
    <row r="26" spans="2:44" ht="13.5" customHeight="1" x14ac:dyDescent="0.25">
      <c r="B26" s="41" t="s">
        <v>272</v>
      </c>
      <c r="C26" s="91">
        <v>-80.39640808105469</v>
      </c>
      <c r="D26" s="91">
        <v>-80.9100112915039</v>
      </c>
      <c r="E26" s="91">
        <v>103.12861633300781</v>
      </c>
      <c r="F26" s="91">
        <v>0.0815972238779068</v>
      </c>
      <c r="G26" s="91">
        <v>9.774780482985079E-05</v>
      </c>
      <c r="H26" s="91"/>
      <c r="I26" s="91"/>
      <c r="J26" s="91"/>
      <c r="K26" s="91"/>
      <c r="L26" s="92"/>
      <c r="M26" s="107">
        <v>81.53935241699219</v>
      </c>
      <c r="N26" s="91">
        <v>46.87861633300781</v>
      </c>
      <c r="O26" s="91">
        <v>39.5</v>
      </c>
      <c r="P26" s="91">
        <v>22</v>
      </c>
      <c r="Q26" s="91">
        <v>3.289496660232544</v>
      </c>
      <c r="R26" s="91">
        <v>20.51866340637207</v>
      </c>
      <c r="S26" s="108">
        <v>90.55989074707031</v>
      </c>
      <c r="T26" s="108">
        <v>30</v>
      </c>
      <c r="U26" s="108">
        <v>0</v>
      </c>
      <c r="V26" s="108">
        <v>16.688369750976562</v>
      </c>
      <c r="W26" s="108">
        <v>46.8858528137207</v>
      </c>
      <c r="X26" s="108">
        <v>28</v>
      </c>
      <c r="Y26" s="108">
        <v>76.18814849853516</v>
      </c>
      <c r="Z26" s="108">
        <v>15.279585838317871</v>
      </c>
      <c r="AA26" s="108">
        <v>19.265409469604492</v>
      </c>
      <c r="AB26" s="108"/>
      <c r="AC26" s="95"/>
      <c r="AD26" s="95">
        <v>1.54833984375</v>
      </c>
      <c r="AE26" s="95">
        <v>0.001287872320972383</v>
      </c>
      <c r="AF26" s="95">
        <v>24.623842239379883</v>
      </c>
      <c r="AG26" s="95">
        <v>21.618200302124023</v>
      </c>
      <c r="AH26" s="95"/>
      <c r="AI26" s="109"/>
      <c r="AJ26" s="109"/>
      <c r="AK26" s="109"/>
      <c r="AL26" s="109"/>
      <c r="AM26" s="109"/>
      <c r="AN26" s="95">
        <v>46.20949172973633</v>
      </c>
      <c r="AO26" s="96">
        <v>50</v>
      </c>
      <c r="AP26" s="97">
        <v>26.186342239379883</v>
      </c>
      <c r="AQ26" s="98">
        <v>40.25969314575195</v>
      </c>
      <c r="AR26" s="99">
        <v>0.09766387939453125</v>
      </c>
    </row>
    <row r="27" spans="2:44" ht="13.5" customHeight="1" x14ac:dyDescent="0.25">
      <c r="B27" s="14">
        <v>4.1666666666666664E-2</v>
      </c>
      <c r="C27" s="91">
        <v>-80.33130645751953</v>
      </c>
      <c r="D27" s="91">
        <v>-80.75810241699219</v>
      </c>
      <c r="E27" s="91">
        <v>103.12861633300781</v>
      </c>
      <c r="F27" s="91">
        <v>0.07928241044282913</v>
      </c>
      <c r="G27" s="91">
        <v>0.00010240173287456855</v>
      </c>
      <c r="H27" s="91"/>
      <c r="I27" s="91"/>
      <c r="J27" s="91"/>
      <c r="K27" s="91"/>
      <c r="L27" s="92"/>
      <c r="M27" s="107">
        <v>78.62413024902344</v>
      </c>
      <c r="N27" s="91">
        <v>46.100982666015625</v>
      </c>
      <c r="O27" s="91">
        <v>39.5</v>
      </c>
      <c r="P27" s="91">
        <v>22</v>
      </c>
      <c r="Q27" s="91">
        <v>3.375</v>
      </c>
      <c r="R27" s="91">
        <v>20.685039520263672</v>
      </c>
      <c r="S27" s="108">
        <v>93.35214233398438</v>
      </c>
      <c r="T27" s="108">
        <v>30</v>
      </c>
      <c r="U27" s="108">
        <v>0</v>
      </c>
      <c r="V27" s="108">
        <v>17.26888084411621</v>
      </c>
      <c r="W27" s="108">
        <v>46.223960876464844</v>
      </c>
      <c r="X27" s="108">
        <v>29</v>
      </c>
      <c r="Y27" s="108">
        <v>78.72215270996094</v>
      </c>
      <c r="Z27" s="108">
        <v>15.33203125</v>
      </c>
      <c r="AA27" s="108">
        <v>19.580078125</v>
      </c>
      <c r="AB27" s="108"/>
      <c r="AC27" s="95"/>
      <c r="AD27" s="95">
        <v>0</v>
      </c>
      <c r="AE27" s="95">
        <v>0.0012461852747946978</v>
      </c>
      <c r="AF27" s="95">
        <v>24.1898136138916</v>
      </c>
      <c r="AG27" s="95">
        <v>20.482494354248047</v>
      </c>
      <c r="AH27" s="95"/>
      <c r="AI27" s="109"/>
      <c r="AJ27" s="109"/>
      <c r="AK27" s="109"/>
      <c r="AL27" s="109"/>
      <c r="AM27" s="109"/>
      <c r="AN27" s="95">
        <v>45.61631774902344</v>
      </c>
      <c r="AO27" s="96">
        <v>50</v>
      </c>
      <c r="AP27" s="97">
        <v>26.186342239379883</v>
      </c>
      <c r="AQ27" s="98">
        <v>39.948638916015625</v>
      </c>
      <c r="AR27" s="99">
        <v>0.09766387939453125</v>
      </c>
    </row>
    <row r="28" spans="2:44" ht="13.5" customHeight="1" x14ac:dyDescent="0.25">
      <c r="B28" s="41" t="s">
        <v>273</v>
      </c>
      <c r="C28" s="91">
        <v>-80.06365966796875</v>
      </c>
      <c r="D28" s="91">
        <v>-80.40364837646484</v>
      </c>
      <c r="E28" s="91">
        <v>103.12861633300781</v>
      </c>
      <c r="F28" s="91">
        <v>0.10517939925193787</v>
      </c>
      <c r="G28" s="91">
        <v>9.368896280648187E-05</v>
      </c>
      <c r="H28" s="91"/>
      <c r="I28" s="91"/>
      <c r="J28" s="91"/>
      <c r="K28" s="91"/>
      <c r="L28" s="92"/>
      <c r="M28" s="107">
        <v>79.05815887451172</v>
      </c>
      <c r="N28" s="91">
        <v>46.49884033203125</v>
      </c>
      <c r="O28" s="91">
        <v>39.5</v>
      </c>
      <c r="P28" s="91">
        <v>22</v>
      </c>
      <c r="Q28" s="91">
        <v>3.339409828186035</v>
      </c>
      <c r="R28" s="91">
        <v>20.533130645751953</v>
      </c>
      <c r="S28" s="108">
        <v>93.6993637084961</v>
      </c>
      <c r="T28" s="108">
        <v>30</v>
      </c>
      <c r="U28" s="108">
        <v>0</v>
      </c>
      <c r="V28" s="108">
        <v>17.702909469604492</v>
      </c>
      <c r="W28" s="108">
        <v>45.59461975097656</v>
      </c>
      <c r="X28" s="108">
        <v>28</v>
      </c>
      <c r="Y28" s="108">
        <v>75.91344451904297</v>
      </c>
      <c r="Z28" s="108">
        <v>15.14756965637207</v>
      </c>
      <c r="AA28" s="108">
        <v>19.58550453186035</v>
      </c>
      <c r="AB28" s="108"/>
      <c r="AC28" s="95"/>
      <c r="AD28" s="95">
        <v>1.5483940839767456</v>
      </c>
      <c r="AE28" s="95">
        <v>0.001531860325485468</v>
      </c>
      <c r="AF28" s="95">
        <v>24.518951416015625</v>
      </c>
      <c r="AG28" s="95">
        <v>17.715566635131836</v>
      </c>
      <c r="AH28" s="95"/>
      <c r="AI28" s="109"/>
      <c r="AJ28" s="109"/>
      <c r="AK28" s="109"/>
      <c r="AL28" s="109"/>
      <c r="AM28" s="109"/>
      <c r="AN28" s="95">
        <v>44.871238708496094</v>
      </c>
      <c r="AO28" s="96">
        <v>50</v>
      </c>
      <c r="AP28" s="97">
        <v>24.52256965637207</v>
      </c>
      <c r="AQ28" s="98">
        <v>40.55989456176758</v>
      </c>
      <c r="AR28" s="99">
        <v>0.10851287841796875</v>
      </c>
    </row>
    <row r="29" spans="2:44" ht="13.5" customHeight="1" x14ac:dyDescent="0.25">
      <c r="B29" s="14">
        <v>0.125</v>
      </c>
      <c r="C29" s="91">
        <v>-80.0491943359375</v>
      </c>
      <c r="D29" s="91">
        <v>-80.33130645751953</v>
      </c>
      <c r="E29" s="91">
        <v>103.12861633300781</v>
      </c>
      <c r="F29" s="91">
        <v>0.08036747574806213</v>
      </c>
      <c r="G29" s="91">
        <v>9.828949259826913E-05</v>
      </c>
      <c r="H29" s="91"/>
      <c r="I29" s="91"/>
      <c r="J29" s="91"/>
      <c r="K29" s="91"/>
      <c r="L29" s="92"/>
      <c r="M29" s="107">
        <v>77.87543487548828</v>
      </c>
      <c r="N29" s="91">
        <v>46.726707458496094</v>
      </c>
      <c r="O29" s="91">
        <v>39.5</v>
      </c>
      <c r="P29" s="91">
        <v>22</v>
      </c>
      <c r="Q29" s="91">
        <v>3.4036457538604736</v>
      </c>
      <c r="R29" s="91">
        <v>20.373987197875977</v>
      </c>
      <c r="S29" s="108">
        <v>94.00318145751953</v>
      </c>
      <c r="T29" s="108">
        <v>30</v>
      </c>
      <c r="U29" s="108">
        <v>0</v>
      </c>
      <c r="V29" s="108">
        <v>17.59982681274414</v>
      </c>
      <c r="W29" s="108">
        <v>44.88932418823242</v>
      </c>
      <c r="X29" s="108">
        <v>26</v>
      </c>
      <c r="Y29" s="108">
        <v>70.4754409790039</v>
      </c>
      <c r="Z29" s="108">
        <v>14.684606552124023</v>
      </c>
      <c r="AA29" s="108">
        <v>19.06467056274414</v>
      </c>
      <c r="AB29" s="108"/>
      <c r="AC29" s="95"/>
      <c r="AD29" s="95">
        <v>1.5483940839767456</v>
      </c>
      <c r="AE29" s="95">
        <v>0.0013849487295374274</v>
      </c>
      <c r="AF29" s="95">
        <v>24.72873306274414</v>
      </c>
      <c r="AG29" s="95">
        <v>17.563657760620117</v>
      </c>
      <c r="AH29" s="95"/>
      <c r="AI29" s="109"/>
      <c r="AJ29" s="109"/>
      <c r="AK29" s="109"/>
      <c r="AL29" s="109"/>
      <c r="AM29" s="109"/>
      <c r="AN29" s="95">
        <v>44.24913024902344</v>
      </c>
      <c r="AO29" s="96">
        <v>50</v>
      </c>
      <c r="AP29" s="97">
        <v>24.4140625</v>
      </c>
      <c r="AQ29" s="98">
        <v>44.29253387451172</v>
      </c>
      <c r="AR29" s="99">
        <v>0.10851287841796875</v>
      </c>
    </row>
    <row r="30" spans="2:44" ht="13.5" customHeight="1" x14ac:dyDescent="0.25">
      <c r="B30" s="14">
        <v>0.16666666666666666</v>
      </c>
      <c r="C30" s="91">
        <v>-80.70023345947266</v>
      </c>
      <c r="D30" s="91">
        <v>-80.93171691894531</v>
      </c>
      <c r="E30" s="91">
        <v>103.12861633300781</v>
      </c>
      <c r="F30" s="91">
        <v>0.10814525187015533</v>
      </c>
      <c r="G30" s="91">
        <v>9.725189011078328E-05</v>
      </c>
      <c r="H30" s="91"/>
      <c r="I30" s="91"/>
      <c r="J30" s="91"/>
      <c r="K30" s="91"/>
      <c r="L30" s="92"/>
      <c r="M30" s="107">
        <v>77.88990020751953</v>
      </c>
      <c r="N30" s="91">
        <v>46.730323791503906</v>
      </c>
      <c r="O30" s="91">
        <v>39.5</v>
      </c>
      <c r="P30" s="91">
        <v>22</v>
      </c>
      <c r="Q30" s="91">
        <v>3.504774332046509</v>
      </c>
      <c r="R30" s="91">
        <v>20.0882511138916</v>
      </c>
      <c r="S30" s="108">
        <v>93.1929931640625</v>
      </c>
      <c r="T30" s="108">
        <v>30</v>
      </c>
      <c r="U30" s="108">
        <v>0</v>
      </c>
      <c r="V30" s="108">
        <v>17.371963500976562</v>
      </c>
      <c r="W30" s="108">
        <v>44.30338668823242</v>
      </c>
      <c r="X30" s="108">
        <v>26</v>
      </c>
      <c r="Y30" s="108">
        <v>70.52029418945312</v>
      </c>
      <c r="Z30" s="108">
        <v>14.402487754821777</v>
      </c>
      <c r="AA30" s="108">
        <v>18.934463500976562</v>
      </c>
      <c r="AB30" s="108"/>
      <c r="AC30" s="95"/>
      <c r="AD30" s="95">
        <v>1.5483940839767456</v>
      </c>
      <c r="AE30" s="95">
        <v>0.0015430907951667905</v>
      </c>
      <c r="AF30" s="95">
        <v>25.625722885131836</v>
      </c>
      <c r="AG30" s="95">
        <v>15.288628578186035</v>
      </c>
      <c r="AH30" s="95"/>
      <c r="AI30" s="109"/>
      <c r="AJ30" s="109"/>
      <c r="AK30" s="109"/>
      <c r="AL30" s="109"/>
      <c r="AM30" s="109"/>
      <c r="AN30" s="95">
        <v>43.619789123535156</v>
      </c>
      <c r="AO30" s="96">
        <v>50</v>
      </c>
      <c r="AP30" s="97">
        <v>24.79383659362793</v>
      </c>
      <c r="AQ30" s="98">
        <v>40.36819839477539</v>
      </c>
      <c r="AR30" s="99">
        <v>0.09766387939453125</v>
      </c>
    </row>
    <row r="31" spans="2:44" ht="13.5" customHeight="1" x14ac:dyDescent="0.25">
      <c r="B31" s="14">
        <v>0.20833333333333334</v>
      </c>
      <c r="C31" s="91">
        <v>-80.6351318359375</v>
      </c>
      <c r="D31" s="91">
        <v>-80.84490966796875</v>
      </c>
      <c r="E31" s="91">
        <v>103.12861633300781</v>
      </c>
      <c r="F31" s="91">
        <v>0.07913773506879807</v>
      </c>
      <c r="G31" s="91">
        <v>8.076858648564667E-05</v>
      </c>
      <c r="H31" s="91"/>
      <c r="I31" s="91"/>
      <c r="J31" s="91"/>
      <c r="K31" s="91"/>
      <c r="L31" s="92"/>
      <c r="M31" s="107">
        <v>78.2009506225586</v>
      </c>
      <c r="N31" s="91">
        <v>46.730323791503906</v>
      </c>
      <c r="O31" s="91">
        <v>39.5</v>
      </c>
      <c r="P31" s="91">
        <v>22</v>
      </c>
      <c r="Q31" s="91">
        <v>3.63671875</v>
      </c>
      <c r="R31" s="91">
        <v>19.918258666992188</v>
      </c>
      <c r="S31" s="108">
        <v>94.98336029052734</v>
      </c>
      <c r="T31" s="108">
        <v>30</v>
      </c>
      <c r="U31" s="108">
        <v>0</v>
      </c>
      <c r="V31" s="108">
        <v>18.16948890686035</v>
      </c>
      <c r="W31" s="108">
        <v>43.581817626953125</v>
      </c>
      <c r="X31" s="108">
        <v>26</v>
      </c>
      <c r="Y31" s="108">
        <v>70.88469696044922</v>
      </c>
      <c r="Z31" s="108">
        <v>14.203558921813965</v>
      </c>
      <c r="AA31" s="108">
        <v>18.80967903137207</v>
      </c>
      <c r="AB31" s="108"/>
      <c r="AC31" s="95"/>
      <c r="AD31" s="95">
        <v>1.5483940839767456</v>
      </c>
      <c r="AE31" s="95">
        <v>0.001539062475785613</v>
      </c>
      <c r="AF31" s="95">
        <v>26.124855041503906</v>
      </c>
      <c r="AG31" s="95">
        <v>18.319589614868164</v>
      </c>
      <c r="AH31" s="95"/>
      <c r="AI31" s="109"/>
      <c r="AJ31" s="109"/>
      <c r="AK31" s="109"/>
      <c r="AL31" s="109"/>
      <c r="AM31" s="109"/>
      <c r="AN31" s="95">
        <v>42.94704818725586</v>
      </c>
      <c r="AO31" s="96">
        <v>50</v>
      </c>
      <c r="AP31" s="97">
        <v>24.857131958007812</v>
      </c>
      <c r="AQ31" s="98">
        <v>40.74435806274414</v>
      </c>
      <c r="AR31" s="99">
        <v>0.0868072509765625</v>
      </c>
    </row>
    <row r="32" spans="2:44" ht="13.5" customHeight="1" x14ac:dyDescent="0.25">
      <c r="B32" s="14">
        <v>0.25</v>
      </c>
      <c r="C32" s="91">
        <v>-80.72917175292969</v>
      </c>
      <c r="D32" s="91">
        <v>-80.95341491699219</v>
      </c>
      <c r="E32" s="91">
        <v>103.125</v>
      </c>
      <c r="F32" s="91">
        <v>0.0944010391831398</v>
      </c>
      <c r="G32" s="91">
        <v>8.10890196589753E-05</v>
      </c>
      <c r="H32" s="91"/>
      <c r="I32" s="91"/>
      <c r="J32" s="91"/>
      <c r="K32" s="91"/>
      <c r="L32" s="92"/>
      <c r="M32" s="107">
        <v>78.2045669555664</v>
      </c>
      <c r="N32" s="91">
        <v>46.94733810424805</v>
      </c>
      <c r="O32" s="91">
        <v>39.5</v>
      </c>
      <c r="P32" s="91">
        <v>22</v>
      </c>
      <c r="Q32" s="91">
        <v>3.5078125</v>
      </c>
      <c r="R32" s="91">
        <v>19.73741340637207</v>
      </c>
      <c r="S32" s="108">
        <v>92.51663970947266</v>
      </c>
      <c r="T32" s="108">
        <v>30</v>
      </c>
      <c r="U32" s="108">
        <v>0</v>
      </c>
      <c r="V32" s="108">
        <v>18.06640625</v>
      </c>
      <c r="W32" s="108">
        <v>43.1749153137207</v>
      </c>
      <c r="X32" s="108">
        <v>26</v>
      </c>
      <c r="Y32" s="108">
        <v>71.1594009399414</v>
      </c>
      <c r="Z32" s="108">
        <v>14.116753578186035</v>
      </c>
      <c r="AA32" s="108">
        <v>18.76085090637207</v>
      </c>
      <c r="AB32" s="108"/>
      <c r="AC32" s="95"/>
      <c r="AD32" s="95">
        <v>1.5483940839767456</v>
      </c>
      <c r="AE32" s="95">
        <v>0.0015449218917638063</v>
      </c>
      <c r="AF32" s="95">
        <v>25.962095260620117</v>
      </c>
      <c r="AG32" s="95">
        <v>19.788049697875977</v>
      </c>
      <c r="AH32" s="95"/>
      <c r="AI32" s="109"/>
      <c r="AJ32" s="109"/>
      <c r="AK32" s="109"/>
      <c r="AL32" s="109"/>
      <c r="AM32" s="109"/>
      <c r="AN32" s="95">
        <v>42.40451431274414</v>
      </c>
      <c r="AO32" s="96">
        <v>50</v>
      </c>
      <c r="AP32" s="97">
        <v>23.799190521240234</v>
      </c>
      <c r="AQ32" s="98">
        <v>40.50925827026367</v>
      </c>
      <c r="AR32" s="99">
        <v>0.0868072509765625</v>
      </c>
    </row>
    <row r="33" spans="2:44" ht="13.5" customHeight="1" x14ac:dyDescent="0.25">
      <c r="B33" s="14">
        <v>0.29166666666666669</v>
      </c>
      <c r="C33" s="91">
        <v>-80.67852783203125</v>
      </c>
      <c r="D33" s="91">
        <v>-80.96064758300781</v>
      </c>
      <c r="E33" s="91">
        <v>103.125</v>
      </c>
      <c r="F33" s="91">
        <v>0.0796440988779068</v>
      </c>
      <c r="G33" s="91">
        <v>8.0150603025686E-05</v>
      </c>
      <c r="H33" s="91"/>
      <c r="I33" s="91"/>
      <c r="J33" s="91"/>
      <c r="K33" s="91"/>
      <c r="L33" s="92"/>
      <c r="M33" s="107">
        <v>77.67650604248047</v>
      </c>
      <c r="N33" s="91">
        <v>47.09201431274414</v>
      </c>
      <c r="O33" s="91">
        <v>39.5</v>
      </c>
      <c r="P33" s="91">
        <v>22</v>
      </c>
      <c r="Q33" s="91">
        <v>3.547743082046509</v>
      </c>
      <c r="R33" s="91">
        <v>19.621671676635742</v>
      </c>
      <c r="S33" s="108">
        <v>91.02647399902344</v>
      </c>
      <c r="T33" s="108">
        <v>30</v>
      </c>
      <c r="U33" s="108">
        <v>0</v>
      </c>
      <c r="V33" s="108">
        <v>16.90538215637207</v>
      </c>
      <c r="W33" s="108">
        <v>42.64865493774414</v>
      </c>
      <c r="X33" s="108">
        <v>26</v>
      </c>
      <c r="Y33" s="108">
        <v>70.95757293701172</v>
      </c>
      <c r="Z33" s="108">
        <v>13.9503755569458</v>
      </c>
      <c r="AA33" s="108">
        <v>18.60894203186035</v>
      </c>
      <c r="AB33" s="108"/>
      <c r="AC33" s="95"/>
      <c r="AD33" s="95">
        <v>1.54833984375</v>
      </c>
      <c r="AE33" s="95">
        <v>0.0013295288663357496</v>
      </c>
      <c r="AF33" s="95">
        <v>25.716144561767578</v>
      </c>
      <c r="AG33" s="95">
        <v>20.750144958496094</v>
      </c>
      <c r="AH33" s="95"/>
      <c r="AI33" s="109"/>
      <c r="AJ33" s="109"/>
      <c r="AK33" s="109"/>
      <c r="AL33" s="109"/>
      <c r="AM33" s="109"/>
      <c r="AN33" s="95">
        <v>41.861976623535156</v>
      </c>
      <c r="AO33" s="96">
        <v>50</v>
      </c>
      <c r="AP33" s="97">
        <v>23.62738800048828</v>
      </c>
      <c r="AQ33" s="98">
        <v>40.25969314575195</v>
      </c>
      <c r="AR33" s="99">
        <v>0.075958251953125</v>
      </c>
    </row>
    <row r="34" spans="2:44" ht="13.5" customHeight="1" x14ac:dyDescent="0.25">
      <c r="B34" s="42">
        <v>0.33333333333333331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1"/>
      <c r="M34" s="110"/>
      <c r="N34" s="100"/>
      <c r="O34" s="100"/>
      <c r="P34" s="100"/>
      <c r="Q34" s="100"/>
      <c r="R34" s="100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04"/>
      <c r="AD34" s="104"/>
      <c r="AE34" s="104"/>
      <c r="AF34" s="104"/>
      <c r="AG34" s="104"/>
      <c r="AH34" s="104"/>
      <c r="AI34" s="112"/>
      <c r="AJ34" s="112"/>
      <c r="AK34" s="112"/>
      <c r="AL34" s="112"/>
      <c r="AM34" s="112"/>
      <c r="AN34" s="104"/>
      <c r="AO34" s="105"/>
      <c r="AP34" s="113"/>
      <c r="AQ34" s="114"/>
      <c r="AR34" s="115"/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87">
        <v>0</v>
      </c>
      <c r="D39" s="87"/>
      <c r="E39" s="87">
        <v>85.3804931640625</v>
      </c>
      <c r="F39" s="87"/>
      <c r="G39" s="87"/>
      <c r="H39" s="87">
        <v>0</v>
      </c>
      <c r="I39" s="87"/>
      <c r="J39" s="87">
        <v>27.660228729248047</v>
      </c>
      <c r="K39" s="87">
        <v>40</v>
      </c>
      <c r="L39" s="87">
        <v>50.202545166015625</v>
      </c>
      <c r="M39" s="87">
        <v>0</v>
      </c>
      <c r="N39" s="87"/>
      <c r="O39" s="87">
        <v>30.861183166503906</v>
      </c>
      <c r="P39" s="87">
        <v>0.05000000074505806</v>
      </c>
      <c r="Q39" s="87">
        <v>0.1041666641831398</v>
      </c>
      <c r="R39" s="87"/>
      <c r="S39" s="87">
        <v>0</v>
      </c>
      <c r="T39" s="87"/>
      <c r="U39" s="88">
        <v>0</v>
      </c>
      <c r="V39" s="89"/>
      <c r="W39" s="90">
        <v>97.47178649902344</v>
      </c>
      <c r="X39" s="88">
        <v>17.592592239379883</v>
      </c>
      <c r="Y39" s="88">
        <v>50</v>
      </c>
      <c r="Z39" s="88">
        <v>123.88021087646484</v>
      </c>
      <c r="AA39" s="88">
        <v>13.004557609558105</v>
      </c>
      <c r="AB39" s="88">
        <v>50.52626037597656</v>
      </c>
      <c r="AC39" s="88">
        <v>50</v>
      </c>
      <c r="AD39" s="88">
        <v>123.78907012939453</v>
      </c>
      <c r="AE39" s="79">
        <v>17.737268447875977</v>
      </c>
      <c r="AF39" s="79">
        <v>20.70855140686035</v>
      </c>
      <c r="AG39" s="79"/>
      <c r="AH39" s="79">
        <v>0</v>
      </c>
      <c r="AI39" s="79">
        <v>0</v>
      </c>
      <c r="AJ39" s="79"/>
      <c r="AK39" s="79">
        <v>85.15986633300781</v>
      </c>
      <c r="AL39" s="81">
        <v>53.85416793823242</v>
      </c>
      <c r="AM39" s="83"/>
      <c r="AN39" s="80"/>
      <c r="AO39" s="79"/>
      <c r="AP39" s="79"/>
      <c r="AQ39" s="79"/>
      <c r="AR39" s="82"/>
    </row>
    <row r="40" spans="2:44" ht="13.5" customHeight="1" x14ac:dyDescent="0.25">
      <c r="B40" s="14">
        <v>0.875</v>
      </c>
      <c r="C40" s="91">
        <v>0</v>
      </c>
      <c r="D40" s="91">
        <v>5.906581918679876E-06</v>
      </c>
      <c r="E40" s="91">
        <v>57.624420166015625</v>
      </c>
      <c r="F40" s="91"/>
      <c r="G40" s="91"/>
      <c r="H40" s="91">
        <v>0</v>
      </c>
      <c r="I40" s="91">
        <v>0</v>
      </c>
      <c r="J40" s="91">
        <v>27.759693145751953</v>
      </c>
      <c r="K40" s="91">
        <v>40</v>
      </c>
      <c r="L40" s="91">
        <v>51.359954833984375</v>
      </c>
      <c r="M40" s="91">
        <v>0</v>
      </c>
      <c r="N40" s="91">
        <v>0</v>
      </c>
      <c r="O40" s="91">
        <v>30.400028228759766</v>
      </c>
      <c r="P40" s="91">
        <v>0.05000000074505806</v>
      </c>
      <c r="Q40" s="91">
        <v>0.12919560074806213</v>
      </c>
      <c r="R40" s="91">
        <v>0.0001235351519426331</v>
      </c>
      <c r="S40" s="91">
        <v>0</v>
      </c>
      <c r="T40" s="91">
        <v>0</v>
      </c>
      <c r="U40" s="108">
        <v>0</v>
      </c>
      <c r="V40" s="116">
        <v>0</v>
      </c>
      <c r="W40" s="117">
        <v>97.49710845947266</v>
      </c>
      <c r="X40" s="108">
        <v>20.891202926635742</v>
      </c>
      <c r="Y40" s="108">
        <v>0</v>
      </c>
      <c r="Z40" s="108">
        <v>0</v>
      </c>
      <c r="AA40" s="108">
        <v>12.75499153137207</v>
      </c>
      <c r="AB40" s="108">
        <v>49.419490814208984</v>
      </c>
      <c r="AC40" s="108">
        <v>30</v>
      </c>
      <c r="AD40" s="108">
        <v>78.5763931274414</v>
      </c>
      <c r="AE40" s="95">
        <v>17.61067771911621</v>
      </c>
      <c r="AF40" s="95">
        <v>20.84418487548828</v>
      </c>
      <c r="AG40" s="95"/>
      <c r="AH40" s="95">
        <v>0</v>
      </c>
      <c r="AI40" s="95">
        <v>0</v>
      </c>
      <c r="AJ40" s="95">
        <v>0</v>
      </c>
      <c r="AK40" s="95">
        <v>85.12369537353516</v>
      </c>
      <c r="AL40" s="96">
        <v>53.159725189208984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41" t="s">
        <v>271</v>
      </c>
      <c r="C41" s="91">
        <v>0</v>
      </c>
      <c r="D41" s="91">
        <v>0</v>
      </c>
      <c r="E41" s="91">
        <v>45.883968353271484</v>
      </c>
      <c r="F41" s="91"/>
      <c r="G41" s="91"/>
      <c r="H41" s="91">
        <v>0</v>
      </c>
      <c r="I41" s="91">
        <v>0</v>
      </c>
      <c r="J41" s="91">
        <v>27.69639778137207</v>
      </c>
      <c r="K41" s="91">
        <v>40</v>
      </c>
      <c r="L41" s="91">
        <v>50.02170181274414</v>
      </c>
      <c r="M41" s="91">
        <v>0</v>
      </c>
      <c r="N41" s="91">
        <v>0</v>
      </c>
      <c r="O41" s="91">
        <v>29.911746978759766</v>
      </c>
      <c r="P41" s="91">
        <v>0.05000000074505806</v>
      </c>
      <c r="Q41" s="91">
        <v>0.1512586772441864</v>
      </c>
      <c r="R41" s="91">
        <v>0.00013729858619626611</v>
      </c>
      <c r="S41" s="91">
        <v>0</v>
      </c>
      <c r="T41" s="91">
        <v>0</v>
      </c>
      <c r="U41" s="108">
        <v>0</v>
      </c>
      <c r="V41" s="116">
        <v>0</v>
      </c>
      <c r="W41" s="117">
        <v>91.8764419555664</v>
      </c>
      <c r="X41" s="108">
        <v>19.589120864868164</v>
      </c>
      <c r="Y41" s="108">
        <v>30</v>
      </c>
      <c r="Z41" s="108">
        <v>77.98177337646484</v>
      </c>
      <c r="AA41" s="108">
        <v>13.183594703674316</v>
      </c>
      <c r="AB41" s="108">
        <v>48.4483528137207</v>
      </c>
      <c r="AC41" s="108">
        <v>30</v>
      </c>
      <c r="AD41" s="108">
        <v>77.31336975097656</v>
      </c>
      <c r="AE41" s="95">
        <v>16.353805541992188</v>
      </c>
      <c r="AF41" s="95">
        <v>20.40473175048828</v>
      </c>
      <c r="AG41" s="95"/>
      <c r="AH41" s="95">
        <v>0</v>
      </c>
      <c r="AI41" s="95">
        <v>0</v>
      </c>
      <c r="AJ41" s="95">
        <v>0</v>
      </c>
      <c r="AK41" s="95">
        <v>85.11646270751953</v>
      </c>
      <c r="AL41" s="96">
        <v>52.55498123168945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0.95833333333333337</v>
      </c>
      <c r="C42" s="91">
        <v>0</v>
      </c>
      <c r="D42" s="91">
        <v>1.4932155863789376E-05</v>
      </c>
      <c r="E42" s="91">
        <v>38.96122741699219</v>
      </c>
      <c r="F42" s="91"/>
      <c r="G42" s="91"/>
      <c r="H42" s="91">
        <v>0</v>
      </c>
      <c r="I42" s="91">
        <v>0</v>
      </c>
      <c r="J42" s="91">
        <v>27.714481353759766</v>
      </c>
      <c r="K42" s="91">
        <v>40</v>
      </c>
      <c r="L42" s="91">
        <v>48.83716583251953</v>
      </c>
      <c r="M42" s="91">
        <v>0</v>
      </c>
      <c r="N42" s="91">
        <v>0</v>
      </c>
      <c r="O42" s="91">
        <v>29.45963478088379</v>
      </c>
      <c r="P42" s="91">
        <v>0.05000000074505806</v>
      </c>
      <c r="Q42" s="91">
        <v>0.10879629850387573</v>
      </c>
      <c r="R42" s="91">
        <v>0.00012182235514046624</v>
      </c>
      <c r="S42" s="91">
        <v>0</v>
      </c>
      <c r="T42" s="91">
        <v>0</v>
      </c>
      <c r="U42" s="108">
        <v>0</v>
      </c>
      <c r="V42" s="116">
        <v>0</v>
      </c>
      <c r="W42" s="117">
        <v>90.46223449707031</v>
      </c>
      <c r="X42" s="108">
        <v>17.08984375</v>
      </c>
      <c r="Y42" s="108">
        <v>50</v>
      </c>
      <c r="Z42" s="108">
        <v>123.88021087646484</v>
      </c>
      <c r="AA42" s="108">
        <v>15.673829078674316</v>
      </c>
      <c r="AB42" s="108">
        <v>47.6671028137207</v>
      </c>
      <c r="AC42" s="108">
        <v>40</v>
      </c>
      <c r="AD42" s="108">
        <v>102.34809875488281</v>
      </c>
      <c r="AE42" s="95">
        <v>15.90711784362793</v>
      </c>
      <c r="AF42" s="95">
        <v>20.008682250976562</v>
      </c>
      <c r="AG42" s="95"/>
      <c r="AH42" s="95">
        <v>0</v>
      </c>
      <c r="AI42" s="95">
        <v>0</v>
      </c>
      <c r="AJ42" s="95">
        <v>0</v>
      </c>
      <c r="AK42" s="95">
        <v>85.05497741699219</v>
      </c>
      <c r="AL42" s="96">
        <v>51.80266571044922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41" t="s">
        <v>272</v>
      </c>
      <c r="C43" s="91">
        <v>0</v>
      </c>
      <c r="D43" s="91">
        <v>2.5480985641479492E-05</v>
      </c>
      <c r="E43" s="91">
        <v>43.5546875</v>
      </c>
      <c r="F43" s="91"/>
      <c r="G43" s="91"/>
      <c r="H43" s="91">
        <v>0</v>
      </c>
      <c r="I43" s="91">
        <v>0</v>
      </c>
      <c r="J43" s="91">
        <v>27.47938346862793</v>
      </c>
      <c r="K43" s="91">
        <v>40</v>
      </c>
      <c r="L43" s="91">
        <v>48.674407958984375</v>
      </c>
      <c r="M43" s="91">
        <v>0</v>
      </c>
      <c r="N43" s="91">
        <v>0</v>
      </c>
      <c r="O43" s="91">
        <v>28.962312698364258</v>
      </c>
      <c r="P43" s="91">
        <v>0.05000000074505806</v>
      </c>
      <c r="Q43" s="91">
        <v>0.16066262125968933</v>
      </c>
      <c r="R43" s="91">
        <v>0.00014508057211060077</v>
      </c>
      <c r="S43" s="91">
        <v>0</v>
      </c>
      <c r="T43" s="91">
        <v>0</v>
      </c>
      <c r="U43" s="108">
        <v>0</v>
      </c>
      <c r="V43" s="116">
        <v>0</v>
      </c>
      <c r="W43" s="117">
        <v>92.76258850097656</v>
      </c>
      <c r="X43" s="108">
        <v>17.2562198638916</v>
      </c>
      <c r="Y43" s="108">
        <v>40</v>
      </c>
      <c r="Z43" s="108">
        <v>105.01302337646484</v>
      </c>
      <c r="AA43" s="108">
        <v>16.688369750976562</v>
      </c>
      <c r="AB43" s="108">
        <v>46.8858528137207</v>
      </c>
      <c r="AC43" s="108">
        <v>30</v>
      </c>
      <c r="AD43" s="108">
        <v>75.61632537841797</v>
      </c>
      <c r="AE43" s="95">
        <v>15.279585838317871</v>
      </c>
      <c r="AF43" s="95">
        <v>19.265409469604492</v>
      </c>
      <c r="AG43" s="95"/>
      <c r="AH43" s="95">
        <v>0</v>
      </c>
      <c r="AI43" s="95">
        <v>0</v>
      </c>
      <c r="AJ43" s="95">
        <v>0</v>
      </c>
      <c r="AK43" s="95">
        <v>85.0079574584961</v>
      </c>
      <c r="AL43" s="96">
        <v>51.14004898071289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4.1666666666666664E-2</v>
      </c>
      <c r="C44" s="91">
        <v>0</v>
      </c>
      <c r="D44" s="91">
        <v>6.882429261167999E-06</v>
      </c>
      <c r="E44" s="91">
        <v>44.914642333984375</v>
      </c>
      <c r="F44" s="91"/>
      <c r="G44" s="91"/>
      <c r="H44" s="91">
        <v>0</v>
      </c>
      <c r="I44" s="91">
        <v>0</v>
      </c>
      <c r="J44" s="91">
        <v>27.217159271240234</v>
      </c>
      <c r="K44" s="91">
        <v>40</v>
      </c>
      <c r="L44" s="91">
        <v>50.383392333984375</v>
      </c>
      <c r="M44" s="91">
        <v>0</v>
      </c>
      <c r="N44" s="91">
        <v>0</v>
      </c>
      <c r="O44" s="91">
        <v>28.564453125</v>
      </c>
      <c r="P44" s="91">
        <v>0.05000000074505806</v>
      </c>
      <c r="Q44" s="91">
        <v>0.1584201455116272</v>
      </c>
      <c r="R44" s="91">
        <v>0.00015957641880959272</v>
      </c>
      <c r="S44" s="91">
        <v>0</v>
      </c>
      <c r="T44" s="91">
        <v>0</v>
      </c>
      <c r="U44" s="108">
        <v>0</v>
      </c>
      <c r="V44" s="116">
        <v>0</v>
      </c>
      <c r="W44" s="117">
        <v>90.13671875</v>
      </c>
      <c r="X44" s="108">
        <v>17.151330947875977</v>
      </c>
      <c r="Y44" s="108">
        <v>15</v>
      </c>
      <c r="Z44" s="108">
        <v>38.05555725097656</v>
      </c>
      <c r="AA44" s="108">
        <v>17.26888084411621</v>
      </c>
      <c r="AB44" s="108">
        <v>46.223960876464844</v>
      </c>
      <c r="AC44" s="108">
        <v>15</v>
      </c>
      <c r="AD44" s="108">
        <v>37.417537689208984</v>
      </c>
      <c r="AE44" s="95">
        <v>15.33203125</v>
      </c>
      <c r="AF44" s="95">
        <v>19.580078125</v>
      </c>
      <c r="AG44" s="95"/>
      <c r="AH44" s="95">
        <v>0</v>
      </c>
      <c r="AI44" s="95">
        <v>0</v>
      </c>
      <c r="AJ44" s="95">
        <v>0</v>
      </c>
      <c r="AK44" s="95">
        <v>84.99710845947266</v>
      </c>
      <c r="AL44" s="96">
        <v>50.48900604248047</v>
      </c>
      <c r="AM44" s="118"/>
      <c r="AN44" s="109"/>
      <c r="AO44" s="95"/>
      <c r="AP44" s="95"/>
      <c r="AQ44" s="95"/>
      <c r="AR44" s="99"/>
    </row>
    <row r="45" spans="2:44" ht="13.5" customHeight="1" x14ac:dyDescent="0.25">
      <c r="B45" s="41" t="s">
        <v>273</v>
      </c>
      <c r="C45" s="91">
        <v>0</v>
      </c>
      <c r="D45" s="91">
        <v>0</v>
      </c>
      <c r="E45" s="91">
        <v>52.5390625</v>
      </c>
      <c r="F45" s="91"/>
      <c r="G45" s="91"/>
      <c r="H45" s="91">
        <v>0</v>
      </c>
      <c r="I45" s="91">
        <v>0</v>
      </c>
      <c r="J45" s="91">
        <v>26.819299697875977</v>
      </c>
      <c r="K45" s="91">
        <v>40</v>
      </c>
      <c r="L45" s="91">
        <v>50.193504333496094</v>
      </c>
      <c r="M45" s="91">
        <v>0</v>
      </c>
      <c r="N45" s="91">
        <v>0</v>
      </c>
      <c r="O45" s="91">
        <v>28.012876510620117</v>
      </c>
      <c r="P45" s="91">
        <v>0.05000000074505806</v>
      </c>
      <c r="Q45" s="91">
        <v>0.1675347238779068</v>
      </c>
      <c r="R45" s="91">
        <v>0.00015757750952616334</v>
      </c>
      <c r="S45" s="91">
        <v>0</v>
      </c>
      <c r="T45" s="91">
        <v>0</v>
      </c>
      <c r="U45" s="108">
        <v>0</v>
      </c>
      <c r="V45" s="116">
        <v>0</v>
      </c>
      <c r="W45" s="117">
        <v>95.59461975097656</v>
      </c>
      <c r="X45" s="108">
        <v>16.030092239379883</v>
      </c>
      <c r="Y45" s="108">
        <v>35</v>
      </c>
      <c r="Z45" s="108">
        <v>90.26476287841797</v>
      </c>
      <c r="AA45" s="108">
        <v>17.702909469604492</v>
      </c>
      <c r="AB45" s="108">
        <v>45.59461975097656</v>
      </c>
      <c r="AC45" s="108">
        <v>35</v>
      </c>
      <c r="AD45" s="108">
        <v>88.76736450195312</v>
      </c>
      <c r="AE45" s="95">
        <v>15.14756965637207</v>
      </c>
      <c r="AF45" s="95">
        <v>19.58550453186035</v>
      </c>
      <c r="AG45" s="95"/>
      <c r="AH45" s="95">
        <v>0</v>
      </c>
      <c r="AI45" s="95">
        <v>0</v>
      </c>
      <c r="AJ45" s="95">
        <v>0</v>
      </c>
      <c r="AK45" s="95">
        <v>84.8922119140625</v>
      </c>
      <c r="AL45" s="96">
        <v>49.861114501953125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0.125</v>
      </c>
      <c r="C46" s="91">
        <v>0</v>
      </c>
      <c r="D46" s="91">
        <v>9.469032193010207E-06</v>
      </c>
      <c r="E46" s="91">
        <v>40.14756774902344</v>
      </c>
      <c r="F46" s="91"/>
      <c r="G46" s="91"/>
      <c r="H46" s="91">
        <v>0</v>
      </c>
      <c r="I46" s="91">
        <v>0</v>
      </c>
      <c r="J46" s="91">
        <v>26.42144012451172</v>
      </c>
      <c r="K46" s="91">
        <v>40</v>
      </c>
      <c r="L46" s="91">
        <v>49.253108978271484</v>
      </c>
      <c r="M46" s="91">
        <v>0</v>
      </c>
      <c r="N46" s="91">
        <v>0</v>
      </c>
      <c r="O46" s="91">
        <v>27.624059677124023</v>
      </c>
      <c r="P46" s="91">
        <v>0.05000000074505806</v>
      </c>
      <c r="Q46" s="91">
        <v>0.19256365299224854</v>
      </c>
      <c r="R46" s="91">
        <v>0.00016302490257658064</v>
      </c>
      <c r="S46" s="91">
        <v>0</v>
      </c>
      <c r="T46" s="91">
        <v>0</v>
      </c>
      <c r="U46" s="108">
        <v>0</v>
      </c>
      <c r="V46" s="116">
        <v>0</v>
      </c>
      <c r="W46" s="117">
        <v>91.18199920654297</v>
      </c>
      <c r="X46" s="108">
        <v>15.480323791503906</v>
      </c>
      <c r="Y46" s="108">
        <v>35</v>
      </c>
      <c r="Z46" s="108">
        <v>90.23438262939453</v>
      </c>
      <c r="AA46" s="108">
        <v>17.59982681274414</v>
      </c>
      <c r="AB46" s="108">
        <v>44.88932418823242</v>
      </c>
      <c r="AC46" s="108">
        <v>35</v>
      </c>
      <c r="AD46" s="108">
        <v>88.6154556274414</v>
      </c>
      <c r="AE46" s="95">
        <v>14.684606552124023</v>
      </c>
      <c r="AF46" s="95">
        <v>19.06467056274414</v>
      </c>
      <c r="AG46" s="95"/>
      <c r="AH46" s="95">
        <v>0</v>
      </c>
      <c r="AI46" s="95">
        <v>0</v>
      </c>
      <c r="AJ46" s="95">
        <v>0</v>
      </c>
      <c r="AK46" s="95">
        <v>84.92838287353516</v>
      </c>
      <c r="AL46" s="96">
        <v>49.250579833984375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0.16666666666666666</v>
      </c>
      <c r="C47" s="91">
        <v>0</v>
      </c>
      <c r="D47" s="91">
        <v>0</v>
      </c>
      <c r="E47" s="91">
        <v>43.561920166015625</v>
      </c>
      <c r="F47" s="91"/>
      <c r="G47" s="91"/>
      <c r="H47" s="91">
        <v>0</v>
      </c>
      <c r="I47" s="91">
        <v>0</v>
      </c>
      <c r="J47" s="91">
        <v>25.96028709411621</v>
      </c>
      <c r="K47" s="91">
        <v>40</v>
      </c>
      <c r="L47" s="91">
        <v>48.56589889526367</v>
      </c>
      <c r="M47" s="91">
        <v>0</v>
      </c>
      <c r="N47" s="91">
        <v>0</v>
      </c>
      <c r="O47" s="91">
        <v>27.162904739379883</v>
      </c>
      <c r="P47" s="91">
        <v>0.05000000074505806</v>
      </c>
      <c r="Q47" s="91">
        <v>0.18735532462596893</v>
      </c>
      <c r="R47" s="91">
        <v>0.00018716811609920114</v>
      </c>
      <c r="S47" s="91">
        <v>0</v>
      </c>
      <c r="T47" s="91">
        <v>0</v>
      </c>
      <c r="U47" s="108">
        <v>0</v>
      </c>
      <c r="V47" s="116">
        <v>0</v>
      </c>
      <c r="W47" s="117">
        <v>97.56221008300781</v>
      </c>
      <c r="X47" s="108">
        <v>15.455005645751953</v>
      </c>
      <c r="Y47" s="108">
        <v>35</v>
      </c>
      <c r="Z47" s="108">
        <v>90.14757537841797</v>
      </c>
      <c r="AA47" s="108">
        <v>17.371963500976562</v>
      </c>
      <c r="AB47" s="108">
        <v>44.30338668823242</v>
      </c>
      <c r="AC47" s="108">
        <v>35</v>
      </c>
      <c r="AD47" s="108">
        <v>88.54167175292969</v>
      </c>
      <c r="AE47" s="95">
        <v>14.402487754821777</v>
      </c>
      <c r="AF47" s="95">
        <v>18.934463500976562</v>
      </c>
      <c r="AG47" s="95"/>
      <c r="AH47" s="95">
        <v>0</v>
      </c>
      <c r="AI47" s="95">
        <v>0</v>
      </c>
      <c r="AJ47" s="95">
        <v>0</v>
      </c>
      <c r="AK47" s="95">
        <v>84.89945220947266</v>
      </c>
      <c r="AL47" s="96">
        <v>48.703704833984375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0.20833333333333334</v>
      </c>
      <c r="C48" s="91">
        <v>0</v>
      </c>
      <c r="D48" s="91">
        <v>1.2815713489544578E-05</v>
      </c>
      <c r="E48" s="91">
        <v>40.64670181274414</v>
      </c>
      <c r="F48" s="91"/>
      <c r="G48" s="91"/>
      <c r="H48" s="91">
        <v>0</v>
      </c>
      <c r="I48" s="91">
        <v>0</v>
      </c>
      <c r="J48" s="91">
        <v>25.517215728759766</v>
      </c>
      <c r="K48" s="91">
        <v>40</v>
      </c>
      <c r="L48" s="91">
        <v>49.072265625</v>
      </c>
      <c r="M48" s="91">
        <v>0</v>
      </c>
      <c r="N48" s="91">
        <v>0</v>
      </c>
      <c r="O48" s="91">
        <v>26.900680541992188</v>
      </c>
      <c r="P48" s="91">
        <v>0.05000000074505806</v>
      </c>
      <c r="Q48" s="91">
        <v>0.18279802799224854</v>
      </c>
      <c r="R48" s="91">
        <v>0.000186836245120503</v>
      </c>
      <c r="S48" s="91">
        <v>0</v>
      </c>
      <c r="T48" s="91">
        <v>0</v>
      </c>
      <c r="U48" s="108">
        <v>0</v>
      </c>
      <c r="V48" s="116">
        <v>0</v>
      </c>
      <c r="W48" s="117">
        <v>92.40089416503906</v>
      </c>
      <c r="X48" s="108">
        <v>18.070022583007812</v>
      </c>
      <c r="Y48" s="108">
        <v>10</v>
      </c>
      <c r="Z48" s="108">
        <v>23.69357681274414</v>
      </c>
      <c r="AA48" s="108">
        <v>18.16948890686035</v>
      </c>
      <c r="AB48" s="108">
        <v>43.581817626953125</v>
      </c>
      <c r="AC48" s="108">
        <v>10</v>
      </c>
      <c r="AD48" s="108">
        <v>23.81944465637207</v>
      </c>
      <c r="AE48" s="95">
        <v>14.203558921813965</v>
      </c>
      <c r="AF48" s="95">
        <v>18.80967903137207</v>
      </c>
      <c r="AG48" s="95"/>
      <c r="AH48" s="95">
        <v>0</v>
      </c>
      <c r="AI48" s="95">
        <v>0</v>
      </c>
      <c r="AJ48" s="95">
        <v>0</v>
      </c>
      <c r="AK48" s="95">
        <v>84.88859558105469</v>
      </c>
      <c r="AL48" s="96">
        <v>48.08738708496094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0.25</v>
      </c>
      <c r="C49" s="91">
        <v>0</v>
      </c>
      <c r="D49" s="91">
        <v>6.365776243910659E-07</v>
      </c>
      <c r="E49" s="91">
        <v>42.3249397277832</v>
      </c>
      <c r="F49" s="91"/>
      <c r="G49" s="91"/>
      <c r="H49" s="91">
        <v>0</v>
      </c>
      <c r="I49" s="91">
        <v>0</v>
      </c>
      <c r="J49" s="91">
        <v>25.236906051635742</v>
      </c>
      <c r="K49" s="91">
        <v>40</v>
      </c>
      <c r="L49" s="91">
        <v>50.31105422973633</v>
      </c>
      <c r="M49" s="91">
        <v>0</v>
      </c>
      <c r="N49" s="91">
        <v>0</v>
      </c>
      <c r="O49" s="91">
        <v>26.656539916992188</v>
      </c>
      <c r="P49" s="91">
        <v>0.05000000074505806</v>
      </c>
      <c r="Q49" s="91">
        <v>0.10452836006879807</v>
      </c>
      <c r="R49" s="91">
        <v>0.0001850662229117006</v>
      </c>
      <c r="S49" s="91">
        <v>0</v>
      </c>
      <c r="T49" s="91">
        <v>0</v>
      </c>
      <c r="U49" s="108">
        <v>0</v>
      </c>
      <c r="V49" s="116">
        <v>0</v>
      </c>
      <c r="W49" s="117">
        <v>94.44082641601562</v>
      </c>
      <c r="X49" s="108">
        <v>18.460647583007812</v>
      </c>
      <c r="Y49" s="108">
        <v>10</v>
      </c>
      <c r="Z49" s="108">
        <v>16.58420181274414</v>
      </c>
      <c r="AA49" s="108">
        <v>18.06640625</v>
      </c>
      <c r="AB49" s="108">
        <v>43.1749153137207</v>
      </c>
      <c r="AC49" s="108">
        <v>10</v>
      </c>
      <c r="AD49" s="108">
        <v>23.289932250976562</v>
      </c>
      <c r="AE49" s="95">
        <v>14.116753578186035</v>
      </c>
      <c r="AF49" s="95">
        <v>18.76085090637207</v>
      </c>
      <c r="AG49" s="95"/>
      <c r="AH49" s="95">
        <v>0</v>
      </c>
      <c r="AI49" s="95">
        <v>0</v>
      </c>
      <c r="AJ49" s="95">
        <v>0</v>
      </c>
      <c r="AK49" s="95">
        <v>84.8162612915039</v>
      </c>
      <c r="AL49" s="96">
        <v>47.421878814697266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0.29166666666666669</v>
      </c>
      <c r="C50" s="91">
        <v>0</v>
      </c>
      <c r="D50" s="91">
        <v>1.4507770174532197E-05</v>
      </c>
      <c r="E50" s="91">
        <v>43.1061897277832</v>
      </c>
      <c r="F50" s="91"/>
      <c r="G50" s="91"/>
      <c r="H50" s="91">
        <v>0</v>
      </c>
      <c r="I50" s="91">
        <v>0</v>
      </c>
      <c r="J50" s="91">
        <v>24.947555541992188</v>
      </c>
      <c r="K50" s="91">
        <v>40</v>
      </c>
      <c r="L50" s="91">
        <v>49.35257339477539</v>
      </c>
      <c r="M50" s="91">
        <v>0</v>
      </c>
      <c r="N50" s="91">
        <v>0</v>
      </c>
      <c r="O50" s="91">
        <v>26.213468551635742</v>
      </c>
      <c r="P50" s="91">
        <v>0.05000000074505806</v>
      </c>
      <c r="Q50" s="91">
        <v>0.10691551119089127</v>
      </c>
      <c r="R50" s="91">
        <v>0.00010228728933725506</v>
      </c>
      <c r="S50" s="91">
        <v>0</v>
      </c>
      <c r="T50" s="91">
        <v>0</v>
      </c>
      <c r="U50" s="108">
        <v>0</v>
      </c>
      <c r="V50" s="116">
        <v>0</v>
      </c>
      <c r="W50" s="117">
        <v>90.78775787353516</v>
      </c>
      <c r="X50" s="108">
        <v>16.724536895751953</v>
      </c>
      <c r="Y50" s="108">
        <v>35</v>
      </c>
      <c r="Z50" s="108">
        <v>89.4748306274414</v>
      </c>
      <c r="AA50" s="108">
        <v>16.90538215637207</v>
      </c>
      <c r="AB50" s="108">
        <v>42.64865493774414</v>
      </c>
      <c r="AC50" s="108">
        <v>35</v>
      </c>
      <c r="AD50" s="108">
        <v>89.71788787841797</v>
      </c>
      <c r="AE50" s="95">
        <v>13.9503755569458</v>
      </c>
      <c r="AF50" s="95">
        <v>18.60894203186035</v>
      </c>
      <c r="AG50" s="95"/>
      <c r="AH50" s="95">
        <v>0</v>
      </c>
      <c r="AI50" s="95">
        <v>0</v>
      </c>
      <c r="AJ50" s="95">
        <v>0</v>
      </c>
      <c r="AK50" s="95">
        <v>84.75115966796875</v>
      </c>
      <c r="AL50" s="96">
        <v>46.83738708496094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42">
        <v>0.33333333333333331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11"/>
      <c r="V51" s="119"/>
      <c r="W51" s="120"/>
      <c r="X51" s="111"/>
      <c r="Y51" s="111"/>
      <c r="Z51" s="111"/>
      <c r="AA51" s="111"/>
      <c r="AB51" s="111"/>
      <c r="AC51" s="111"/>
      <c r="AD51" s="111"/>
      <c r="AE51" s="104"/>
      <c r="AF51" s="104"/>
      <c r="AG51" s="104"/>
      <c r="AH51" s="104"/>
      <c r="AI51" s="104"/>
      <c r="AJ51" s="104"/>
      <c r="AK51" s="104"/>
      <c r="AL51" s="105"/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274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274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275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zoomScaleNormal="100" workbookViewId="0">
      <selection activeCell="S12" sqref="S1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253" t="s">
        <v>411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</row>
    <row r="3" spans="2:36" s="46" customFormat="1" ht="17.5" customHeight="1" x14ac:dyDescent="0.25">
      <c r="B3" s="256" t="s">
        <v>406</v>
      </c>
      <c r="C3" s="259" t="s">
        <v>405</v>
      </c>
      <c r="D3" s="262" t="s">
        <v>404</v>
      </c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3" t="s">
        <v>403</v>
      </c>
      <c r="AB3" s="264"/>
      <c r="AC3" s="264"/>
      <c r="AD3" s="264"/>
      <c r="AE3" s="264"/>
      <c r="AF3" s="264"/>
      <c r="AG3" s="264"/>
      <c r="AH3" s="264"/>
      <c r="AI3" s="264"/>
      <c r="AJ3" s="265"/>
    </row>
    <row r="4" spans="2:36" s="46" customFormat="1" ht="17.5" customHeight="1" x14ac:dyDescent="0.25">
      <c r="B4" s="257"/>
      <c r="C4" s="260"/>
      <c r="D4" s="266" t="s">
        <v>402</v>
      </c>
      <c r="E4" s="267"/>
      <c r="F4" s="267"/>
      <c r="G4" s="267"/>
      <c r="H4" s="267"/>
      <c r="I4" s="267"/>
      <c r="J4" s="268" t="s">
        <v>401</v>
      </c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71" t="s">
        <v>400</v>
      </c>
      <c r="V4" s="272"/>
      <c r="W4" s="272"/>
      <c r="X4" s="272"/>
      <c r="Y4" s="272"/>
      <c r="Z4" s="273"/>
      <c r="AA4" s="271" t="s">
        <v>399</v>
      </c>
      <c r="AB4" s="275" t="s">
        <v>398</v>
      </c>
      <c r="AC4" s="277" t="s">
        <v>397</v>
      </c>
      <c r="AD4" s="277" t="s">
        <v>306</v>
      </c>
      <c r="AE4" s="277" t="s">
        <v>396</v>
      </c>
      <c r="AF4" s="279" t="s">
        <v>395</v>
      </c>
      <c r="AG4" s="277" t="s">
        <v>394</v>
      </c>
      <c r="AH4" s="279" t="s">
        <v>393</v>
      </c>
      <c r="AI4" s="277" t="s">
        <v>392</v>
      </c>
      <c r="AJ4" s="280" t="s">
        <v>391</v>
      </c>
    </row>
    <row r="5" spans="2:36" s="46" customFormat="1" ht="37.5" customHeight="1" x14ac:dyDescent="0.25">
      <c r="B5" s="258"/>
      <c r="C5" s="261"/>
      <c r="D5" s="77" t="s">
        <v>390</v>
      </c>
      <c r="E5" s="74" t="s">
        <v>389</v>
      </c>
      <c r="F5" s="74" t="s">
        <v>388</v>
      </c>
      <c r="G5" s="74" t="s">
        <v>387</v>
      </c>
      <c r="H5" s="74" t="s">
        <v>378</v>
      </c>
      <c r="I5" s="66" t="s">
        <v>377</v>
      </c>
      <c r="J5" s="77" t="s">
        <v>381</v>
      </c>
      <c r="K5" s="74" t="s">
        <v>380</v>
      </c>
      <c r="L5" s="74" t="s">
        <v>379</v>
      </c>
      <c r="M5" s="74" t="s">
        <v>386</v>
      </c>
      <c r="N5" s="74" t="s">
        <v>386</v>
      </c>
      <c r="O5" s="74" t="s">
        <v>378</v>
      </c>
      <c r="P5" s="74" t="s">
        <v>385</v>
      </c>
      <c r="Q5" s="74" t="s">
        <v>384</v>
      </c>
      <c r="R5" s="74" t="s">
        <v>377</v>
      </c>
      <c r="S5" s="74" t="s">
        <v>383</v>
      </c>
      <c r="T5" s="76" t="s">
        <v>382</v>
      </c>
      <c r="U5" s="77" t="s">
        <v>381</v>
      </c>
      <c r="V5" s="65" t="s">
        <v>380</v>
      </c>
      <c r="W5" s="74" t="s">
        <v>379</v>
      </c>
      <c r="X5" s="74" t="s">
        <v>378</v>
      </c>
      <c r="Y5" s="74" t="s">
        <v>377</v>
      </c>
      <c r="Z5" s="76" t="s">
        <v>376</v>
      </c>
      <c r="AA5" s="274"/>
      <c r="AB5" s="276"/>
      <c r="AC5" s="278"/>
      <c r="AD5" s="278"/>
      <c r="AE5" s="278"/>
      <c r="AF5" s="278"/>
      <c r="AG5" s="278"/>
      <c r="AH5" s="278"/>
      <c r="AI5" s="278"/>
      <c r="AJ5" s="281"/>
    </row>
    <row r="6" spans="2:36" s="46" customFormat="1" ht="17.5" customHeight="1" x14ac:dyDescent="0.25">
      <c r="B6" s="282"/>
      <c r="C6" s="283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33" customFormat="1" ht="24" customHeight="1" x14ac:dyDescent="0.25">
      <c r="B7" s="257"/>
      <c r="C7" s="260"/>
      <c r="D7" s="122"/>
      <c r="E7" s="123">
        <f>K7+V7</f>
        <v>0</v>
      </c>
      <c r="F7" s="140" t="str">
        <f>IF(D7="","",IF(D28="","",IF(D7=(D7+D28)/2,"--",IF(D7&gt;=(D7+D28)/2,"↑","↓"))))</f>
        <v/>
      </c>
      <c r="G7" s="123"/>
      <c r="H7" s="123"/>
      <c r="I7" s="124"/>
      <c r="J7" s="125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5"/>
      <c r="V7" s="128"/>
      <c r="W7" s="123"/>
      <c r="X7" s="123"/>
      <c r="Y7" s="123"/>
      <c r="Z7" s="129" t="e">
        <f>U7/D7</f>
        <v>#DIV/0!</v>
      </c>
      <c r="AA7" s="130"/>
      <c r="AB7" s="123"/>
      <c r="AC7" s="123"/>
      <c r="AD7" s="123"/>
      <c r="AE7" s="131"/>
      <c r="AF7" s="131"/>
      <c r="AG7" s="131"/>
      <c r="AH7" s="131"/>
      <c r="AI7" s="131"/>
      <c r="AJ7" s="132"/>
    </row>
    <row r="8" spans="2:36" s="46" customFormat="1" ht="17.5" customHeight="1" x14ac:dyDescent="0.25">
      <c r="B8" s="257"/>
      <c r="C8" s="260"/>
      <c r="D8" s="271" t="s">
        <v>371</v>
      </c>
      <c r="E8" s="272"/>
      <c r="F8" s="273"/>
      <c r="G8" s="271" t="s">
        <v>370</v>
      </c>
      <c r="H8" s="272"/>
      <c r="I8" s="272"/>
      <c r="J8" s="272"/>
      <c r="K8" s="272"/>
      <c r="L8" s="272"/>
      <c r="M8" s="272"/>
      <c r="N8" s="272"/>
      <c r="O8" s="273"/>
      <c r="P8" s="271" t="s">
        <v>369</v>
      </c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3"/>
      <c r="AE8" s="284" t="s">
        <v>336</v>
      </c>
      <c r="AF8" s="272"/>
      <c r="AG8" s="272"/>
      <c r="AH8" s="272"/>
      <c r="AI8" s="272"/>
      <c r="AJ8" s="273"/>
    </row>
    <row r="9" spans="2:36" s="46" customFormat="1" ht="15" customHeight="1" x14ac:dyDescent="0.25">
      <c r="B9" s="257"/>
      <c r="C9" s="260"/>
      <c r="D9" s="285" t="s">
        <v>368</v>
      </c>
      <c r="E9" s="286" t="s">
        <v>367</v>
      </c>
      <c r="F9" s="287" t="s">
        <v>366</v>
      </c>
      <c r="G9" s="285" t="s">
        <v>365</v>
      </c>
      <c r="H9" s="278"/>
      <c r="I9" s="288" t="s">
        <v>364</v>
      </c>
      <c r="J9" s="288" t="s">
        <v>363</v>
      </c>
      <c r="K9" s="288" t="s">
        <v>362</v>
      </c>
      <c r="L9" s="288" t="s">
        <v>361</v>
      </c>
      <c r="M9" s="288" t="s">
        <v>360</v>
      </c>
      <c r="N9" s="288" t="s">
        <v>359</v>
      </c>
      <c r="O9" s="290" t="s">
        <v>358</v>
      </c>
      <c r="P9" s="285" t="s">
        <v>357</v>
      </c>
      <c r="Q9" s="278"/>
      <c r="R9" s="286" t="s">
        <v>356</v>
      </c>
      <c r="S9" s="278"/>
      <c r="T9" s="278"/>
      <c r="U9" s="286" t="s">
        <v>355</v>
      </c>
      <c r="V9" s="292" t="s">
        <v>354</v>
      </c>
      <c r="W9" s="278"/>
      <c r="X9" s="292" t="s">
        <v>353</v>
      </c>
      <c r="Y9" s="278"/>
      <c r="Z9" s="278"/>
      <c r="AA9" s="292" t="s">
        <v>352</v>
      </c>
      <c r="AB9" s="286" t="s">
        <v>351</v>
      </c>
      <c r="AC9" s="289" t="s">
        <v>350</v>
      </c>
      <c r="AD9" s="287" t="s">
        <v>349</v>
      </c>
      <c r="AE9" s="291" t="s">
        <v>348</v>
      </c>
      <c r="AF9" s="278"/>
      <c r="AG9" s="278"/>
      <c r="AH9" s="288" t="s">
        <v>332</v>
      </c>
      <c r="AI9" s="278"/>
      <c r="AJ9" s="281"/>
    </row>
    <row r="10" spans="2:36" s="46" customFormat="1" ht="15" customHeight="1" x14ac:dyDescent="0.25">
      <c r="B10" s="257"/>
      <c r="C10" s="260"/>
      <c r="D10" s="274"/>
      <c r="E10" s="278"/>
      <c r="F10" s="281"/>
      <c r="G10" s="75" t="s">
        <v>347</v>
      </c>
      <c r="H10" s="72" t="s">
        <v>346</v>
      </c>
      <c r="I10" s="278"/>
      <c r="J10" s="278"/>
      <c r="K10" s="278"/>
      <c r="L10" s="278"/>
      <c r="M10" s="278"/>
      <c r="N10" s="278"/>
      <c r="O10" s="281"/>
      <c r="P10" s="75" t="s">
        <v>345</v>
      </c>
      <c r="Q10" s="72" t="s">
        <v>344</v>
      </c>
      <c r="R10" s="72" t="s">
        <v>344</v>
      </c>
      <c r="S10" s="72" t="s">
        <v>343</v>
      </c>
      <c r="T10" s="71" t="s">
        <v>342</v>
      </c>
      <c r="U10" s="278"/>
      <c r="V10" s="71" t="s">
        <v>345</v>
      </c>
      <c r="W10" s="72" t="s">
        <v>344</v>
      </c>
      <c r="X10" s="71" t="s">
        <v>344</v>
      </c>
      <c r="Y10" s="72" t="s">
        <v>343</v>
      </c>
      <c r="Z10" s="71" t="s">
        <v>342</v>
      </c>
      <c r="AA10" s="278"/>
      <c r="AB10" s="278"/>
      <c r="AC10" s="278"/>
      <c r="AD10" s="281"/>
      <c r="AE10" s="77" t="s">
        <v>1</v>
      </c>
      <c r="AF10" s="74" t="s">
        <v>12</v>
      </c>
      <c r="AG10" s="74" t="s">
        <v>15</v>
      </c>
      <c r="AH10" s="52" t="s">
        <v>103</v>
      </c>
      <c r="AI10" s="74" t="s">
        <v>341</v>
      </c>
      <c r="AJ10" s="73" t="s">
        <v>340</v>
      </c>
    </row>
    <row r="11" spans="2:36" s="46" customFormat="1" ht="17.5" customHeight="1" x14ac:dyDescent="0.25">
      <c r="B11" s="257"/>
      <c r="C11" s="260"/>
      <c r="D11" s="75" t="s">
        <v>4</v>
      </c>
      <c r="E11" s="72" t="s">
        <v>4</v>
      </c>
      <c r="F11" s="73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33" customFormat="1" ht="24" customHeight="1" x14ac:dyDescent="0.25">
      <c r="B12" s="257"/>
      <c r="C12" s="260"/>
      <c r="D12" s="141">
        <v>0.53</v>
      </c>
      <c r="E12" s="134"/>
      <c r="F12" s="146" t="str">
        <f>IF(E12="","",IF(AND(E12&gt;=0.525,E12&lt;=0.53),"合格","不合格"))</f>
        <v/>
      </c>
      <c r="G12" s="122"/>
      <c r="H12" s="123"/>
      <c r="I12" s="123"/>
      <c r="J12" s="123"/>
      <c r="K12" s="123"/>
      <c r="L12" s="123"/>
      <c r="M12" s="123"/>
      <c r="N12" s="123"/>
      <c r="O12" s="129"/>
      <c r="P12" s="142">
        <v>29.1</v>
      </c>
      <c r="Q12" s="143" t="s">
        <v>337</v>
      </c>
      <c r="R12" s="123"/>
      <c r="S12" s="123">
        <f>R12-Q12</f>
        <v>-33.1</v>
      </c>
      <c r="T12" s="140" t="str">
        <f>IF(S12&gt;=0,"↑","↓")</f>
        <v>↓</v>
      </c>
      <c r="U12" s="131" t="s">
        <v>82</v>
      </c>
      <c r="V12" s="143">
        <v>1.6</v>
      </c>
      <c r="W12" s="143">
        <v>17.600000000000001</v>
      </c>
      <c r="X12" s="123"/>
      <c r="Y12" s="123">
        <f>X12-W12</f>
        <v>-17.600000000000001</v>
      </c>
      <c r="Z12" s="140" t="str">
        <f>IF(Y12&gt;=0,"↑","↓")</f>
        <v>↓</v>
      </c>
      <c r="AA12" s="143">
        <v>6.28</v>
      </c>
      <c r="AB12" s="123"/>
      <c r="AC12" s="123">
        <f>AB12-AA12</f>
        <v>-6.28</v>
      </c>
      <c r="AD12" s="140" t="str">
        <f>IF(AC12&gt;=0,"↑","↓")</f>
        <v>↓</v>
      </c>
      <c r="AE12" s="135"/>
      <c r="AF12" s="123"/>
      <c r="AG12" s="131"/>
      <c r="AH12" s="131"/>
      <c r="AI12" s="131"/>
      <c r="AJ12" s="132"/>
    </row>
    <row r="13" spans="2:36" s="46" customFormat="1" ht="15" customHeight="1" x14ac:dyDescent="0.25">
      <c r="B13" s="257"/>
      <c r="C13" s="260"/>
      <c r="D13" s="271" t="s">
        <v>336</v>
      </c>
      <c r="E13" s="273"/>
      <c r="F13" s="271" t="s">
        <v>335</v>
      </c>
      <c r="G13" s="272"/>
      <c r="H13" s="272"/>
      <c r="I13" s="272"/>
      <c r="J13" s="272"/>
      <c r="K13" s="272"/>
      <c r="L13" s="272"/>
      <c r="M13" s="273"/>
      <c r="N13" s="271" t="s">
        <v>334</v>
      </c>
      <c r="O13" s="272"/>
      <c r="P13" s="272"/>
      <c r="Q13" s="272"/>
      <c r="R13" s="272"/>
      <c r="S13" s="272"/>
      <c r="T13" s="272"/>
      <c r="U13" s="273"/>
      <c r="V13" s="284" t="s">
        <v>333</v>
      </c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3"/>
    </row>
    <row r="14" spans="2:36" s="46" customFormat="1" ht="15" customHeight="1" x14ac:dyDescent="0.25">
      <c r="B14" s="257"/>
      <c r="C14" s="260"/>
      <c r="D14" s="285" t="s">
        <v>332</v>
      </c>
      <c r="E14" s="281"/>
      <c r="F14" s="285" t="s">
        <v>331</v>
      </c>
      <c r="G14" s="278"/>
      <c r="H14" s="278"/>
      <c r="I14" s="278"/>
      <c r="J14" s="278"/>
      <c r="K14" s="288" t="s">
        <v>330</v>
      </c>
      <c r="L14" s="278"/>
      <c r="M14" s="281"/>
      <c r="N14" s="285" t="s">
        <v>329</v>
      </c>
      <c r="O14" s="278"/>
      <c r="P14" s="278"/>
      <c r="Q14" s="278"/>
      <c r="R14" s="278"/>
      <c r="S14" s="286" t="s">
        <v>328</v>
      </c>
      <c r="T14" s="278"/>
      <c r="U14" s="281"/>
      <c r="V14" s="291" t="s">
        <v>327</v>
      </c>
      <c r="W14" s="278"/>
      <c r="X14" s="278"/>
      <c r="Y14" s="278"/>
      <c r="Z14" s="288" t="s">
        <v>326</v>
      </c>
      <c r="AA14" s="278"/>
      <c r="AB14" s="278"/>
      <c r="AC14" s="278"/>
      <c r="AD14" s="278"/>
      <c r="AE14" s="278"/>
      <c r="AF14" s="278"/>
      <c r="AG14" s="278"/>
      <c r="AH14" s="278"/>
      <c r="AI14" s="278"/>
      <c r="AJ14" s="281"/>
    </row>
    <row r="15" spans="2:36" s="46" customFormat="1" ht="25" customHeight="1" x14ac:dyDescent="0.25">
      <c r="B15" s="257"/>
      <c r="C15" s="260"/>
      <c r="D15" s="75" t="s">
        <v>325</v>
      </c>
      <c r="E15" s="73" t="s">
        <v>322</v>
      </c>
      <c r="F15" s="75" t="s">
        <v>324</v>
      </c>
      <c r="G15" s="72" t="s">
        <v>317</v>
      </c>
      <c r="H15" s="72" t="s">
        <v>323</v>
      </c>
      <c r="I15" s="74" t="s">
        <v>15</v>
      </c>
      <c r="J15" s="52" t="s">
        <v>322</v>
      </c>
      <c r="K15" s="74" t="s">
        <v>321</v>
      </c>
      <c r="L15" s="74" t="s">
        <v>320</v>
      </c>
      <c r="M15" s="73" t="s">
        <v>319</v>
      </c>
      <c r="N15" s="75" t="s">
        <v>324</v>
      </c>
      <c r="O15" s="72" t="s">
        <v>317</v>
      </c>
      <c r="P15" s="72" t="s">
        <v>323</v>
      </c>
      <c r="Q15" s="72" t="s">
        <v>15</v>
      </c>
      <c r="R15" s="71" t="s">
        <v>322</v>
      </c>
      <c r="S15" s="74" t="s">
        <v>321</v>
      </c>
      <c r="T15" s="74" t="s">
        <v>320</v>
      </c>
      <c r="U15" s="73" t="s">
        <v>319</v>
      </c>
      <c r="V15" s="77" t="s">
        <v>318</v>
      </c>
      <c r="W15" s="74" t="s">
        <v>317</v>
      </c>
      <c r="X15" s="74" t="s">
        <v>316</v>
      </c>
      <c r="Y15" s="74" t="s">
        <v>315</v>
      </c>
      <c r="Z15" s="74" t="s">
        <v>314</v>
      </c>
      <c r="AA15" s="74" t="s">
        <v>313</v>
      </c>
      <c r="AB15" s="74" t="s">
        <v>312</v>
      </c>
      <c r="AC15" s="74" t="s">
        <v>311</v>
      </c>
      <c r="AD15" s="74" t="s">
        <v>310</v>
      </c>
      <c r="AE15" s="74" t="s">
        <v>309</v>
      </c>
      <c r="AF15" s="74" t="s">
        <v>308</v>
      </c>
      <c r="AG15" s="74" t="s">
        <v>307</v>
      </c>
      <c r="AH15" s="74" t="s">
        <v>306</v>
      </c>
      <c r="AI15" s="74" t="s">
        <v>305</v>
      </c>
      <c r="AJ15" s="76" t="s">
        <v>304</v>
      </c>
    </row>
    <row r="16" spans="2:36" s="46" customFormat="1" ht="15" customHeight="1" x14ac:dyDescent="0.25">
      <c r="B16" s="257"/>
      <c r="C16" s="260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72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33" customFormat="1" ht="24" customHeight="1" x14ac:dyDescent="0.25">
      <c r="B17" s="257"/>
      <c r="C17" s="260"/>
      <c r="D17" s="135"/>
      <c r="E17" s="129"/>
      <c r="F17" s="135"/>
      <c r="G17" s="131"/>
      <c r="H17" s="131"/>
      <c r="I17" s="123"/>
      <c r="J17" s="123"/>
      <c r="K17" s="123"/>
      <c r="L17" s="123"/>
      <c r="M17" s="129"/>
      <c r="N17" s="122"/>
      <c r="O17" s="123"/>
      <c r="P17" s="123"/>
      <c r="Q17" s="123"/>
      <c r="R17" s="123"/>
      <c r="S17" s="123"/>
      <c r="T17" s="123"/>
      <c r="U17" s="129"/>
      <c r="V17" s="122"/>
      <c r="W17" s="123"/>
      <c r="X17" s="123"/>
      <c r="Y17" s="123"/>
      <c r="Z17" s="123"/>
      <c r="AA17" s="123"/>
      <c r="AB17" s="123"/>
      <c r="AC17" s="123"/>
      <c r="AD17" s="123"/>
      <c r="AE17" s="123" t="e">
        <f>Z17/AB17</f>
        <v>#DIV/0!</v>
      </c>
      <c r="AF17" s="123"/>
      <c r="AG17" s="123"/>
      <c r="AH17" s="123" t="e">
        <f>AF17/(Z17-AB17)</f>
        <v>#DIV/0!</v>
      </c>
      <c r="AI17" s="143" t="s">
        <v>296</v>
      </c>
      <c r="AJ17" s="140" t="e">
        <f>IF((AH17-AI17)&gt;=0,"↑","↓")</f>
        <v>#DIV/0!</v>
      </c>
    </row>
    <row r="18" spans="2:36" s="46" customFormat="1" ht="15" customHeight="1" x14ac:dyDescent="0.25">
      <c r="B18" s="257"/>
      <c r="C18" s="260"/>
      <c r="D18" s="284" t="s">
        <v>295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3"/>
      <c r="R18" s="78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84" t="s">
        <v>82</v>
      </c>
    </row>
    <row r="19" spans="2:36" s="46" customFormat="1" ht="15" customHeight="1" x14ac:dyDescent="0.25">
      <c r="B19" s="257"/>
      <c r="C19" s="260"/>
      <c r="D19" s="291" t="s">
        <v>294</v>
      </c>
      <c r="E19" s="278"/>
      <c r="F19" s="278"/>
      <c r="G19" s="288" t="s">
        <v>293</v>
      </c>
      <c r="H19" s="278"/>
      <c r="I19" s="278"/>
      <c r="J19" s="288" t="s">
        <v>292</v>
      </c>
      <c r="K19" s="278"/>
      <c r="L19" s="278"/>
      <c r="M19" s="288" t="s">
        <v>291</v>
      </c>
      <c r="N19" s="288" t="s">
        <v>290</v>
      </c>
      <c r="O19" s="288" t="s">
        <v>289</v>
      </c>
      <c r="P19" s="288" t="s">
        <v>225</v>
      </c>
      <c r="Q19" s="290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412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57"/>
      <c r="C20" s="260"/>
      <c r="D20" s="77" t="s">
        <v>287</v>
      </c>
      <c r="E20" s="74" t="s">
        <v>286</v>
      </c>
      <c r="F20" s="74" t="s">
        <v>285</v>
      </c>
      <c r="G20" s="74" t="s">
        <v>287</v>
      </c>
      <c r="H20" s="74" t="s">
        <v>286</v>
      </c>
      <c r="I20" s="74" t="s">
        <v>285</v>
      </c>
      <c r="J20" s="74" t="s">
        <v>287</v>
      </c>
      <c r="K20" s="74" t="s">
        <v>286</v>
      </c>
      <c r="L20" s="74" t="s">
        <v>285</v>
      </c>
      <c r="M20" s="278"/>
      <c r="N20" s="278"/>
      <c r="O20" s="278"/>
      <c r="P20" s="278"/>
      <c r="Q20" s="281"/>
      <c r="R20" s="75" t="s">
        <v>4</v>
      </c>
      <c r="S20" s="72" t="s">
        <v>4</v>
      </c>
      <c r="T20" s="72" t="s">
        <v>4</v>
      </c>
      <c r="U20" s="72" t="s">
        <v>82</v>
      </c>
      <c r="V20" s="72" t="s">
        <v>82</v>
      </c>
      <c r="W20" s="74" t="s">
        <v>82</v>
      </c>
      <c r="X20" s="72" t="s">
        <v>82</v>
      </c>
      <c r="Y20" s="72" t="s">
        <v>82</v>
      </c>
      <c r="Z20" s="74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57"/>
      <c r="C21" s="260"/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33" customFormat="1" ht="24" customHeight="1" x14ac:dyDescent="0.25">
      <c r="B22" s="257"/>
      <c r="C22" s="260"/>
      <c r="D22" s="136"/>
      <c r="E22" s="137"/>
      <c r="F22" s="137">
        <f>D22-E22</f>
        <v>0</v>
      </c>
      <c r="G22" s="137"/>
      <c r="H22" s="137"/>
      <c r="I22" s="137">
        <f>G22-H22</f>
        <v>0</v>
      </c>
      <c r="J22" s="137"/>
      <c r="K22" s="137"/>
      <c r="L22" s="137">
        <f>J22-K22</f>
        <v>0</v>
      </c>
      <c r="M22" s="137"/>
      <c r="N22" s="137"/>
      <c r="O22" s="137" t="e">
        <f>N22/M22</f>
        <v>#DIV/0!</v>
      </c>
      <c r="P22" s="137"/>
      <c r="Q22" s="144">
        <v>301</v>
      </c>
      <c r="R22" s="136" t="s">
        <v>4</v>
      </c>
      <c r="S22" s="137" t="s">
        <v>4</v>
      </c>
      <c r="T22" s="137" t="s">
        <v>4</v>
      </c>
      <c r="U22" s="137" t="s">
        <v>82</v>
      </c>
      <c r="V22" s="137" t="s">
        <v>82</v>
      </c>
      <c r="W22" s="137" t="s">
        <v>82</v>
      </c>
      <c r="X22" s="137" t="s">
        <v>82</v>
      </c>
      <c r="Y22" s="137" t="s">
        <v>82</v>
      </c>
      <c r="Z22" s="137" t="s">
        <v>82</v>
      </c>
      <c r="AA22" s="137" t="s">
        <v>82</v>
      </c>
      <c r="AB22" s="137" t="s">
        <v>82</v>
      </c>
      <c r="AC22" s="137" t="s">
        <v>82</v>
      </c>
      <c r="AD22" s="137" t="s">
        <v>82</v>
      </c>
      <c r="AE22" s="138" t="s">
        <v>82</v>
      </c>
      <c r="AF22" s="138" t="s">
        <v>82</v>
      </c>
      <c r="AG22" s="138" t="s">
        <v>82</v>
      </c>
      <c r="AH22" s="138" t="s">
        <v>82</v>
      </c>
      <c r="AI22" s="138" t="s">
        <v>82</v>
      </c>
      <c r="AJ22" s="139" t="s">
        <v>82</v>
      </c>
    </row>
    <row r="23" spans="2:36" s="46" customFormat="1" ht="7.5" customHeight="1" x14ac:dyDescent="0.25">
      <c r="B23" s="85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86"/>
    </row>
    <row r="24" spans="2:36" s="46" customFormat="1" ht="17.5" customHeight="1" x14ac:dyDescent="0.25">
      <c r="B24" s="293" t="s">
        <v>406</v>
      </c>
      <c r="C24" s="294" t="s">
        <v>405</v>
      </c>
      <c r="D24" s="295" t="s">
        <v>404</v>
      </c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7"/>
      <c r="AA24" s="298" t="s">
        <v>403</v>
      </c>
      <c r="AB24" s="299"/>
      <c r="AC24" s="299"/>
      <c r="AD24" s="299"/>
      <c r="AE24" s="299"/>
      <c r="AF24" s="299"/>
      <c r="AG24" s="299"/>
      <c r="AH24" s="299"/>
      <c r="AI24" s="299"/>
      <c r="AJ24" s="300"/>
    </row>
    <row r="25" spans="2:36" s="46" customFormat="1" ht="17.5" customHeight="1" x14ac:dyDescent="0.25">
      <c r="B25" s="257"/>
      <c r="C25" s="260"/>
      <c r="D25" s="266" t="s">
        <v>402</v>
      </c>
      <c r="E25" s="267"/>
      <c r="F25" s="267"/>
      <c r="G25" s="267"/>
      <c r="H25" s="267"/>
      <c r="I25" s="267"/>
      <c r="J25" s="268" t="s">
        <v>401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70"/>
      <c r="U25" s="271" t="s">
        <v>400</v>
      </c>
      <c r="V25" s="272"/>
      <c r="W25" s="272"/>
      <c r="X25" s="272"/>
      <c r="Y25" s="272"/>
      <c r="Z25" s="273"/>
      <c r="AA25" s="271" t="s">
        <v>399</v>
      </c>
      <c r="AB25" s="275" t="s">
        <v>398</v>
      </c>
      <c r="AC25" s="277" t="s">
        <v>397</v>
      </c>
      <c r="AD25" s="277" t="s">
        <v>306</v>
      </c>
      <c r="AE25" s="277" t="s">
        <v>396</v>
      </c>
      <c r="AF25" s="279" t="s">
        <v>395</v>
      </c>
      <c r="AG25" s="277" t="s">
        <v>394</v>
      </c>
      <c r="AH25" s="279" t="s">
        <v>393</v>
      </c>
      <c r="AI25" s="277" t="s">
        <v>392</v>
      </c>
      <c r="AJ25" s="280" t="s">
        <v>391</v>
      </c>
    </row>
    <row r="26" spans="2:36" s="46" customFormat="1" ht="37.5" customHeight="1" x14ac:dyDescent="0.25">
      <c r="B26" s="258"/>
      <c r="C26" s="261"/>
      <c r="D26" s="77" t="s">
        <v>390</v>
      </c>
      <c r="E26" s="74" t="s">
        <v>389</v>
      </c>
      <c r="F26" s="74" t="s">
        <v>388</v>
      </c>
      <c r="G26" s="74" t="s">
        <v>387</v>
      </c>
      <c r="H26" s="74" t="s">
        <v>378</v>
      </c>
      <c r="I26" s="66" t="s">
        <v>377</v>
      </c>
      <c r="J26" s="77" t="s">
        <v>381</v>
      </c>
      <c r="K26" s="74" t="s">
        <v>380</v>
      </c>
      <c r="L26" s="74" t="s">
        <v>379</v>
      </c>
      <c r="M26" s="74" t="s">
        <v>386</v>
      </c>
      <c r="N26" s="74" t="s">
        <v>386</v>
      </c>
      <c r="O26" s="74" t="s">
        <v>378</v>
      </c>
      <c r="P26" s="74" t="s">
        <v>385</v>
      </c>
      <c r="Q26" s="74" t="s">
        <v>384</v>
      </c>
      <c r="R26" s="74" t="s">
        <v>377</v>
      </c>
      <c r="S26" s="74" t="s">
        <v>383</v>
      </c>
      <c r="T26" s="76" t="s">
        <v>382</v>
      </c>
      <c r="U26" s="77" t="s">
        <v>381</v>
      </c>
      <c r="V26" s="65" t="s">
        <v>380</v>
      </c>
      <c r="W26" s="74" t="s">
        <v>379</v>
      </c>
      <c r="X26" s="74" t="s">
        <v>378</v>
      </c>
      <c r="Y26" s="74" t="s">
        <v>377</v>
      </c>
      <c r="Z26" s="76" t="s">
        <v>376</v>
      </c>
      <c r="AA26" s="274"/>
      <c r="AB26" s="276"/>
      <c r="AC26" s="278"/>
      <c r="AD26" s="278"/>
      <c r="AE26" s="278"/>
      <c r="AF26" s="278"/>
      <c r="AG26" s="278"/>
      <c r="AH26" s="278"/>
      <c r="AI26" s="278"/>
      <c r="AJ26" s="281"/>
    </row>
    <row r="27" spans="2:36" s="46" customFormat="1" ht="17.5" customHeight="1" x14ac:dyDescent="0.25">
      <c r="B27" s="282"/>
      <c r="C27" s="283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33" customFormat="1" ht="24" customHeight="1" x14ac:dyDescent="0.25">
      <c r="B28" s="257"/>
      <c r="C28" s="260"/>
      <c r="D28" s="122"/>
      <c r="E28" s="123">
        <f>K28+V28</f>
        <v>0</v>
      </c>
      <c r="F28" s="140" t="str">
        <f>IF(D28="","",IF(D7="","",IF(D28=(D7+D28)/2,"--",IF(D28&gt;=(D7+D28)/2,"↑","↓"))))</f>
        <v/>
      </c>
      <c r="G28" s="123"/>
      <c r="H28" s="123"/>
      <c r="I28" s="124"/>
      <c r="J28" s="125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5"/>
      <c r="V28" s="128"/>
      <c r="W28" s="123"/>
      <c r="X28" s="123"/>
      <c r="Y28" s="123"/>
      <c r="Z28" s="129" t="e">
        <f>U28/D28</f>
        <v>#DIV/0!</v>
      </c>
      <c r="AA28" s="130"/>
      <c r="AB28" s="123"/>
      <c r="AC28" s="123"/>
      <c r="AD28" s="123"/>
      <c r="AE28" s="131"/>
      <c r="AF28" s="131"/>
      <c r="AG28" s="131"/>
      <c r="AH28" s="131"/>
      <c r="AI28" s="131"/>
      <c r="AJ28" s="132"/>
    </row>
    <row r="29" spans="2:36" s="46" customFormat="1" ht="17.5" customHeight="1" x14ac:dyDescent="0.25">
      <c r="B29" s="257"/>
      <c r="C29" s="260"/>
      <c r="D29" s="271" t="s">
        <v>371</v>
      </c>
      <c r="E29" s="272"/>
      <c r="F29" s="273"/>
      <c r="G29" s="271" t="s">
        <v>370</v>
      </c>
      <c r="H29" s="272"/>
      <c r="I29" s="272"/>
      <c r="J29" s="272"/>
      <c r="K29" s="272"/>
      <c r="L29" s="272"/>
      <c r="M29" s="272"/>
      <c r="N29" s="272"/>
      <c r="O29" s="273"/>
      <c r="P29" s="271" t="s">
        <v>369</v>
      </c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3"/>
      <c r="AE29" s="284" t="s">
        <v>336</v>
      </c>
      <c r="AF29" s="272"/>
      <c r="AG29" s="272"/>
      <c r="AH29" s="272"/>
      <c r="AI29" s="272"/>
      <c r="AJ29" s="273"/>
    </row>
    <row r="30" spans="2:36" s="46" customFormat="1" ht="15" customHeight="1" x14ac:dyDescent="0.25">
      <c r="B30" s="257"/>
      <c r="C30" s="260"/>
      <c r="D30" s="285" t="s">
        <v>368</v>
      </c>
      <c r="E30" s="286" t="s">
        <v>367</v>
      </c>
      <c r="F30" s="287" t="s">
        <v>366</v>
      </c>
      <c r="G30" s="285" t="s">
        <v>365</v>
      </c>
      <c r="H30" s="278"/>
      <c r="I30" s="288" t="s">
        <v>364</v>
      </c>
      <c r="J30" s="288" t="s">
        <v>363</v>
      </c>
      <c r="K30" s="288" t="s">
        <v>362</v>
      </c>
      <c r="L30" s="288" t="s">
        <v>361</v>
      </c>
      <c r="M30" s="288" t="s">
        <v>360</v>
      </c>
      <c r="N30" s="288" t="s">
        <v>359</v>
      </c>
      <c r="O30" s="290" t="s">
        <v>358</v>
      </c>
      <c r="P30" s="285" t="s">
        <v>357</v>
      </c>
      <c r="Q30" s="278"/>
      <c r="R30" s="286" t="s">
        <v>356</v>
      </c>
      <c r="S30" s="278"/>
      <c r="T30" s="278"/>
      <c r="U30" s="286" t="s">
        <v>355</v>
      </c>
      <c r="V30" s="292" t="s">
        <v>354</v>
      </c>
      <c r="W30" s="278"/>
      <c r="X30" s="292" t="s">
        <v>353</v>
      </c>
      <c r="Y30" s="278"/>
      <c r="Z30" s="278"/>
      <c r="AA30" s="292" t="s">
        <v>352</v>
      </c>
      <c r="AB30" s="286" t="s">
        <v>351</v>
      </c>
      <c r="AC30" s="289" t="s">
        <v>350</v>
      </c>
      <c r="AD30" s="287" t="s">
        <v>349</v>
      </c>
      <c r="AE30" s="291" t="s">
        <v>348</v>
      </c>
      <c r="AF30" s="278"/>
      <c r="AG30" s="278"/>
      <c r="AH30" s="288" t="s">
        <v>332</v>
      </c>
      <c r="AI30" s="278"/>
      <c r="AJ30" s="281"/>
    </row>
    <row r="31" spans="2:36" s="46" customFormat="1" ht="15" customHeight="1" x14ac:dyDescent="0.25">
      <c r="B31" s="257"/>
      <c r="C31" s="260"/>
      <c r="D31" s="274"/>
      <c r="E31" s="278"/>
      <c r="F31" s="281"/>
      <c r="G31" s="75" t="s">
        <v>347</v>
      </c>
      <c r="H31" s="72" t="s">
        <v>346</v>
      </c>
      <c r="I31" s="278"/>
      <c r="J31" s="278"/>
      <c r="K31" s="278"/>
      <c r="L31" s="278"/>
      <c r="M31" s="278"/>
      <c r="N31" s="278"/>
      <c r="O31" s="281"/>
      <c r="P31" s="75" t="s">
        <v>345</v>
      </c>
      <c r="Q31" s="72" t="s">
        <v>344</v>
      </c>
      <c r="R31" s="72" t="s">
        <v>344</v>
      </c>
      <c r="S31" s="72" t="s">
        <v>343</v>
      </c>
      <c r="T31" s="71" t="s">
        <v>342</v>
      </c>
      <c r="U31" s="278"/>
      <c r="V31" s="71" t="s">
        <v>345</v>
      </c>
      <c r="W31" s="72" t="s">
        <v>344</v>
      </c>
      <c r="X31" s="71" t="s">
        <v>344</v>
      </c>
      <c r="Y31" s="72" t="s">
        <v>343</v>
      </c>
      <c r="Z31" s="71" t="s">
        <v>342</v>
      </c>
      <c r="AA31" s="278"/>
      <c r="AB31" s="278"/>
      <c r="AC31" s="278"/>
      <c r="AD31" s="281"/>
      <c r="AE31" s="77" t="s">
        <v>1</v>
      </c>
      <c r="AF31" s="74" t="s">
        <v>12</v>
      </c>
      <c r="AG31" s="74" t="s">
        <v>15</v>
      </c>
      <c r="AH31" s="52" t="s">
        <v>103</v>
      </c>
      <c r="AI31" s="74" t="s">
        <v>341</v>
      </c>
      <c r="AJ31" s="73" t="s">
        <v>340</v>
      </c>
    </row>
    <row r="32" spans="2:36" s="46" customFormat="1" ht="17.5" customHeight="1" x14ac:dyDescent="0.25">
      <c r="B32" s="257"/>
      <c r="C32" s="260"/>
      <c r="D32" s="75" t="s">
        <v>4</v>
      </c>
      <c r="E32" s="72" t="s">
        <v>4</v>
      </c>
      <c r="F32" s="73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33" customFormat="1" ht="24" customHeight="1" x14ac:dyDescent="0.25">
      <c r="B33" s="257"/>
      <c r="C33" s="260"/>
      <c r="D33" s="141">
        <v>0.53</v>
      </c>
      <c r="E33" s="134"/>
      <c r="F33" s="146" t="str">
        <f>IF(E33="","",IF(AND(E33&gt;=0.525,E33&lt;=0.53),"合格","不合格"))</f>
        <v/>
      </c>
      <c r="G33" s="122"/>
      <c r="H33" s="123"/>
      <c r="I33" s="123"/>
      <c r="J33" s="123"/>
      <c r="K33" s="123"/>
      <c r="L33" s="123"/>
      <c r="M33" s="123"/>
      <c r="N33" s="123"/>
      <c r="O33" s="129"/>
      <c r="P33" s="142">
        <v>29.1</v>
      </c>
      <c r="Q33" s="143" t="s">
        <v>337</v>
      </c>
      <c r="R33" s="123"/>
      <c r="S33" s="123">
        <f>R33-33.1</f>
        <v>-33.1</v>
      </c>
      <c r="T33" s="140" t="str">
        <f>IF(S33&gt;=0,"↑","↓")</f>
        <v>↓</v>
      </c>
      <c r="U33" s="131" t="s">
        <v>82</v>
      </c>
      <c r="V33" s="143">
        <v>1.6</v>
      </c>
      <c r="W33" s="143">
        <v>17.600000000000001</v>
      </c>
      <c r="X33" s="123"/>
      <c r="Y33" s="123">
        <f>X33-W33</f>
        <v>-17.600000000000001</v>
      </c>
      <c r="Z33" s="140" t="str">
        <f>IF(Y33&gt;=0,"↑","↓")</f>
        <v>↓</v>
      </c>
      <c r="AA33" s="143">
        <v>6.28</v>
      </c>
      <c r="AB33" s="123"/>
      <c r="AC33" s="123">
        <f>AB33-AA33</f>
        <v>-6.28</v>
      </c>
      <c r="AD33" s="140" t="str">
        <f>IF(AC33&gt;=0,"↑","↓")</f>
        <v>↓</v>
      </c>
      <c r="AE33" s="135"/>
      <c r="AF33" s="123"/>
      <c r="AG33" s="131"/>
      <c r="AH33" s="131"/>
      <c r="AI33" s="131"/>
      <c r="AJ33" s="132"/>
    </row>
    <row r="34" spans="2:36" s="46" customFormat="1" ht="15" customHeight="1" x14ac:dyDescent="0.25">
      <c r="B34" s="257"/>
      <c r="C34" s="260"/>
      <c r="D34" s="271" t="s">
        <v>336</v>
      </c>
      <c r="E34" s="273"/>
      <c r="F34" s="271" t="s">
        <v>335</v>
      </c>
      <c r="G34" s="272"/>
      <c r="H34" s="272"/>
      <c r="I34" s="272"/>
      <c r="J34" s="272"/>
      <c r="K34" s="272"/>
      <c r="L34" s="272"/>
      <c r="M34" s="273"/>
      <c r="N34" s="271" t="s">
        <v>334</v>
      </c>
      <c r="O34" s="272"/>
      <c r="P34" s="272"/>
      <c r="Q34" s="272"/>
      <c r="R34" s="272"/>
      <c r="S34" s="272"/>
      <c r="T34" s="272"/>
      <c r="U34" s="273"/>
      <c r="V34" s="284" t="s">
        <v>333</v>
      </c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3"/>
    </row>
    <row r="35" spans="2:36" s="46" customFormat="1" ht="15" customHeight="1" x14ac:dyDescent="0.25">
      <c r="B35" s="257"/>
      <c r="C35" s="260"/>
      <c r="D35" s="285" t="s">
        <v>332</v>
      </c>
      <c r="E35" s="281"/>
      <c r="F35" s="285" t="s">
        <v>331</v>
      </c>
      <c r="G35" s="278"/>
      <c r="H35" s="278"/>
      <c r="I35" s="278"/>
      <c r="J35" s="278"/>
      <c r="K35" s="288" t="s">
        <v>330</v>
      </c>
      <c r="L35" s="278"/>
      <c r="M35" s="281"/>
      <c r="N35" s="285" t="s">
        <v>329</v>
      </c>
      <c r="O35" s="278"/>
      <c r="P35" s="278"/>
      <c r="Q35" s="278"/>
      <c r="R35" s="278"/>
      <c r="S35" s="286" t="s">
        <v>328</v>
      </c>
      <c r="T35" s="278"/>
      <c r="U35" s="281"/>
      <c r="V35" s="291" t="s">
        <v>327</v>
      </c>
      <c r="W35" s="278"/>
      <c r="X35" s="278"/>
      <c r="Y35" s="278"/>
      <c r="Z35" s="288" t="s">
        <v>326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81"/>
    </row>
    <row r="36" spans="2:36" s="46" customFormat="1" ht="25" customHeight="1" x14ac:dyDescent="0.25">
      <c r="B36" s="257"/>
      <c r="C36" s="260"/>
      <c r="D36" s="75" t="s">
        <v>325</v>
      </c>
      <c r="E36" s="73" t="s">
        <v>322</v>
      </c>
      <c r="F36" s="75" t="s">
        <v>324</v>
      </c>
      <c r="G36" s="72" t="s">
        <v>317</v>
      </c>
      <c r="H36" s="72" t="s">
        <v>323</v>
      </c>
      <c r="I36" s="74" t="s">
        <v>15</v>
      </c>
      <c r="J36" s="52" t="s">
        <v>322</v>
      </c>
      <c r="K36" s="74" t="s">
        <v>321</v>
      </c>
      <c r="L36" s="74" t="s">
        <v>320</v>
      </c>
      <c r="M36" s="73" t="s">
        <v>319</v>
      </c>
      <c r="N36" s="75" t="s">
        <v>324</v>
      </c>
      <c r="O36" s="72" t="s">
        <v>317</v>
      </c>
      <c r="P36" s="72" t="s">
        <v>323</v>
      </c>
      <c r="Q36" s="72" t="s">
        <v>15</v>
      </c>
      <c r="R36" s="71" t="s">
        <v>322</v>
      </c>
      <c r="S36" s="74" t="s">
        <v>321</v>
      </c>
      <c r="T36" s="74" t="s">
        <v>320</v>
      </c>
      <c r="U36" s="73" t="s">
        <v>319</v>
      </c>
      <c r="V36" s="77" t="s">
        <v>318</v>
      </c>
      <c r="W36" s="74" t="s">
        <v>317</v>
      </c>
      <c r="X36" s="74" t="s">
        <v>316</v>
      </c>
      <c r="Y36" s="74" t="s">
        <v>315</v>
      </c>
      <c r="Z36" s="74" t="s">
        <v>314</v>
      </c>
      <c r="AA36" s="74" t="s">
        <v>313</v>
      </c>
      <c r="AB36" s="74" t="s">
        <v>312</v>
      </c>
      <c r="AC36" s="74" t="s">
        <v>311</v>
      </c>
      <c r="AD36" s="74" t="s">
        <v>310</v>
      </c>
      <c r="AE36" s="74" t="s">
        <v>309</v>
      </c>
      <c r="AF36" s="74" t="s">
        <v>308</v>
      </c>
      <c r="AG36" s="74" t="s">
        <v>307</v>
      </c>
      <c r="AH36" s="74" t="s">
        <v>306</v>
      </c>
      <c r="AI36" s="74" t="s">
        <v>305</v>
      </c>
      <c r="AJ36" s="76" t="s">
        <v>304</v>
      </c>
    </row>
    <row r="37" spans="2:36" s="46" customFormat="1" ht="15" customHeight="1" x14ac:dyDescent="0.25">
      <c r="B37" s="257"/>
      <c r="C37" s="260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72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33" customFormat="1" ht="24" customHeight="1" x14ac:dyDescent="0.25">
      <c r="B38" s="257"/>
      <c r="C38" s="260"/>
      <c r="D38" s="135"/>
      <c r="E38" s="129"/>
      <c r="F38" s="135"/>
      <c r="G38" s="131"/>
      <c r="H38" s="131"/>
      <c r="I38" s="123"/>
      <c r="J38" s="123"/>
      <c r="K38" s="123"/>
      <c r="L38" s="123"/>
      <c r="M38" s="129"/>
      <c r="N38" s="122"/>
      <c r="O38" s="123"/>
      <c r="P38" s="123"/>
      <c r="Q38" s="123"/>
      <c r="R38" s="123"/>
      <c r="S38" s="123"/>
      <c r="T38" s="123"/>
      <c r="U38" s="129"/>
      <c r="V38" s="122"/>
      <c r="W38" s="123"/>
      <c r="X38" s="123"/>
      <c r="Y38" s="123"/>
      <c r="Z38" s="123"/>
      <c r="AA38" s="123"/>
      <c r="AB38" s="123"/>
      <c r="AC38" s="123"/>
      <c r="AD38" s="123"/>
      <c r="AE38" s="123" t="e">
        <f>Z38/AB38</f>
        <v>#DIV/0!</v>
      </c>
      <c r="AF38" s="123"/>
      <c r="AG38" s="123"/>
      <c r="AH38" s="123" t="e">
        <f>AF38/(Z38-AB38)</f>
        <v>#DIV/0!</v>
      </c>
      <c r="AI38" s="143" t="s">
        <v>296</v>
      </c>
      <c r="AJ38" s="140" t="e">
        <f>IF((AH38-AI38)&gt;=0,"↑","↓")</f>
        <v>#DIV/0!</v>
      </c>
    </row>
    <row r="39" spans="2:36" s="46" customFormat="1" ht="15" customHeight="1" x14ac:dyDescent="0.25">
      <c r="B39" s="257"/>
      <c r="C39" s="260"/>
      <c r="D39" s="284" t="s">
        <v>295</v>
      </c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3"/>
      <c r="R39" s="78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84" t="s">
        <v>82</v>
      </c>
    </row>
    <row r="40" spans="2:36" s="46" customFormat="1" ht="15" customHeight="1" x14ac:dyDescent="0.25">
      <c r="B40" s="257"/>
      <c r="C40" s="260"/>
      <c r="D40" s="291" t="s">
        <v>294</v>
      </c>
      <c r="E40" s="278"/>
      <c r="F40" s="278"/>
      <c r="G40" s="288" t="s">
        <v>293</v>
      </c>
      <c r="H40" s="278"/>
      <c r="I40" s="278"/>
      <c r="J40" s="288" t="s">
        <v>292</v>
      </c>
      <c r="K40" s="278"/>
      <c r="L40" s="278"/>
      <c r="M40" s="288" t="s">
        <v>291</v>
      </c>
      <c r="N40" s="288" t="s">
        <v>290</v>
      </c>
      <c r="O40" s="288" t="s">
        <v>289</v>
      </c>
      <c r="P40" s="288" t="s">
        <v>225</v>
      </c>
      <c r="Q40" s="290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57"/>
      <c r="C41" s="260"/>
      <c r="D41" s="77" t="s">
        <v>287</v>
      </c>
      <c r="E41" s="74" t="s">
        <v>286</v>
      </c>
      <c r="F41" s="74" t="s">
        <v>285</v>
      </c>
      <c r="G41" s="74" t="s">
        <v>287</v>
      </c>
      <c r="H41" s="74" t="s">
        <v>286</v>
      </c>
      <c r="I41" s="74" t="s">
        <v>285</v>
      </c>
      <c r="J41" s="74" t="s">
        <v>287</v>
      </c>
      <c r="K41" s="74" t="s">
        <v>286</v>
      </c>
      <c r="L41" s="74" t="s">
        <v>285</v>
      </c>
      <c r="M41" s="278"/>
      <c r="N41" s="278"/>
      <c r="O41" s="278"/>
      <c r="P41" s="278"/>
      <c r="Q41" s="281"/>
      <c r="R41" s="75" t="s">
        <v>4</v>
      </c>
      <c r="S41" s="72" t="s">
        <v>4</v>
      </c>
      <c r="T41" s="72" t="s">
        <v>4</v>
      </c>
      <c r="U41" s="72" t="s">
        <v>82</v>
      </c>
      <c r="V41" s="72" t="s">
        <v>82</v>
      </c>
      <c r="W41" s="74" t="s">
        <v>82</v>
      </c>
      <c r="X41" s="72" t="s">
        <v>82</v>
      </c>
      <c r="Y41" s="72" t="s">
        <v>82</v>
      </c>
      <c r="Z41" s="74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57"/>
      <c r="C42" s="260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33" customFormat="1" ht="24" customHeight="1" x14ac:dyDescent="0.25">
      <c r="B43" s="301"/>
      <c r="C43" s="302"/>
      <c r="D43" s="122"/>
      <c r="E43" s="123"/>
      <c r="F43" s="123">
        <f>D43-E43</f>
        <v>0</v>
      </c>
      <c r="G43" s="123"/>
      <c r="H43" s="123"/>
      <c r="I43" s="123">
        <f>G43-H43</f>
        <v>0</v>
      </c>
      <c r="J43" s="123"/>
      <c r="K43" s="123"/>
      <c r="L43" s="123">
        <f>J43-K43</f>
        <v>0</v>
      </c>
      <c r="M43" s="123"/>
      <c r="N43" s="123"/>
      <c r="O43" s="123" t="e">
        <f>N43/M43</f>
        <v>#DIV/0!</v>
      </c>
      <c r="P43" s="123"/>
      <c r="Q43" s="145">
        <v>301</v>
      </c>
      <c r="R43" s="122" t="s">
        <v>4</v>
      </c>
      <c r="S43" s="123" t="s">
        <v>4</v>
      </c>
      <c r="T43" s="123" t="s">
        <v>4</v>
      </c>
      <c r="U43" s="123" t="s">
        <v>82</v>
      </c>
      <c r="V43" s="123" t="s">
        <v>82</v>
      </c>
      <c r="W43" s="123" t="s">
        <v>82</v>
      </c>
      <c r="X43" s="123" t="s">
        <v>82</v>
      </c>
      <c r="Y43" s="123" t="s">
        <v>82</v>
      </c>
      <c r="Z43" s="123" t="s">
        <v>82</v>
      </c>
      <c r="AA43" s="123" t="s">
        <v>82</v>
      </c>
      <c r="AB43" s="123" t="s">
        <v>82</v>
      </c>
      <c r="AC43" s="123" t="s">
        <v>82</v>
      </c>
      <c r="AD43" s="123" t="s">
        <v>82</v>
      </c>
      <c r="AE43" s="131" t="s">
        <v>82</v>
      </c>
      <c r="AF43" s="131" t="s">
        <v>82</v>
      </c>
      <c r="AG43" s="131" t="s">
        <v>82</v>
      </c>
      <c r="AH43" s="131" t="s">
        <v>82</v>
      </c>
      <c r="AI43" s="131" t="s">
        <v>82</v>
      </c>
      <c r="AJ43" s="13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F7">
    <cfRule type="cellIs" dxfId="39" priority="25" aboveAverage="1" operator="equal">
      <formula>"↓"</formula>
    </cfRule>
    <cfRule type="cellIs" dxfId="38" priority="26" aboveAverage="1" operator="equal">
      <formula>"↑"</formula>
    </cfRule>
  </conditionalFormatting>
  <conditionalFormatting sqref="F12">
    <cfRule type="cellIs" dxfId="37" priority="5" aboveAverage="1" operator="equal">
      <formula>"↓"</formula>
    </cfRule>
    <cfRule type="cellIs" dxfId="36" priority="6" aboveAverage="1" operator="equal">
      <formula>"↑"</formula>
    </cfRule>
  </conditionalFormatting>
  <conditionalFormatting sqref="F28">
    <cfRule type="cellIs" dxfId="35" priority="23" aboveAverage="1" operator="equal">
      <formula>"↓"</formula>
    </cfRule>
    <cfRule type="cellIs" dxfId="34" priority="24" aboveAverage="1" operator="equal">
      <formula>"↑"</formula>
    </cfRule>
  </conditionalFormatting>
  <conditionalFormatting sqref="F33">
    <cfRule type="cellIs" dxfId="33" priority="1" aboveAverage="1" operator="equal">
      <formula>"↓"</formula>
    </cfRule>
    <cfRule type="cellIs" dxfId="32" priority="2" aboveAverage="1" operator="equal">
      <formula>"↑"</formula>
    </cfRule>
  </conditionalFormatting>
  <conditionalFormatting sqref="T12">
    <cfRule type="cellIs" dxfId="31" priority="21" aboveAverage="1" operator="equal">
      <formula>"↓"</formula>
    </cfRule>
    <cfRule type="cellIs" dxfId="30" priority="22" aboveAverage="1" operator="equal">
      <formula>"↑"</formula>
    </cfRule>
  </conditionalFormatting>
  <conditionalFormatting sqref="T33">
    <cfRule type="cellIs" dxfId="29" priority="19" aboveAverage="1" operator="equal">
      <formula>"↓"</formula>
    </cfRule>
    <cfRule type="cellIs" dxfId="28" priority="20" aboveAverage="1" operator="equal">
      <formula>"↑"</formula>
    </cfRule>
  </conditionalFormatting>
  <conditionalFormatting sqref="Z12">
    <cfRule type="cellIs" dxfId="27" priority="17" aboveAverage="1" operator="equal">
      <formula>"↓"</formula>
    </cfRule>
    <cfRule type="cellIs" dxfId="26" priority="18" aboveAverage="1" operator="equal">
      <formula>"↑"</formula>
    </cfRule>
  </conditionalFormatting>
  <conditionalFormatting sqref="Z33">
    <cfRule type="cellIs" dxfId="25" priority="15" aboveAverage="1" operator="equal">
      <formula>"↓"</formula>
    </cfRule>
    <cfRule type="cellIs" dxfId="24" priority="16" aboveAverage="1" operator="equal">
      <formula>"↑"</formula>
    </cfRule>
  </conditionalFormatting>
  <conditionalFormatting sqref="AD12">
    <cfRule type="cellIs" dxfId="23" priority="13" aboveAverage="1" operator="equal">
      <formula>"↓"</formula>
    </cfRule>
    <cfRule type="cellIs" dxfId="22" priority="14" aboveAverage="1" operator="equal">
      <formula>"↑"</formula>
    </cfRule>
  </conditionalFormatting>
  <conditionalFormatting sqref="AD33">
    <cfRule type="cellIs" dxfId="21" priority="11" aboveAverage="1" operator="equal">
      <formula>"↓"</formula>
    </cfRule>
    <cfRule type="cellIs" dxfId="20" priority="12" aboveAverage="1" operator="equal">
      <formula>"↑"</formula>
    </cfRule>
  </conditionalFormatting>
  <conditionalFormatting sqref="AJ17">
    <cfRule type="cellIs" dxfId="19" priority="9" aboveAverage="1" operator="equal">
      <formula>"↓"</formula>
    </cfRule>
    <cfRule type="cellIs" dxfId="18" priority="10" aboveAverage="1" operator="equal">
      <formula>"↑"</formula>
    </cfRule>
  </conditionalFormatting>
  <conditionalFormatting sqref="AJ38">
    <cfRule type="cellIs" dxfId="17" priority="7" aboveAverage="1" operator="equal">
      <formula>"↓"</formula>
    </cfRule>
    <cfRule type="cellIs" dxfId="16" priority="8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6" sqref="N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03" t="s">
        <v>470</v>
      </c>
      <c r="C2" s="304"/>
      <c r="D2" s="304"/>
      <c r="E2" s="304"/>
      <c r="F2" s="304"/>
      <c r="G2" s="304"/>
      <c r="H2" s="304"/>
      <c r="I2" s="304"/>
      <c r="J2" s="305"/>
    </row>
    <row r="3" spans="2:10" ht="20.15" customHeight="1" x14ac:dyDescent="0.25">
      <c r="B3" s="306"/>
      <c r="C3" s="307"/>
      <c r="D3" s="307"/>
      <c r="E3" s="307"/>
      <c r="F3" s="307"/>
      <c r="G3" s="308"/>
      <c r="H3" s="309"/>
      <c r="I3" s="309"/>
      <c r="J3" s="310"/>
    </row>
    <row r="4" spans="2:10" ht="21" x14ac:dyDescent="0.25">
      <c r="B4" s="311" t="s">
        <v>413</v>
      </c>
      <c r="C4" s="312"/>
      <c r="D4" s="313"/>
      <c r="E4" s="314" t="s">
        <v>414</v>
      </c>
      <c r="F4" s="314" t="s">
        <v>415</v>
      </c>
      <c r="G4" s="314" t="s">
        <v>416</v>
      </c>
      <c r="H4" s="315" t="s">
        <v>417</v>
      </c>
      <c r="I4" s="313"/>
      <c r="J4" s="316" t="s">
        <v>418</v>
      </c>
    </row>
    <row r="5" spans="2:10" x14ac:dyDescent="0.25">
      <c r="B5" s="317" t="s">
        <v>419</v>
      </c>
      <c r="C5" s="318" t="s">
        <v>420</v>
      </c>
      <c r="D5" s="318"/>
      <c r="E5" s="319" t="s">
        <v>284</v>
      </c>
      <c r="F5" s="320">
        <v>90</v>
      </c>
      <c r="G5" s="321">
        <v>0</v>
      </c>
      <c r="H5" s="322">
        <f>(G5-F5)/F5*100</f>
        <v>-100</v>
      </c>
      <c r="I5" s="323" t="s">
        <v>284</v>
      </c>
      <c r="J5" s="324"/>
    </row>
    <row r="6" spans="2:10" x14ac:dyDescent="0.25">
      <c r="B6" s="325" t="s">
        <v>421</v>
      </c>
      <c r="C6" s="318" t="s">
        <v>422</v>
      </c>
      <c r="D6" s="318"/>
      <c r="E6" s="319" t="s">
        <v>280</v>
      </c>
      <c r="F6" s="320" t="s">
        <v>423</v>
      </c>
      <c r="G6" s="321">
        <v>0</v>
      </c>
      <c r="H6" s="326" t="str">
        <f>IF($G6="","",IF(AND($G6&gt;=0,$G6&lt;=1427),"合格","不合格"))</f>
        <v/>
      </c>
      <c r="I6" s="327" t="s">
        <v>4</v>
      </c>
      <c r="J6" s="324"/>
    </row>
    <row r="7" spans="2:10" x14ac:dyDescent="0.25">
      <c r="B7" s="328"/>
      <c r="C7" s="318" t="s">
        <v>424</v>
      </c>
      <c r="D7" s="318"/>
      <c r="E7" s="319" t="s">
        <v>280</v>
      </c>
      <c r="F7" s="320" t="s">
        <v>425</v>
      </c>
      <c r="G7" s="321">
        <v>0</v>
      </c>
      <c r="H7" s="326" t="str">
        <f>IF($G7="","",IF(AND($G7&gt;=210,$G7&lt;=220),"合格","不合格"))</f>
        <v/>
      </c>
      <c r="I7" s="327" t="s">
        <v>4</v>
      </c>
      <c r="J7" s="324"/>
    </row>
    <row r="8" spans="2:10" x14ac:dyDescent="0.25">
      <c r="B8" s="329"/>
      <c r="C8" s="318" t="s">
        <v>426</v>
      </c>
      <c r="D8" s="318"/>
      <c r="E8" s="319" t="s">
        <v>280</v>
      </c>
      <c r="F8" s="320" t="s">
        <v>427</v>
      </c>
      <c r="G8" s="321">
        <v>0</v>
      </c>
      <c r="H8" s="326" t="str">
        <f>IF($G8="","",IF(AND($G8&gt;=190,$G8&lt;=210),"合格","不合格"))</f>
        <v/>
      </c>
      <c r="I8" s="327" t="s">
        <v>4</v>
      </c>
      <c r="J8" s="324"/>
    </row>
    <row r="9" spans="2:10" x14ac:dyDescent="0.25">
      <c r="B9" s="325" t="s">
        <v>428</v>
      </c>
      <c r="C9" s="319" t="s">
        <v>429</v>
      </c>
      <c r="D9" s="319" t="s">
        <v>430</v>
      </c>
      <c r="E9" s="319" t="s">
        <v>431</v>
      </c>
      <c r="F9" s="320" t="s">
        <v>432</v>
      </c>
      <c r="G9" s="321">
        <v>416.714111328125</v>
      </c>
      <c r="H9" s="326" t="str">
        <f>IF($G9="","",IF(AND($G9&gt;=412,$G9&lt;=422),"合格","不合格"))</f>
        <v/>
      </c>
      <c r="I9" s="327" t="s">
        <v>4</v>
      </c>
      <c r="J9" s="324"/>
    </row>
    <row r="10" spans="2:10" x14ac:dyDescent="0.25">
      <c r="B10" s="328"/>
      <c r="C10" s="318" t="s">
        <v>433</v>
      </c>
      <c r="D10" s="319" t="s">
        <v>434</v>
      </c>
      <c r="E10" s="327" t="s">
        <v>4</v>
      </c>
      <c r="F10" s="320" t="s">
        <v>435</v>
      </c>
      <c r="G10" s="321">
        <v>0.5302318930625916</v>
      </c>
      <c r="H10" s="326" t="str">
        <f>IF($G10="","",IF(AND($G10&gt;=0.525,$G10&lt;=0.5357),"合格","不合格"))</f>
        <v/>
      </c>
      <c r="I10" s="327" t="s">
        <v>4</v>
      </c>
      <c r="J10" s="324"/>
    </row>
    <row r="11" spans="2:10" x14ac:dyDescent="0.25">
      <c r="B11" s="328"/>
      <c r="C11" s="318"/>
      <c r="D11" s="319" t="s">
        <v>436</v>
      </c>
      <c r="E11" s="319" t="s">
        <v>437</v>
      </c>
      <c r="F11" s="320">
        <v>46.63</v>
      </c>
      <c r="G11" s="321">
        <v>46.65299987792969</v>
      </c>
      <c r="H11" s="326" t="s">
        <v>438</v>
      </c>
      <c r="I11" s="327" t="s">
        <v>4</v>
      </c>
      <c r="J11" s="324"/>
    </row>
    <row r="12" spans="2:10" x14ac:dyDescent="0.25">
      <c r="B12" s="328"/>
      <c r="C12" s="318"/>
      <c r="D12" s="319" t="s">
        <v>439</v>
      </c>
      <c r="E12" s="319" t="s">
        <v>301</v>
      </c>
      <c r="F12" s="320" t="s">
        <v>440</v>
      </c>
      <c r="G12" s="321">
        <v>0.7363232970237732</v>
      </c>
      <c r="H12" s="326" t="str">
        <f>IF($G12="","",IF(AND($G12&gt;=0.745,$G12&lt;=0.755),"合格","不合格"))</f>
        <v/>
      </c>
      <c r="I12" s="327" t="s">
        <v>4</v>
      </c>
      <c r="J12" s="324"/>
    </row>
    <row r="13" spans="2:10" x14ac:dyDescent="0.25">
      <c r="B13" s="328"/>
      <c r="C13" s="318"/>
      <c r="D13" s="319" t="s">
        <v>441</v>
      </c>
      <c r="E13" s="319" t="s">
        <v>302</v>
      </c>
      <c r="F13" s="320" t="s">
        <v>442</v>
      </c>
      <c r="G13" s="321">
        <v>90.4996109008789</v>
      </c>
      <c r="H13" s="326" t="str">
        <f>IF($G13="","",IF(AND($G13&gt;=88,$G13&lt;=92),"合格","不合格"))</f>
        <v/>
      </c>
      <c r="I13" s="327" t="s">
        <v>4</v>
      </c>
      <c r="J13" s="324"/>
    </row>
    <row r="14" spans="2:10" x14ac:dyDescent="0.25">
      <c r="B14" s="328"/>
      <c r="C14" s="318"/>
      <c r="D14" s="319" t="s">
        <v>443</v>
      </c>
      <c r="E14" s="319" t="s">
        <v>302</v>
      </c>
      <c r="F14" s="320" t="s">
        <v>444</v>
      </c>
      <c r="G14" s="321">
        <v>139.51100158691406</v>
      </c>
      <c r="H14" s="326" t="str">
        <f>IF($G14="","",IF(AND($G14&gt;=143,$G14&lt;=147),"合格","不合格"))</f>
        <v/>
      </c>
      <c r="I14" s="327" t="s">
        <v>4</v>
      </c>
      <c r="J14" s="324"/>
    </row>
    <row r="15" spans="2:10" x14ac:dyDescent="0.25">
      <c r="B15" s="328"/>
      <c r="C15" s="318"/>
      <c r="D15" s="319" t="s">
        <v>445</v>
      </c>
      <c r="E15" s="319" t="s">
        <v>302</v>
      </c>
      <c r="F15" s="320" t="s">
        <v>446</v>
      </c>
      <c r="G15" s="321">
        <v>163.1248321533203</v>
      </c>
      <c r="H15" s="326" t="str">
        <f>IF($G15="","",IF(AND($G15&gt;=166,$G15&lt;=170),"合格","不合格"))</f>
        <v/>
      </c>
      <c r="I15" s="327" t="s">
        <v>4</v>
      </c>
      <c r="J15" s="324"/>
    </row>
    <row r="16" spans="2:10" x14ac:dyDescent="0.25">
      <c r="B16" s="328"/>
      <c r="C16" s="318" t="s">
        <v>447</v>
      </c>
      <c r="D16" s="319" t="s">
        <v>448</v>
      </c>
      <c r="E16" s="319" t="s">
        <v>302</v>
      </c>
      <c r="F16" s="320" t="s">
        <v>449</v>
      </c>
      <c r="G16" s="321">
        <v>47.25070571899414</v>
      </c>
      <c r="H16" s="326" t="str">
        <f>IF($G16="","",IF(AND($G16&gt;=0,$G16&lt;=45),"合格","不合格"))</f>
        <v/>
      </c>
      <c r="I16" s="327" t="s">
        <v>4</v>
      </c>
      <c r="J16" s="324"/>
    </row>
    <row r="17" spans="2:10" x14ac:dyDescent="0.25">
      <c r="B17" s="328"/>
      <c r="C17" s="318"/>
      <c r="D17" s="319" t="s">
        <v>450</v>
      </c>
      <c r="E17" s="319" t="s">
        <v>302</v>
      </c>
      <c r="F17" s="320" t="s">
        <v>451</v>
      </c>
      <c r="G17" s="321">
        <v>21.255908966064453</v>
      </c>
      <c r="H17" s="326" t="str">
        <f>IF($G17="","",IF(AND($G17&gt;=0,$G17&lt;=20),"合格","不合格"))</f>
        <v/>
      </c>
      <c r="I17" s="327" t="s">
        <v>4</v>
      </c>
      <c r="J17" s="324"/>
    </row>
    <row r="18" spans="2:10" x14ac:dyDescent="0.25">
      <c r="B18" s="328"/>
      <c r="C18" s="318"/>
      <c r="D18" s="319" t="s">
        <v>452</v>
      </c>
      <c r="E18" s="319" t="s">
        <v>302</v>
      </c>
      <c r="F18" s="320" t="s">
        <v>453</v>
      </c>
      <c r="G18" s="321">
        <v>0</v>
      </c>
      <c r="H18" s="326" t="str">
        <f>IF($G18="","",IF(AND($G18&gt;=46,$G18&lt;=50),"合格","不合格"))</f>
        <v/>
      </c>
      <c r="I18" s="327" t="s">
        <v>4</v>
      </c>
      <c r="J18" s="324"/>
    </row>
    <row r="19" spans="2:10" x14ac:dyDescent="0.25">
      <c r="B19" s="328"/>
      <c r="C19" s="318"/>
      <c r="D19" s="319" t="s">
        <v>454</v>
      </c>
      <c r="E19" s="319" t="s">
        <v>302</v>
      </c>
      <c r="F19" s="320" t="s">
        <v>455</v>
      </c>
      <c r="G19" s="321">
        <v>18.132413864135742</v>
      </c>
      <c r="H19" s="326" t="str">
        <f>IF($G19="","",IF(AND($G19&gt;=0,$G19&lt;=20),"合格","不合格"))</f>
        <v/>
      </c>
      <c r="I19" s="327" t="s">
        <v>4</v>
      </c>
      <c r="J19" s="324"/>
    </row>
    <row r="20" spans="2:10" x14ac:dyDescent="0.25">
      <c r="B20" s="328"/>
      <c r="C20" s="318" t="s">
        <v>456</v>
      </c>
      <c r="D20" s="319" t="s">
        <v>89</v>
      </c>
      <c r="E20" s="319" t="s">
        <v>284</v>
      </c>
      <c r="F20" s="330" t="s">
        <v>82</v>
      </c>
      <c r="G20" s="321">
        <v>33.630001068115234</v>
      </c>
      <c r="H20" s="331" t="s">
        <v>457</v>
      </c>
      <c r="I20" s="327" t="s">
        <v>4</v>
      </c>
      <c r="J20" s="324"/>
    </row>
    <row r="21" spans="2:10" x14ac:dyDescent="0.25">
      <c r="B21" s="328"/>
      <c r="C21" s="318"/>
      <c r="D21" s="319" t="s">
        <v>92</v>
      </c>
      <c r="E21" s="319" t="s">
        <v>284</v>
      </c>
      <c r="F21" s="330" t="s">
        <v>82</v>
      </c>
      <c r="G21" s="321"/>
      <c r="H21" s="331" t="s">
        <v>457</v>
      </c>
      <c r="I21" s="327" t="s">
        <v>4</v>
      </c>
      <c r="J21" s="324"/>
    </row>
    <row r="22" spans="2:10" x14ac:dyDescent="0.25">
      <c r="B22" s="328"/>
      <c r="C22" s="318"/>
      <c r="D22" s="319" t="s">
        <v>458</v>
      </c>
      <c r="E22" s="327" t="s">
        <v>4</v>
      </c>
      <c r="F22" s="330" t="s">
        <v>82</v>
      </c>
      <c r="G22" s="321">
        <v>6.704999923706055</v>
      </c>
      <c r="H22" s="331" t="s">
        <v>457</v>
      </c>
      <c r="I22" s="327" t="s">
        <v>4</v>
      </c>
      <c r="J22" s="324"/>
    </row>
    <row r="23" spans="2:10" x14ac:dyDescent="0.25">
      <c r="B23" s="328"/>
      <c r="C23" s="318"/>
      <c r="D23" s="319" t="s">
        <v>166</v>
      </c>
      <c r="E23" s="319" t="s">
        <v>431</v>
      </c>
      <c r="F23" s="330" t="s">
        <v>82</v>
      </c>
      <c r="G23" s="321">
        <v>14.329999923706055</v>
      </c>
      <c r="H23" s="331" t="s">
        <v>457</v>
      </c>
      <c r="I23" s="327" t="s">
        <v>4</v>
      </c>
      <c r="J23" s="324"/>
    </row>
    <row r="24" spans="2:10" x14ac:dyDescent="0.25">
      <c r="B24" s="329"/>
      <c r="C24" s="318"/>
      <c r="D24" s="319" t="s">
        <v>167</v>
      </c>
      <c r="E24" s="319" t="s">
        <v>431</v>
      </c>
      <c r="F24" s="330" t="s">
        <v>82</v>
      </c>
      <c r="G24" s="321">
        <v>7.519999980926514</v>
      </c>
      <c r="H24" s="331" t="s">
        <v>457</v>
      </c>
      <c r="I24" s="327" t="s">
        <v>4</v>
      </c>
      <c r="J24" s="324"/>
    </row>
    <row r="25" spans="2:10" x14ac:dyDescent="0.25">
      <c r="B25" s="332" t="s">
        <v>459</v>
      </c>
      <c r="C25" s="319" t="s">
        <v>460</v>
      </c>
      <c r="D25" s="319" t="s">
        <v>461</v>
      </c>
      <c r="E25" s="319" t="s">
        <v>462</v>
      </c>
      <c r="F25" s="320" t="s">
        <v>463</v>
      </c>
      <c r="G25" s="321">
        <v>0</v>
      </c>
      <c r="H25" s="326" t="str">
        <f>IF($G25="","",IF(AND($G25&gt;=0,$G25&lt;=0.38),"合格","不合格"))</f>
        <v/>
      </c>
      <c r="I25" s="327" t="s">
        <v>4</v>
      </c>
      <c r="J25" s="324"/>
    </row>
    <row r="26" spans="2:10" x14ac:dyDescent="0.25">
      <c r="B26" s="332"/>
      <c r="C26" s="318" t="s">
        <v>464</v>
      </c>
      <c r="D26" s="319" t="s">
        <v>10</v>
      </c>
      <c r="E26" s="319" t="s">
        <v>284</v>
      </c>
      <c r="F26" s="320">
        <v>7</v>
      </c>
      <c r="G26" s="321"/>
      <c r="H26" s="322">
        <f>(G26-F26)</f>
        <v>-7</v>
      </c>
      <c r="I26" s="327" t="s">
        <v>284</v>
      </c>
      <c r="J26" s="324"/>
    </row>
    <row r="27" spans="2:10" x14ac:dyDescent="0.25">
      <c r="B27" s="332"/>
      <c r="C27" s="318"/>
      <c r="D27" s="319" t="s">
        <v>465</v>
      </c>
      <c r="E27" s="319" t="s">
        <v>284</v>
      </c>
      <c r="F27" s="320">
        <v>15</v>
      </c>
      <c r="G27" s="321"/>
      <c r="H27" s="322">
        <f t="shared" ref="H27:H31" si="0">(G27-F27)</f>
        <v>-15</v>
      </c>
      <c r="I27" s="327" t="s">
        <v>284</v>
      </c>
      <c r="J27" s="324"/>
    </row>
    <row r="28" spans="2:10" x14ac:dyDescent="0.25">
      <c r="B28" s="332"/>
      <c r="C28" s="318"/>
      <c r="D28" s="319" t="s">
        <v>466</v>
      </c>
      <c r="E28" s="319" t="s">
        <v>284</v>
      </c>
      <c r="F28" s="320">
        <v>4</v>
      </c>
      <c r="G28" s="321"/>
      <c r="H28" s="322">
        <f t="shared" si="0"/>
        <v>-4</v>
      </c>
      <c r="I28" s="327" t="s">
        <v>284</v>
      </c>
      <c r="J28" s="324"/>
    </row>
    <row r="29" spans="2:10" x14ac:dyDescent="0.25">
      <c r="B29" s="332"/>
      <c r="C29" s="318"/>
      <c r="D29" s="319" t="s">
        <v>166</v>
      </c>
      <c r="E29" s="319" t="s">
        <v>284</v>
      </c>
      <c r="F29" s="320">
        <v>7</v>
      </c>
      <c r="G29" s="321"/>
      <c r="H29" s="322">
        <f t="shared" si="0"/>
        <v>-7</v>
      </c>
      <c r="I29" s="327" t="s">
        <v>284</v>
      </c>
      <c r="J29" s="324"/>
    </row>
    <row r="30" spans="2:10" x14ac:dyDescent="0.25">
      <c r="B30" s="332"/>
      <c r="C30" s="318"/>
      <c r="D30" s="319" t="s">
        <v>167</v>
      </c>
      <c r="E30" s="319" t="s">
        <v>284</v>
      </c>
      <c r="F30" s="320">
        <v>7</v>
      </c>
      <c r="G30" s="321"/>
      <c r="H30" s="322">
        <f t="shared" si="0"/>
        <v>-7</v>
      </c>
      <c r="I30" s="327" t="s">
        <v>284</v>
      </c>
      <c r="J30" s="324"/>
    </row>
    <row r="31" spans="2:10" x14ac:dyDescent="0.25">
      <c r="B31" s="332"/>
      <c r="C31" s="318"/>
      <c r="D31" s="319" t="s">
        <v>467</v>
      </c>
      <c r="E31" s="319" t="s">
        <v>468</v>
      </c>
      <c r="F31" s="320">
        <v>10</v>
      </c>
      <c r="G31" s="321"/>
      <c r="H31" s="322">
        <f t="shared" si="0"/>
        <v>-10</v>
      </c>
      <c r="I31" s="327" t="s">
        <v>284</v>
      </c>
      <c r="J31" s="324"/>
    </row>
    <row r="32" spans="2:10" ht="14.5" thickBot="1" x14ac:dyDescent="0.3">
      <c r="B32" s="325"/>
      <c r="C32" s="333"/>
      <c r="D32" s="334" t="s">
        <v>320</v>
      </c>
      <c r="E32" s="334" t="s">
        <v>284</v>
      </c>
      <c r="F32" s="335">
        <v>50</v>
      </c>
      <c r="G32" s="336"/>
      <c r="H32" s="322">
        <f>(G32-F32)</f>
        <v>-50</v>
      </c>
      <c r="I32" s="327" t="s">
        <v>284</v>
      </c>
      <c r="J32" s="337"/>
    </row>
    <row r="33" spans="2:10" x14ac:dyDescent="0.25">
      <c r="B33" s="338" t="s">
        <v>469</v>
      </c>
      <c r="C33" s="339"/>
      <c r="D33" s="340"/>
      <c r="E33" s="340"/>
      <c r="F33" s="340"/>
      <c r="G33" s="340"/>
      <c r="H33" s="340"/>
      <c r="I33" s="340"/>
      <c r="J33" s="341"/>
    </row>
    <row r="34" spans="2:10" x14ac:dyDescent="0.25">
      <c r="B34" s="342"/>
      <c r="C34" s="343"/>
      <c r="D34" s="344"/>
      <c r="E34" s="344"/>
      <c r="F34" s="344"/>
      <c r="G34" s="344"/>
      <c r="H34" s="344"/>
      <c r="I34" s="344"/>
      <c r="J34" s="345"/>
    </row>
    <row r="35" spans="2:10" ht="14.5" thickBot="1" x14ac:dyDescent="0.3">
      <c r="B35" s="346"/>
      <c r="C35" s="347"/>
      <c r="D35" s="348"/>
      <c r="E35" s="348"/>
      <c r="F35" s="348"/>
      <c r="G35" s="348"/>
      <c r="H35" s="348"/>
      <c r="I35" s="348"/>
      <c r="J35" s="349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2026-05-27T10:43:07Z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