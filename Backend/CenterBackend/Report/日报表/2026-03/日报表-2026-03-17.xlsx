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definedNames>
    <definedName name="_xlnm.Print_Area" localSheetId="4"><![CDATA['班组＆日生产过程运行质量考评表'!$A$1:$AK$44]]></definedName>
  </definedNames>
  <calcPr calcId="191029"/>
</workbook>
</file>

<file path=xl/calcChain.xml><?xml version="1.0" encoding="utf-8"?>
<calcChain xmlns="http://schemas.openxmlformats.org/spreadsheetml/2006/main"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  <c r="F33" i="11" l="1"/>
  <c r="F12" i="11"/>
  <c r="AJ38" i="11"/>
  <c r="AH17" i="11"/>
  <c r="AJ17" i="11" s="1"/>
  <c r="Y33" i="11"/>
  <c r="Z33" i="11" s="1"/>
  <c r="Y12" i="11"/>
  <c r="Z12" i="11" s="1"/>
  <c r="S12" i="11"/>
  <c r="T12" i="11" s="1"/>
  <c r="F28" i="11"/>
  <c r="F7" i="11"/>
  <c r="E7" i="11"/>
  <c r="Z7" i="11"/>
  <c r="AC12" i="11" l="1"/>
  <c r="AD12" i="11" s="1"/>
  <c r="AE17" i="11"/>
  <c r="F22" i="11"/>
  <c r="I22" i="11"/>
  <c r="L22" i="11"/>
  <c r="O22" i="11"/>
  <c r="Z28" i="11"/>
  <c r="E28" i="11"/>
  <c r="S33" i="11"/>
  <c r="T33" i="11" s="1"/>
  <c r="AC33" i="11"/>
  <c r="AD33" i="11" s="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<sst xmlns="http://schemas.openxmlformats.org/spreadsheetml/2006/main" count="1556" uniqueCount="472">
  <si>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</si>
  <si>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</si>
  <si>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</si>
  <si>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</si>
  <si>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</si>
  <si>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</si>
  <si>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</si>
  <si>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</si>
  <si>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</si>
  <si>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</si>
  <si>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</si>
  <si>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</si>
  <si>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</si>
  <si>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</si>
  <si>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</si>
  <si>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</si>
  <si>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</si>
  <si>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</si>
  <si>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</si>
  <si>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</si>
  <si>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</si>
  <si>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</si>
  <si>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</si>
  <si>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</si>
  <si>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</si>
  <si>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</si>
  <si>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</si>
  <si>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</si>
  <si>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</si>
  <si>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</si>
  <si>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</si>
  <si>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</si>
  <si>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</si>
  <si>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</si>
  <si>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</si>
  <si>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</si>
  <si>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</si>
  <si>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</si>
  <si>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</si>
  <si>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</si>
  <si>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</si>
  <si>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</si>
  <si>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</si>
  <si>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</si>
  <si>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</si>
  <si>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</si>
  <si>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</si>
  <si>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</si>
  <si>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</si>
  <si>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</si>
  <si>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</si>
  <si>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</si>
  <si>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</si>
  <si>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</si>
  <si>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</si>
  <si>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</si>
  <si>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</si>
  <si>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</si>
  <si>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</si>
  <si>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</si>
  <si>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</si>
  <si>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</si>
  <si>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</si>
  <si>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</si>
  <si>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</si>
  <si>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</si>
  <si>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</si>
  <si>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</si>
  <si>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</si>
  <si>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</si>
  <si>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</si>
  <si>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</si>
  <si>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</si>
  <si>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</si>
  <si>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</si>
  <si>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</si>
  <si>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</si>
  <si>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</si>
  <si>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</si>
  <si>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</si>
  <si>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</si>
  <si>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</si>
  <si>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</si>
  <si>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</si>
  <si>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</si>
  <si>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</si>
  <si>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</si>
  <si>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</si>
  <si>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</si>
  <si>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</si>
  <si>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</si>
  <si>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</si>
  <si>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</si>
  <si>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</si>
  <si>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</si>
  <si>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</si>
  <si>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</si>
  <si>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</si>
  <si>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</si>
  <si>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</si>
  <si>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</si>
  <si>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</si>
  <si>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</si>
  <si>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</si>
  <si>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</si>
  <si>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</si>
  <si>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</si>
  <si>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</si>
  <si>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</si>
  <si>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</si>
  <si>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</si>
  <si>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</si>
  <si>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</si>
  <si>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</si>
  <si>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</si>
  <si>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</si>
  <si>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</si>
  <si>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</si>
  <si>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</si>
  <si>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</si>
  <si>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</si>
  <si>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</si>
  <si>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</si>
  <si>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</si>
  <si>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</si>
  <si>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</si>
  <si>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</si>
  <si>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</si>
  <si>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</si>
  <si>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</si>
  <si>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</si>
  <si>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</si>
  <si>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</si>
  <si>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</si>
  <si>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</si>
  <si>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</si>
  <si>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</si>
  <si>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</si>
  <si>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</si>
  <si>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</si>
  <si>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</si>
  <si>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</si>
  <si>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</si>
  <si>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</si>
  <si>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</si>
  <si>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</si>
  <si>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</si>
  <si>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</si>
  <si>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</si>
  <si>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</si>
  <si>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</si>
  <si>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</si>
  <si>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</si>
  <si>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</si>
  <si>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</si>
  <si>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</si>
  <si>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</si>
  <si>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</si>
  <si>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</si>
  <si>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</si>
  <si>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</si>
  <si>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</si>
  <si>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</si>
  <si>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</si>
  <si>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</si>
  <si>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</si>
  <si>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</si>
  <si>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</si>
  <si>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</si>
  <si>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</si>
  <si>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</si>
  <si>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</si>
  <si>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</si>
  <si>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</si>
  <si>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</si>
  <si>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</si>
  <si>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</si>
  <si>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</si>
  <si>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</si>
  <si>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</si>
  <si>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</si>
  <si>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</si>
  <si>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</si>
  <si>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</si>
  <si>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</si>
  <si>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</si>
  <si>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</si>
  <si>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</si>
  <si>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</si>
  <si>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</si>
  <si>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</si>
  <si>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</si>
  <si>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</si>
  <si>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</si>
  <si>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</si>
  <si>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</si>
  <si>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</si>
  <si>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</si>
  <si>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</si>
  <si>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</si>
  <si>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</si>
  <si>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</si>
  <si>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</si>
  <si>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</si>
  <si>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</si>
  <si>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</si>
  <si>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</si>
  <si>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</si>
  <si>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</si>
  <si>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</si>
  <si>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</si>
  <si>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</si>
  <si>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</si>
  <si>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</si>
  <si>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</si>
  <si>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</si>
  <si>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</si>
  <si>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</si>
  <si>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</si>
  <si>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</si>
  <si>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</si>
  <si>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</si>
  <si>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</si>
  <si>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</si>
  <si>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</si>
  <si>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</si>
  <si>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</si>
  <si>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</si>
  <si>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</si>
  <si>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</si>
  <si>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</si>
  <si>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</si>
  <si>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</si>
  <si>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</si>
  <si>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</si>
  <si>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</si>
  <si>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</si>
  <si>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</si>
  <si>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</si>
  <si>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</si>
  <si>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</si>
  <si>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</si>
  <si>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</si>
  <si>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</si>
  <si>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</si>
  <si>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</si>
  <si>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</si>
  <si>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</si>
  <si>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</si>
  <si>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</si>
  <si>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</si>
  <si>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</si>
  <si>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</si>
  <si>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</si>
  <si>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</si>
  <si>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</si>
  <si>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</si>
  <si>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</si>
  <si>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</si>
  <si>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</si>
  <si>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</si>
  <si>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</si>
  <si>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</si>
  <si>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</si>
  <si>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</si>
  <si>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</si>
  <si>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</si>
  <si>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</si>
  <si>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</si>
  <si>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</si>
  <si>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</si>
  <si>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</si>
  <si>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</si>
  <si>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</si>
  <si>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</si>
  <si>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</si>
  <si>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</si>
  <si>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</si>
  <si>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</si>
  <si>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</si>
  <si>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</si>
  <si>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</si>
  <si>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t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</si>
  <si>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</si>
  <si>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</si>
  <si>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脱色前后
差值</t>
    <phoneticPr fontId="1" type="noConversion"/>
  </si>
  <si>
    <t xml:space="preserve">脱色后
含量</t>
    <phoneticPr fontId="1" type="noConversion"/>
  </si>
  <si>
    <t xml:space="preserve">脱色前
含量</t>
    <phoneticPr fontId="1" type="noConversion"/>
  </si>
  <si>
    <t xml:space="preserve">活性炭
型号</t>
    <phoneticPr fontId="1" type="noConversion"/>
  </si>
  <si>
    <t xml:space="preserve">活性炭
单耗</t>
    <phoneticPr fontId="1" type="noConversion"/>
  </si>
  <si>
    <t xml:space="preserve">活性炭
消耗</t>
    <phoneticPr fontId="1" type="noConversion"/>
  </si>
  <si>
    <t xml:space="preserve">脱色液
产量</t>
    <phoneticPr fontId="1" type="noConversion"/>
  </si>
  <si>
    <t xml:space="preserve">脱色前后硫铵含量变化</t>
    <phoneticPr fontId="1" type="noConversion"/>
  </si>
  <si>
    <t xml:space="preserve">脱色前后羟基乙腈变化</t>
    <phoneticPr fontId="1" type="noConversion"/>
  </si>
  <si>
    <t xml:space="preserve">脱色前后二乙腈变化</t>
    <phoneticPr fontId="1" type="noConversion"/>
  </si>
  <si>
    <t xml:space="preserve">脱色系统</t>
    <phoneticPr fontId="1" type="noConversion"/>
  </si>
  <si>
    <t xml:space="preserve">0.8</t>
    <phoneticPr fontId="1" type="noConversion"/>
  </si>
  <si>
    <t xml:space="preserve">t/t</t>
    <phoneticPr fontId="1" type="noConversion"/>
  </si>
  <si>
    <t xml:space="preserve">t/h</t>
    <phoneticPr fontId="1" type="noConversion"/>
  </si>
  <si>
    <t xml:space="preserve">m3/h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</si>
  <si>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</si>
  <si>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</si>
  <si>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</si>
  <si>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mg/L</t>
    <phoneticPr fontId="1" type="noConversion"/>
  </si>
  <si>
    <t xml:space="preserve">蒸汽单耗
评价</t>
    <phoneticPr fontId="1" type="noConversion"/>
  </si>
  <si>
    <t xml:space="preserve">蒸汽单耗
理论值</t>
    <phoneticPr fontId="1" type="noConversion"/>
  </si>
  <si>
    <t xml:space="preserve">蒸汽
单耗</t>
    <phoneticPr fontId="1" type="noConversion"/>
  </si>
  <si>
    <t xml:space="preserve">蒸汽
平均流量</t>
    <phoneticPr fontId="1" type="noConversion"/>
  </si>
  <si>
    <t xml:space="preserve">蒸汽
消耗</t>
    <phoneticPr fontId="1" type="noConversion"/>
  </si>
  <si>
    <t xml:space="preserve">浓缩比</t>
    <phoneticPr fontId="1" type="noConversion"/>
  </si>
  <si>
    <t xml:space="preserve">出料
比重</t>
    <phoneticPr fontId="1" type="noConversion"/>
  </si>
  <si>
    <t xml:space="preserve">出料
平均流量</t>
    <phoneticPr fontId="1" type="noConversion"/>
  </si>
  <si>
    <t xml:space="preserve">出料
总量</t>
    <phoneticPr fontId="1" type="noConversion"/>
  </si>
  <si>
    <t xml:space="preserve">进料
平均流量</t>
    <phoneticPr fontId="1" type="noConversion"/>
  </si>
  <si>
    <t xml:space="preserve">进料
总量</t>
    <phoneticPr fontId="1" type="noConversion"/>
  </si>
  <si>
    <t xml:space="preserve">物料
液位</t>
    <phoneticPr fontId="1" type="noConversion"/>
  </si>
  <si>
    <t xml:space="preserve">低蒸
压力</t>
    <phoneticPr fontId="1" type="noConversion"/>
  </si>
  <si>
    <t xml:space="preserve">物料
温度</t>
    <phoneticPr fontId="1" type="noConversion"/>
  </si>
  <si>
    <t xml:space="preserve">加热
温度</t>
    <phoneticPr fontId="1" type="noConversion"/>
  </si>
  <si>
    <t xml:space="preserve">综合
含量</t>
    <phoneticPr fontId="1" type="noConversion"/>
  </si>
  <si>
    <t xml:space="preserve">水分</t>
    <phoneticPr fontId="1" type="noConversion"/>
  </si>
  <si>
    <t xml:space="preserve">二乙腈
折干含量</t>
    <phoneticPr fontId="1" type="noConversion"/>
  </si>
  <si>
    <t xml:space="preserve">pH</t>
    <phoneticPr fontId="1" type="noConversion"/>
  </si>
  <si>
    <t xml:space="preserve">降温
温差</t>
    <phoneticPr fontId="1" type="noConversion"/>
  </si>
  <si>
    <t xml:space="preserve">冷却水
温度</t>
    <phoneticPr fontId="1" type="noConversion"/>
  </si>
  <si>
    <t xml:space="preserve">甲醛</t>
    <phoneticPr fontId="1" type="noConversion"/>
  </si>
  <si>
    <t xml:space="preserve">低蒸数据分析</t>
    <phoneticPr fontId="1" type="noConversion"/>
  </si>
  <si>
    <t xml:space="preserve">低蒸过程数据</t>
    <phoneticPr fontId="1" type="noConversion"/>
  </si>
  <si>
    <t xml:space="preserve">二次结晶物分析数据</t>
    <phoneticPr fontId="1" type="noConversion"/>
  </si>
  <si>
    <t xml:space="preserve">二次结晶过程数据</t>
    <phoneticPr fontId="1" type="noConversion"/>
  </si>
  <si>
    <t xml:space="preserve">一次结晶物分析数据</t>
    <phoneticPr fontId="1" type="noConversion"/>
  </si>
  <si>
    <t xml:space="preserve">一次结晶过程数据</t>
    <phoneticPr fontId="1" type="noConversion"/>
  </si>
  <si>
    <t xml:space="preserve">废水分析数据</t>
    <phoneticPr fontId="1" type="noConversion"/>
  </si>
  <si>
    <t xml:space="preserve">低蒸系统</t>
    <phoneticPr fontId="1" type="noConversion"/>
  </si>
  <si>
    <t xml:space="preserve">二次结晶系统</t>
    <phoneticPr fontId="1" type="noConversion"/>
  </si>
  <si>
    <t xml:space="preserve">一次结晶系统</t>
    <phoneticPr fontId="1" type="noConversion"/>
  </si>
  <si>
    <t xml:space="preserve">闪蒸系统</t>
    <phoneticPr fontId="1" type="noConversion"/>
  </si>
  <si>
    <t xml:space="preserve">33.1</t>
    <phoneticPr fontId="1" type="noConversion"/>
  </si>
  <si>
    <t xml:space="preserve">kg/h</t>
  </si>
  <si>
    <t xml:space="preserve">kg/h</t>
    <phoneticPr fontId="1" type="noConversion"/>
  </si>
  <si>
    <t xml:space="preserve">氨氮</t>
    <phoneticPr fontId="1" type="noConversion"/>
  </si>
  <si>
    <t xml:space="preserve">总腈</t>
    <phoneticPr fontId="1" type="noConversion"/>
  </si>
  <si>
    <t xml:space="preserve">含量评价</t>
    <phoneticPr fontId="1" type="noConversion"/>
  </si>
  <si>
    <t xml:space="preserve">差值</t>
    <phoneticPr fontId="1" type="noConversion"/>
  </si>
  <si>
    <t xml:space="preserve">化分</t>
    <phoneticPr fontId="1" type="noConversion"/>
  </si>
  <si>
    <t xml:space="preserve">色谱</t>
    <phoneticPr fontId="1" type="noConversion"/>
  </si>
  <si>
    <t xml:space="preserve">浓度</t>
    <phoneticPr fontId="1" type="noConversion"/>
  </si>
  <si>
    <t xml:space="preserve">流量</t>
    <phoneticPr fontId="1" type="noConversion"/>
  </si>
  <si>
    <t xml:space="preserve">闪蒸过程参数</t>
    <phoneticPr fontId="1" type="noConversion"/>
  </si>
  <si>
    <t xml:space="preserve">稀硫酸
消耗
评价</t>
    <phoneticPr fontId="1" type="noConversion"/>
  </si>
  <si>
    <r>
      <rPr>
        <sz val="8"/>
        <rFont val="宋体"/>
        <family val="1"/>
        <charset val="134"/>
      </rPr>
      <t xml:space="preserve"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 xml:space="preserve">差值</t>
    </r>
    <phoneticPr fontId="1" type="noConversion"/>
  </si>
  <si>
    <t xml:space="preserve">稀硫酸
实际耗量</t>
    <phoneticPr fontId="1" type="noConversion"/>
  </si>
  <si>
    <t xml:space="preserve">稀硫酸
设计耗量</t>
    <phoneticPr fontId="1" type="noConversion"/>
  </si>
  <si>
    <t xml:space="preserve">羟基乙腈实测含量</t>
    <phoneticPr fontId="1" type="noConversion"/>
  </si>
  <si>
    <t xml:space="preserve">羟基乙腈设计含量</t>
    <phoneticPr fontId="1" type="noConversion"/>
  </si>
  <si>
    <t xml:space="preserve">反应液
比重</t>
    <phoneticPr fontId="1" type="noConversion"/>
  </si>
  <si>
    <t xml:space="preserve">二乙腈实测含量</t>
    <phoneticPr fontId="1" type="noConversion"/>
  </si>
  <si>
    <t xml:space="preserve">二乙腈设计含量</t>
    <phoneticPr fontId="1" type="noConversion"/>
  </si>
  <si>
    <t xml:space="preserve">反应器
出口压力</t>
    <phoneticPr fontId="1" type="noConversion"/>
  </si>
  <si>
    <t xml:space="preserve">反应器
出口温度</t>
    <phoneticPr fontId="1" type="noConversion"/>
  </si>
  <si>
    <t xml:space="preserve">反应器
热点温度</t>
    <phoneticPr fontId="1" type="noConversion"/>
  </si>
  <si>
    <t xml:space="preserve">反应器
入口压力</t>
    <phoneticPr fontId="1" type="noConversion"/>
  </si>
  <si>
    <t xml:space="preserve">反应器
入口温度</t>
    <phoneticPr fontId="1" type="noConversion"/>
  </si>
  <si>
    <t xml:space="preserve">配比蒸汽
流量</t>
    <phoneticPr fontId="1" type="noConversion"/>
  </si>
  <si>
    <t xml:space="preserve">气氨
流量</t>
    <phoneticPr fontId="1" type="noConversion"/>
  </si>
  <si>
    <t xml:space="preserve">羟基流量</t>
    <phoneticPr fontId="1" type="noConversion"/>
  </si>
  <si>
    <t xml:space="preserve">摩尔比
评价</t>
    <phoneticPr fontId="1" type="noConversion"/>
  </si>
  <si>
    <t xml:space="preserve">实际
摩尔比</t>
    <phoneticPr fontId="1" type="noConversion"/>
  </si>
  <si>
    <t xml:space="preserve">理论
摩尔比</t>
    <phoneticPr fontId="1" type="noConversion"/>
  </si>
  <si>
    <t xml:space="preserve">反应液分析数据</t>
    <phoneticPr fontId="1" type="noConversion"/>
  </si>
  <si>
    <t xml:space="preserve">氨化反应过程数据</t>
    <phoneticPr fontId="1" type="noConversion"/>
  </si>
  <si>
    <t xml:space="preserve">摩尔比情况</t>
    <phoneticPr fontId="1" type="noConversion"/>
  </si>
  <si>
    <t xml:space="preserve">m3/t</t>
    <phoneticPr fontId="1" type="noConversion"/>
  </si>
  <si>
    <t xml:space="preserve">kwh/t</t>
    <phoneticPr fontId="1" type="noConversion"/>
  </si>
  <si>
    <t xml:space="preserve">m3/t</t>
  </si>
  <si>
    <t xml:space="preserve">夜
班</t>
    <phoneticPr fontId="1" type="noConversion"/>
  </si>
  <si>
    <t xml:space="preserve">二次产品
占比率</t>
    <phoneticPr fontId="1" type="noConversion"/>
  </si>
  <si>
    <t xml:space="preserve">未知物
平均含量</t>
    <phoneticPr fontId="1" type="noConversion"/>
  </si>
  <si>
    <t xml:space="preserve">平均
含水率</t>
    <phoneticPr fontId="1" type="noConversion"/>
  </si>
  <si>
    <t xml:space="preserve">二乙腈
平均含量</t>
    <phoneticPr fontId="1" type="noConversion"/>
  </si>
  <si>
    <t xml:space="preserve">折百
产量</t>
    <phoneticPr fontId="1" type="noConversion"/>
  </si>
  <si>
    <t xml:space="preserve">产量</t>
    <phoneticPr fontId="1" type="noConversion"/>
  </si>
  <si>
    <t xml:space="preserve">第二袋
未知物含量</t>
    <phoneticPr fontId="1" type="noConversion"/>
  </si>
  <si>
    <t xml:space="preserve">第一袋
未知物含量</t>
    <phoneticPr fontId="1" type="noConversion"/>
  </si>
  <si>
    <t xml:space="preserve">第二袋
含水率</t>
    <phoneticPr fontId="1" type="noConversion"/>
  </si>
  <si>
    <t xml:space="preserve">第一袋
含水率</t>
    <phoneticPr fontId="1" type="noConversion"/>
  </si>
  <si>
    <t xml:space="preserve">第一袋
二乙腈
含量</t>
    <phoneticPr fontId="1" type="noConversion"/>
  </si>
  <si>
    <t xml:space="preserve">差额</t>
    <phoneticPr fontId="1" type="noConversion"/>
  </si>
  <si>
    <t xml:space="preserve">产量
评价</t>
    <phoneticPr fontId="1" type="noConversion"/>
  </si>
  <si>
    <t xml:space="preserve">折百</t>
    <phoneticPr fontId="1" type="noConversion"/>
  </si>
  <si>
    <t xml:space="preserve">总产量</t>
    <phoneticPr fontId="1" type="noConversion"/>
  </si>
  <si>
    <t xml:space="preserve">废液
单位排放</t>
    <phoneticPr fontId="1" type="noConversion"/>
  </si>
  <si>
    <t xml:space="preserve">废水
单位排放</t>
    <phoneticPr fontId="1" type="noConversion"/>
  </si>
  <si>
    <t xml:space="preserve">电
单耗</t>
    <phoneticPr fontId="1" type="noConversion"/>
  </si>
  <si>
    <t xml:space="preserve">脱盐水
单耗</t>
    <phoneticPr fontId="1" type="noConversion"/>
  </si>
  <si>
    <t xml:space="preserve">低蒸蒸汽
单耗</t>
    <phoneticPr fontId="1" type="noConversion"/>
  </si>
  <si>
    <t xml:space="preserve">反应蒸汽
单耗</t>
    <phoneticPr fontId="1" type="noConversion"/>
  </si>
  <si>
    <t xml:space="preserve">稀硫酸
单耗</t>
    <phoneticPr fontId="1" type="noConversion"/>
  </si>
  <si>
    <t xml:space="preserve">液氨
单耗</t>
    <phoneticPr fontId="1" type="noConversion"/>
  </si>
  <si>
    <t xml:space="preserve">羟基乙腈单耗</t>
    <phoneticPr fontId="1" type="noConversion"/>
  </si>
  <si>
    <t xml:space="preserve">二次产品情况</t>
    <phoneticPr fontId="1" type="noConversion"/>
  </si>
  <si>
    <t xml:space="preserve">一次产品（一次分离）情况</t>
    <phoneticPr fontId="1" type="noConversion"/>
  </si>
  <si>
    <r>
      <rPr>
        <sz val="8"/>
        <rFont val="宋体"/>
        <family val="1"/>
        <charset val="134"/>
      </rPr>
      <t xml:space="preserve">产量</t>
    </r>
    <r>
      <rPr>
        <sz val="8"/>
        <rFont val="Times New Roman"/>
        <family val="1"/>
      </rPr>
      <t xml:space="preserve">/</t>
    </r>
    <r>
      <rPr>
        <sz val="8"/>
        <rFont val="宋体"/>
        <family val="1"/>
        <charset val="134"/>
      </rPr>
      <t xml:space="preserve">质量情况汇总</t>
    </r>
    <phoneticPr fontId="1" type="noConversion"/>
  </si>
  <si>
    <t xml:space="preserve">原料消耗＆废液排放</t>
    <phoneticPr fontId="1" type="noConversion"/>
  </si>
  <si>
    <t xml:space="preserve">产量/质量情况汇总</t>
    <phoneticPr fontId="1" type="noConversion"/>
  </si>
  <si>
    <t xml:space="preserve">班
次</t>
    <phoneticPr fontId="1" type="noConversion"/>
  </si>
  <si>
    <t xml:space="preserve">日
期</t>
    <phoneticPr fontId="1" type="noConversion"/>
  </si>
  <si>
    <t xml:space="preserve">白
班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</si>
  <si>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</si>
  <si>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</si>
  <si>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</si>
  <si>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文件编号：                                                                           班组＆日---生产过程运行质量考评表</t>
    <phoneticPr fontId="1" type="noConversion"/>
  </si>
  <si>
    <t xml:space="preserve">/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</si>
  <si>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</si>
  <si>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</si>
  <si>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</si>
  <si>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</si>
  <si>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</si>
  <si>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</si>
  <si>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</si>
  <si>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</si>
  <si>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</si>
  <si>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</si>
  <si>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</si>
  <si>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</si>
  <si>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</si>
  <si>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</si>
  <si>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</si>
  <si>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</si>
  <si>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</si>
  <si>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</si>
  <si>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</si>
  <si>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</si>
  <si>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</si>
  <si>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</si>
  <si>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</si>
  <si>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</si>
  <si>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</si>
  <si>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</si>
  <si>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</si>
  <si>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</si>
  <si>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</si>
  <si>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</si>
  <si>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</si>
  <si>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</si>
  <si>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</si>
  <si>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</si>
  <si>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</si>
  <si>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</si>
  <si>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</si>
  <si>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</si>
  <si>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</si>
  <si>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</si>
  <si>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</si>
  <si>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</si>
  <si>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</si>
  <si>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</si>
  <si>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</si>
  <si>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</si>
  <si>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</si>
  <si>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</si>
  <si>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</si>
  <si>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</si>
  <si>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</si>
  <si>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</si>
  <si>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</si>
  <si>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</si>
  <si>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</si>
  <si>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</si>
  <si>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</si>
  <si>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</si>
  <si>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2026-03-17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</si>
</sst>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.000_ "/>
    <numFmt numFmtId="178" formatCode="0.00_ "/>
  </numFmts>
  <fonts count="3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name val="Segoe UI Symbol"/>
      <family val="1"/>
    </font>
    <font>
      <sz val="8"/>
      <name val="宋体"/>
      <family val="1"/>
      <charset val="134"/>
    </font>
    <font>
      <sz val="8"/>
      <name val="Segoe UI Symbol"/>
      <family val="1"/>
      <charset val="134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1"/>
      <name val="宋体"/>
      <family val="2"/>
      <scheme val="minor"/>
    </font>
    <font>
      <sz val="8"/>
      <name val="宋体"/>
      <family val="3"/>
      <charset val="134"/>
    </font>
    <font>
      <sz val="1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8"/>
      <color rgb="FF00B050"/>
      <name val="宋体"/>
      <family val="1"/>
      <charset val="134"/>
    </font>
    <font>
      <b/>
      <sz val="8"/>
      <color rgb="FF00B050"/>
      <name val="Times New Roman"/>
      <family val="1"/>
    </font>
    <font>
      <sz val="11"/>
      <name val="Times New Roman"/>
      <family val="1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1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350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51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20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1" fillId="0" borderId="12" xfId="0" applyNumberFormat="1" applyFont="1" applyBorder="1" applyAlignment="1">
      <alignment horizontal="center" vertical="center" wrapText="1"/>
    </xf>
    <xf numFmtId="2" fontId="21" fillId="0" borderId="11" xfId="0" applyNumberFormat="1" applyFont="1" applyBorder="1" applyAlignment="1">
      <alignment horizontal="center" vertical="center" wrapText="1"/>
    </xf>
    <xf numFmtId="0" fontId="19" fillId="4" borderId="73" xfId="0" applyFont="1" applyFill="1" applyBorder="1" applyAlignment="1">
      <alignment horizontal="center" vertical="center" wrapText="1"/>
    </xf>
    <xf numFmtId="49" fontId="19" fillId="4" borderId="73" xfId="0" applyNumberFormat="1" applyFont="1" applyFill="1" applyBorder="1" applyAlignment="1">
      <alignment horizontal="center" vertical="center" wrapText="1"/>
    </xf>
    <xf numFmtId="49" fontId="18" fillId="4" borderId="73" xfId="0" applyNumberFormat="1" applyFont="1" applyFill="1" applyBorder="1" applyAlignment="1">
      <alignment horizontal="center" vertical="center" wrapText="1"/>
    </xf>
    <xf numFmtId="0" fontId="18" fillId="4" borderId="7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49" fontId="19" fillId="0" borderId="69" xfId="0" applyNumberFormat="1" applyFont="1" applyBorder="1" applyAlignment="1">
      <alignment horizontal="center" vertical="center" wrapText="1"/>
    </xf>
    <xf numFmtId="0" fontId="18" fillId="4" borderId="89" xfId="0" applyFont="1" applyFill="1" applyBorder="1" applyAlignment="1">
      <alignment horizontal="center" vertical="center"/>
    </xf>
    <xf numFmtId="49" fontId="19" fillId="4" borderId="90" xfId="0" applyNumberFormat="1" applyFont="1" applyFill="1" applyBorder="1" applyAlignment="1">
      <alignment horizontal="center" vertical="center" wrapText="1"/>
    </xf>
    <xf numFmtId="176" fontId="28" fillId="0" borderId="4" xfId="0" applyNumberFormat="1" applyFont="1" applyBorder="1" applyAlignment="1">
      <alignment horizontal="center" vertical="center" wrapText="1"/>
    </xf>
    <xf numFmtId="176" fontId="29" fillId="0" borderId="4" xfId="0" applyNumberFormat="1" applyFont="1" applyBorder="1" applyAlignment="1">
      <alignment horizontal="center" vertical="center" wrapText="1"/>
    </xf>
    <xf numFmtId="176" fontId="29" fillId="0" borderId="47" xfId="0" applyNumberFormat="1" applyFont="1" applyBorder="1" applyAlignment="1">
      <alignment horizontal="center" vertical="center" wrapText="1"/>
    </xf>
    <xf numFmtId="176" fontId="29" fillId="0" borderId="51" xfId="0" applyNumberFormat="1" applyFont="1" applyBorder="1" applyAlignment="1">
      <alignment horizontal="center" vertical="center" wrapText="1"/>
    </xf>
    <xf numFmtId="177" fontId="28" fillId="0" borderId="4" xfId="0" applyNumberFormat="1" applyFont="1" applyBorder="1" applyAlignment="1">
      <alignment horizontal="center" vertical="center" wrapText="1"/>
    </xf>
    <xf numFmtId="177" fontId="28" fillId="0" borderId="47" xfId="0" applyNumberFormat="1" applyFont="1" applyBorder="1" applyAlignment="1">
      <alignment horizontal="center" vertical="center" wrapText="1"/>
    </xf>
    <xf numFmtId="177" fontId="28" fillId="0" borderId="51" xfId="0" applyNumberFormat="1" applyFont="1" applyBorder="1" applyAlignment="1">
      <alignment horizontal="center" vertical="center" wrapText="1"/>
    </xf>
    <xf numFmtId="177" fontId="28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28" fillId="0" borderId="30" xfId="0" applyNumberFormat="1" applyFont="1" applyBorder="1" applyAlignment="1">
      <alignment horizontal="center" vertical="center" wrapText="1"/>
    </xf>
    <xf numFmtId="177" fontId="28" fillId="0" borderId="48" xfId="0" applyNumberFormat="1" applyFont="1" applyBorder="1" applyAlignment="1">
      <alignment horizontal="center" vertical="center" wrapText="1"/>
    </xf>
    <xf numFmtId="177" fontId="28" fillId="0" borderId="52" xfId="0" applyNumberFormat="1" applyFont="1" applyBorder="1" applyAlignment="1">
      <alignment horizontal="center" vertical="center" wrapText="1"/>
    </xf>
    <xf numFmtId="177" fontId="28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28" fillId="0" borderId="12" xfId="0" applyNumberFormat="1" applyFont="1" applyBorder="1" applyAlignment="1">
      <alignment horizontal="center" vertical="center" wrapText="1"/>
    </xf>
    <xf numFmtId="177" fontId="29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28" fillId="0" borderId="45" xfId="0" applyNumberFormat="1" applyFont="1" applyBorder="1" applyAlignment="1">
      <alignment horizontal="center" vertical="center" wrapText="1"/>
    </xf>
    <xf numFmtId="177" fontId="29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29" fillId="0" borderId="47" xfId="0" applyNumberFormat="1" applyFont="1" applyBorder="1" applyAlignment="1">
      <alignment horizontal="center" vertical="center" wrapText="1"/>
    </xf>
    <xf numFmtId="177" fontId="29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29" fillId="0" borderId="48" xfId="0" applyNumberFormat="1" applyFont="1" applyBorder="1" applyAlignment="1">
      <alignment horizontal="center" vertical="center" wrapText="1"/>
    </xf>
    <xf numFmtId="177" fontId="29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18" fillId="0" borderId="39" xfId="0" applyNumberFormat="1" applyFont="1" applyBorder="1" applyAlignment="1">
      <alignment horizontal="center" vertical="center" wrapText="1"/>
    </xf>
    <xf numFmtId="177" fontId="18" fillId="3" borderId="52" xfId="0" applyNumberFormat="1" applyFont="1" applyFill="1" applyBorder="1" applyAlignment="1">
      <alignment horizontal="center" vertical="center" wrapText="1"/>
    </xf>
    <xf numFmtId="177" fontId="18" fillId="3" borderId="30" xfId="0" applyNumberFormat="1" applyFont="1" applyFill="1" applyBorder="1" applyAlignment="1">
      <alignment horizontal="center" vertical="center" wrapText="1"/>
    </xf>
    <xf numFmtId="177" fontId="18" fillId="3" borderId="48" xfId="0" applyNumberFormat="1" applyFont="1" applyFill="1" applyBorder="1" applyAlignment="1">
      <alignment horizontal="center" vertical="center" wrapText="1"/>
    </xf>
    <xf numFmtId="177" fontId="18" fillId="0" borderId="45" xfId="0" applyNumberFormat="1" applyFont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21" fillId="0" borderId="52" xfId="0" applyNumberFormat="1" applyFont="1" applyBorder="1" applyAlignment="1">
      <alignment horizontal="center" vertical="center" wrapText="1"/>
    </xf>
    <xf numFmtId="177" fontId="19" fillId="0" borderId="30" xfId="0" applyNumberFormat="1" applyFont="1" applyBorder="1" applyAlignment="1">
      <alignment horizontal="center" vertical="center" wrapText="1"/>
    </xf>
    <xf numFmtId="177" fontId="19" fillId="0" borderId="48" xfId="0" applyNumberFormat="1" applyFont="1" applyBorder="1" applyAlignment="1">
      <alignment horizontal="center" vertical="center" wrapText="1"/>
    </xf>
    <xf numFmtId="177" fontId="18" fillId="0" borderId="0" xfId="0" applyNumberFormat="1" applyFont="1" applyAlignment="1">
      <alignment horizontal="center" vertical="center"/>
    </xf>
    <xf numFmtId="177" fontId="21" fillId="0" borderId="30" xfId="0" applyNumberFormat="1" applyFont="1" applyBorder="1" applyAlignment="1">
      <alignment horizontal="center" vertical="center" wrapText="1"/>
    </xf>
    <xf numFmtId="177" fontId="19" fillId="0" borderId="52" xfId="0" applyNumberFormat="1" applyFont="1" applyBorder="1" applyAlignment="1">
      <alignment horizontal="center" vertical="center" wrapText="1"/>
    </xf>
    <xf numFmtId="177" fontId="18" fillId="0" borderId="75" xfId="0" applyNumberFormat="1" applyFont="1" applyBorder="1" applyAlignment="1">
      <alignment horizontal="center" vertical="center" wrapText="1"/>
    </xf>
    <xf numFmtId="177" fontId="18" fillId="0" borderId="74" xfId="0" applyNumberFormat="1" applyFont="1" applyBorder="1" applyAlignment="1">
      <alignment horizontal="center" vertical="center" wrapText="1"/>
    </xf>
    <xf numFmtId="177" fontId="19" fillId="0" borderId="74" xfId="0" applyNumberFormat="1" applyFont="1" applyBorder="1" applyAlignment="1">
      <alignment horizontal="center" vertical="center" wrapText="1"/>
    </xf>
    <xf numFmtId="177" fontId="19" fillId="0" borderId="76" xfId="0" applyNumberFormat="1" applyFont="1" applyBorder="1" applyAlignment="1">
      <alignment horizontal="center" vertical="center" wrapText="1"/>
    </xf>
    <xf numFmtId="177" fontId="23" fillId="0" borderId="30" xfId="0" applyNumberFormat="1" applyFont="1" applyBorder="1" applyAlignment="1">
      <alignment horizontal="center" vertical="center" wrapText="1"/>
    </xf>
    <xf numFmtId="177" fontId="30" fillId="0" borderId="52" xfId="0" applyNumberFormat="1" applyFont="1" applyBorder="1" applyAlignment="1">
      <alignment horizontal="center" vertical="center" wrapText="1"/>
    </xf>
    <xf numFmtId="177" fontId="31" fillId="0" borderId="52" xfId="0" applyNumberFormat="1" applyFont="1" applyBorder="1" applyAlignment="1">
      <alignment horizontal="center" vertical="center" wrapText="1"/>
    </xf>
    <xf numFmtId="177" fontId="31" fillId="0" borderId="30" xfId="0" applyNumberFormat="1" applyFont="1" applyBorder="1" applyAlignment="1">
      <alignment horizontal="center" vertical="center" wrapText="1"/>
    </xf>
    <xf numFmtId="177" fontId="31" fillId="0" borderId="76" xfId="0" applyNumberFormat="1" applyFont="1" applyBorder="1" applyAlignment="1">
      <alignment horizontal="center" vertical="center" wrapText="1"/>
    </xf>
    <xf numFmtId="177" fontId="31" fillId="0" borderId="48" xfId="0" applyNumberFormat="1" applyFont="1" applyBorder="1" applyAlignment="1">
      <alignment horizontal="center" vertical="center" wrapText="1"/>
    </xf>
    <xf numFmtId="177" fontId="32" fillId="0" borderId="30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24" fillId="0" borderId="82" xfId="0" applyFont="1" applyBorder="1" applyAlignment="1">
      <alignment horizontal="left" vertical="center"/>
    </xf>
    <xf numFmtId="0" fontId="24" fillId="0" borderId="83" xfId="0" applyFont="1" applyBorder="1" applyAlignment="1">
      <alignment horizontal="left" vertical="center"/>
    </xf>
    <xf numFmtId="0" fontId="24" fillId="0" borderId="84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21" fillId="0" borderId="8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21" fillId="0" borderId="79" xfId="0" applyNumberFormat="1" applyFont="1" applyBorder="1" applyAlignment="1">
      <alignment horizontal="center" vertical="center" wrapText="1"/>
    </xf>
    <xf numFmtId="2" fontId="21" fillId="0" borderId="78" xfId="0" applyNumberFormat="1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49" fontId="21" fillId="0" borderId="58" xfId="0" applyNumberFormat="1" applyFont="1" applyBorder="1" applyAlignment="1">
      <alignment horizontal="center" vertical="center" wrapText="1"/>
    </xf>
    <xf numFmtId="49" fontId="21" fillId="0" borderId="37" xfId="0" applyNumberFormat="1" applyFont="1" applyBorder="1" applyAlignment="1">
      <alignment horizontal="center" vertical="center" wrapText="1"/>
    </xf>
    <xf numFmtId="49" fontId="21" fillId="0" borderId="53" xfId="0" applyNumberFormat="1" applyFont="1" applyBorder="1" applyAlignment="1">
      <alignment horizontal="center" vertical="center" wrapText="1"/>
    </xf>
    <xf numFmtId="49" fontId="21" fillId="0" borderId="68" xfId="0" applyNumberFormat="1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69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49" fontId="21" fillId="0" borderId="70" xfId="0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2" fontId="21" fillId="0" borderId="68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87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49" fontId="26" fillId="0" borderId="72" xfId="0" applyNumberFormat="1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71" xfId="0" applyFont="1" applyBorder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0" fontId="0" fillId="0" borderId="9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3" fillId="3" borderId="81" xfId="0" applyFont="1" applyFill="1" applyBorder="1" applyAlignment="1">
      <alignment horizontal="center" vertical="center"/>
    </xf>
    <xf numFmtId="0" fontId="33" fillId="3" borderId="78" xfId="0" applyFont="1" applyFill="1" applyBorder="1" applyAlignment="1">
      <alignment horizontal="center" vertical="center"/>
    </xf>
    <xf numFmtId="0" fontId="33" fillId="3" borderId="77" xfId="0" applyFont="1" applyFill="1" applyBorder="1" applyAlignment="1">
      <alignment horizontal="center" vertical="center"/>
    </xf>
    <xf numFmtId="0" fontId="34" fillId="3" borderId="61" xfId="0" applyFont="1" applyFill="1" applyBorder="1" applyAlignment="1">
      <alignment vertical="center"/>
    </xf>
    <xf numFmtId="0" fontId="34" fillId="3" borderId="62" xfId="0" applyFont="1" applyFill="1" applyBorder="1" applyAlignment="1">
      <alignment vertical="center"/>
    </xf>
    <xf numFmtId="0" fontId="34" fillId="3" borderId="62" xfId="0" applyFont="1" applyFill="1" applyBorder="1" applyAlignment="1">
      <alignment horizontal="right" vertical="center"/>
    </xf>
    <xf numFmtId="0" fontId="34" fillId="3" borderId="62" xfId="0" applyFont="1" applyFill="1" applyBorder="1" applyAlignment="1">
      <alignment horizontal="center" vertical="center"/>
    </xf>
    <xf numFmtId="0" fontId="34" fillId="3" borderId="65" xfId="0" applyFont="1" applyFill="1" applyBorder="1" applyAlignment="1">
      <alignment horizontal="center" vertical="center"/>
    </xf>
    <xf numFmtId="0" fontId="33" fillId="0" borderId="93" xfId="0" applyFont="1" applyBorder="1" applyAlignment="1">
      <alignment horizontal="center" vertical="center"/>
    </xf>
    <xf numFmtId="0" fontId="33" fillId="0" borderId="73" xfId="0" applyFont="1" applyBorder="1" applyAlignment="1">
      <alignment horizontal="center" vertical="center"/>
    </xf>
    <xf numFmtId="0" fontId="33" fillId="0" borderId="90" xfId="0" applyFont="1" applyBorder="1" applyAlignment="1">
      <alignment horizontal="center" vertical="center"/>
    </xf>
    <xf numFmtId="0" fontId="33" fillId="0" borderId="94" xfId="0" applyFont="1" applyBorder="1" applyAlignment="1">
      <alignment horizontal="center" vertical="center"/>
    </xf>
    <xf numFmtId="0" fontId="33" fillId="0" borderId="89" xfId="0" applyFont="1" applyBorder="1" applyAlignment="1">
      <alignment horizontal="center" vertical="center"/>
    </xf>
    <xf numFmtId="0" fontId="33" fillId="0" borderId="95" xfId="0" applyFont="1" applyBorder="1" applyAlignment="1">
      <alignment horizontal="center" vertical="center"/>
    </xf>
    <xf numFmtId="0" fontId="35" fillId="0" borderId="96" xfId="0" applyFont="1" applyBorder="1" applyAlignment="1">
      <alignment horizontal="left" vertical="center"/>
    </xf>
    <xf numFmtId="0" fontId="35" fillId="0" borderId="94" xfId="0" applyFont="1" applyBorder="1" applyAlignment="1">
      <alignment horizontal="center" vertical="center"/>
    </xf>
    <xf numFmtId="0" fontId="35" fillId="0" borderId="94" xfId="0" applyFont="1" applyBorder="1" applyAlignment="1">
      <alignment horizontal="center" vertical="center"/>
    </xf>
    <xf numFmtId="177" fontId="36" fillId="0" borderId="94" xfId="0" applyNumberFormat="1" applyFont="1" applyBorder="1" applyAlignment="1">
      <alignment horizontal="center" vertical="center"/>
    </xf>
    <xf numFmtId="177" fontId="16" fillId="0" borderId="94" xfId="0" applyNumberFormat="1" applyFont="1" applyBorder="1" applyAlignment="1">
      <alignment horizontal="center" vertical="center"/>
    </xf>
    <xf numFmtId="178" fontId="36" fillId="0" borderId="94" xfId="0" applyNumberFormat="1" applyFont="1" applyBorder="1" applyAlignment="1">
      <alignment horizontal="center" vertical="center"/>
    </xf>
    <xf numFmtId="178" fontId="36" fillId="0" borderId="89" xfId="0" applyNumberFormat="1" applyFont="1" applyBorder="1" applyAlignment="1">
      <alignment horizontal="center" vertical="center"/>
    </xf>
    <xf numFmtId="0" fontId="36" fillId="0" borderId="95" xfId="0" applyFont="1" applyBorder="1" applyAlignment="1">
      <alignment horizontal="center" vertical="center"/>
    </xf>
    <xf numFmtId="0" fontId="35" fillId="0" borderId="97" xfId="0" applyFont="1" applyBorder="1" applyAlignment="1">
      <alignment horizontal="center" vertical="center"/>
    </xf>
    <xf numFmtId="0" fontId="36" fillId="0" borderId="94" xfId="0" applyFont="1" applyBorder="1" applyAlignment="1">
      <alignment horizontal="center" vertical="center"/>
    </xf>
    <xf numFmtId="0" fontId="35" fillId="0" borderId="94" xfId="0" quotePrefix="1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177" fontId="35" fillId="0" borderId="94" xfId="0" quotePrefix="1" applyNumberFormat="1" applyFont="1" applyBorder="1" applyAlignment="1">
      <alignment horizontal="center" vertical="center"/>
    </xf>
    <xf numFmtId="0" fontId="36" fillId="0" borderId="94" xfId="0" quotePrefix="1" applyFont="1" applyBorder="1" applyAlignment="1">
      <alignment horizontal="center" vertical="center"/>
    </xf>
    <xf numFmtId="0" fontId="35" fillId="0" borderId="96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177" fontId="36" fillId="0" borderId="100" xfId="0" applyNumberFormat="1" applyFont="1" applyBorder="1" applyAlignment="1">
      <alignment horizontal="center" vertical="center"/>
    </xf>
    <xf numFmtId="177" fontId="16" fillId="0" borderId="100" xfId="0" applyNumberFormat="1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5" fillId="0" borderId="102" xfId="0" applyFont="1" applyBorder="1" applyAlignment="1">
      <alignment horizontal="center" vertical="center"/>
    </xf>
    <xf numFmtId="0" fontId="35" fillId="0" borderId="103" xfId="0" applyFont="1" applyBorder="1" applyAlignment="1">
      <alignment horizontal="center" vertical="center"/>
    </xf>
    <xf numFmtId="0" fontId="35" fillId="0" borderId="104" xfId="0" applyFont="1" applyBorder="1" applyAlignment="1">
      <alignment horizontal="center" vertical="center"/>
    </xf>
    <xf numFmtId="0" fontId="35" fillId="0" borderId="105" xfId="0" applyFont="1" applyBorder="1" applyAlignment="1">
      <alignment horizontal="center" vertical="center"/>
    </xf>
    <xf numFmtId="0" fontId="35" fillId="0" borderId="106" xfId="0" applyFont="1" applyBorder="1" applyAlignment="1">
      <alignment horizontal="center" vertical="center"/>
    </xf>
    <xf numFmtId="0" fontId="35" fillId="0" borderId="107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08" xfId="0" applyFont="1" applyBorder="1" applyAlignment="1">
      <alignment horizontal="center" vertical="center"/>
    </xf>
    <xf numFmtId="0" fontId="35" fillId="0" borderId="109" xfId="0" applyFont="1" applyBorder="1" applyAlignment="1">
      <alignment horizontal="center" vertical="center"/>
    </xf>
    <xf numFmtId="0" fontId="35" fillId="0" borderId="110" xfId="0" applyFont="1" applyBorder="1" applyAlignment="1">
      <alignment horizontal="center" vertical="center"/>
    </xf>
    <xf numFmtId="0" fontId="35" fillId="0" borderId="111" xfId="0" applyFont="1" applyBorder="1" applyAlignment="1">
      <alignment horizontal="center" vertical="center"/>
    </xf>
    <xf numFmtId="0" fontId="35" fillId="0" borderId="112" xfId="0" applyFont="1" applyBorder="1" applyAlignment="1">
      <alignment horizontal="center" vertical="center"/>
    </xf>
  </cellXfs>
  <cellStyles count="1">
    <cellStyle name="常规" xfId="0" builtinId="0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91">
        <v>1</v>
      </c>
      <c r="D6" s="91">
        <v>16.916229248046875</v>
      </c>
      <c r="E6" s="91">
        <v>419.7442932128906</v>
      </c>
      <c r="F6" s="91"/>
      <c r="G6" s="91"/>
      <c r="H6" s="92">
        <v>661.3204956054688</v>
      </c>
      <c r="I6" s="93">
        <v>0</v>
      </c>
      <c r="J6" s="91"/>
      <c r="K6" s="91">
        <v>18.41724967956543</v>
      </c>
      <c r="L6" s="91">
        <v>0.0010850690305233002</v>
      </c>
      <c r="M6" s="91">
        <v>10.915800094604492</v>
      </c>
      <c r="N6" s="91">
        <v>11.34982967376709</v>
      </c>
      <c r="O6" s="91">
        <v>4.3951849937438965</v>
      </c>
      <c r="P6" s="91"/>
      <c r="Q6" s="91">
        <v>4.6073081239802804E-20</v>
      </c>
      <c r="R6" s="91"/>
      <c r="S6" s="91">
        <v>10.648150444030762</v>
      </c>
      <c r="T6" s="91">
        <v>0.0300021693110466</v>
      </c>
      <c r="U6" s="91">
        <v>0</v>
      </c>
      <c r="V6" s="91"/>
      <c r="W6" s="91">
        <v>10.821760177612305</v>
      </c>
      <c r="X6" s="91">
        <v>9.569308981826306E-15</v>
      </c>
      <c r="Y6" s="91"/>
      <c r="Z6" s="91">
        <v>-0.004629630129784346</v>
      </c>
      <c r="AA6" s="91">
        <v>11.13280963897705</v>
      </c>
      <c r="AB6" s="91">
        <v>24.14640998840332</v>
      </c>
      <c r="AC6" s="91">
        <v>-0.006329571828246117</v>
      </c>
      <c r="AD6" s="91">
        <v>11.393230438232422</v>
      </c>
      <c r="AE6" s="94"/>
      <c r="AF6" s="94"/>
      <c r="AG6" s="94"/>
      <c r="AH6" s="94"/>
      <c r="AI6" s="94"/>
      <c r="AJ6" s="94"/>
      <c r="AK6" s="94"/>
      <c r="AL6" s="91">
        <v>0</v>
      </c>
      <c r="AM6" s="95"/>
      <c r="AN6" s="96">
        <v>51.1031494140625</v>
      </c>
      <c r="AO6" s="97"/>
      <c r="AP6" s="98"/>
      <c r="AQ6" s="98">
        <v>0</v>
      </c>
      <c r="AR6" s="99"/>
    </row>
    <row r="7" spans="2:47" ht="13.5" customHeight="1" x14ac:dyDescent="0.25">
      <c r="B7" s="14">
        <v>0.375</v>
      </c>
      <c r="C7" s="91">
        <v>1</v>
      </c>
      <c r="D7" s="91">
        <v>16.259769439697266</v>
      </c>
      <c r="E7" s="91">
        <v>419.6268005371094</v>
      </c>
      <c r="F7" s="91">
        <v>0</v>
      </c>
      <c r="G7" s="91">
        <v>0.10000000149011612</v>
      </c>
      <c r="H7" s="92">
        <v>671.6826171875</v>
      </c>
      <c r="I7" s="93">
        <v>0</v>
      </c>
      <c r="J7" s="91">
        <v>0</v>
      </c>
      <c r="K7" s="91">
        <v>16.999420166015625</v>
      </c>
      <c r="L7" s="91">
        <v>0.0009042245801538229</v>
      </c>
      <c r="M7" s="91">
        <v>11.246749877929688</v>
      </c>
      <c r="N7" s="91">
        <v>11.566840171813965</v>
      </c>
      <c r="O7" s="91">
        <v>4.30859899520874</v>
      </c>
      <c r="P7" s="91">
        <v>4.3603515625</v>
      </c>
      <c r="Q7" s="91">
        <v>1.3153239890491275E-13</v>
      </c>
      <c r="R7" s="91">
        <v>0</v>
      </c>
      <c r="S7" s="91">
        <v>10.923029899597168</v>
      </c>
      <c r="T7" s="91">
        <v>0.031014900654554367</v>
      </c>
      <c r="U7" s="91">
        <v>0</v>
      </c>
      <c r="V7" s="91">
        <v>0</v>
      </c>
      <c r="W7" s="91">
        <v>11.190679550170898</v>
      </c>
      <c r="X7" s="91">
        <v>9.569308981826306E-15</v>
      </c>
      <c r="Y7" s="91" t="s">
        <v>82</v>
      </c>
      <c r="Z7" s="91">
        <v>-0.004803241230547428</v>
      </c>
      <c r="AA7" s="91">
        <v>11.31365966796875</v>
      </c>
      <c r="AB7" s="91">
        <v>21.846059799194336</v>
      </c>
      <c r="AC7" s="91">
        <v>-0.006365741137415171</v>
      </c>
      <c r="AD7" s="91">
        <v>11.48727035522461</v>
      </c>
      <c r="AE7" s="94"/>
      <c r="AF7" s="94"/>
      <c r="AG7" s="94"/>
      <c r="AH7" s="94"/>
      <c r="AI7" s="94"/>
      <c r="AJ7" s="94"/>
      <c r="AK7" s="94"/>
      <c r="AL7" s="91">
        <v>0</v>
      </c>
      <c r="AM7" s="95">
        <v>0</v>
      </c>
      <c r="AN7" s="96">
        <v>51.09954071044922</v>
      </c>
      <c r="AO7" s="97"/>
      <c r="AP7" s="98"/>
      <c r="AQ7" s="98">
        <v>0</v>
      </c>
      <c r="AR7" s="99">
        <v>0</v>
      </c>
    </row>
    <row r="8" spans="2:47" ht="13.5" customHeight="1" x14ac:dyDescent="0.25">
      <c r="B8" s="14">
        <v>0.41666666666666669</v>
      </c>
      <c r="C8" s="91">
        <v>1</v>
      </c>
      <c r="D8" s="91">
        <v>16.238069534301758</v>
      </c>
      <c r="E8" s="91">
        <v>419.6465148925781</v>
      </c>
      <c r="F8" s="91">
        <v>0</v>
      </c>
      <c r="G8" s="91">
        <v>0.10000000149011612</v>
      </c>
      <c r="H8" s="92">
        <v>581.5524291992188</v>
      </c>
      <c r="I8" s="93">
        <v>0</v>
      </c>
      <c r="J8" s="91">
        <v>0</v>
      </c>
      <c r="K8" s="91">
        <v>15.849249839782715</v>
      </c>
      <c r="L8" s="91">
        <v>0.0007233797223307192</v>
      </c>
      <c r="M8" s="91">
        <v>11.360679626464844</v>
      </c>
      <c r="N8" s="91">
        <v>11.668109893798828</v>
      </c>
      <c r="O8" s="91">
        <v>4.282111167907715</v>
      </c>
      <c r="P8" s="91">
        <v>4.2900390625</v>
      </c>
      <c r="Q8" s="91">
        <v>0</v>
      </c>
      <c r="R8" s="91">
        <v>0</v>
      </c>
      <c r="S8" s="91">
        <v>11.031539916992188</v>
      </c>
      <c r="T8" s="91">
        <v>0.03215422108769417</v>
      </c>
      <c r="U8" s="91">
        <v>0</v>
      </c>
      <c r="V8" s="91">
        <v>0</v>
      </c>
      <c r="W8" s="91">
        <v>11.617480278015137</v>
      </c>
      <c r="X8" s="91">
        <v>9.569308981826306E-15</v>
      </c>
      <c r="Y8" s="91" t="s">
        <v>82</v>
      </c>
      <c r="Z8" s="91">
        <v>-0.004918981809169054</v>
      </c>
      <c r="AA8" s="91">
        <v>11.595780372619629</v>
      </c>
      <c r="AB8" s="91">
        <v>12.398730278015137</v>
      </c>
      <c r="AC8" s="91">
        <v>-0.006474248133599758</v>
      </c>
      <c r="AD8" s="91">
        <v>11.769390106201172</v>
      </c>
      <c r="AE8" s="94"/>
      <c r="AF8" s="94"/>
      <c r="AG8" s="94"/>
      <c r="AH8" s="94"/>
      <c r="AI8" s="94"/>
      <c r="AJ8" s="94"/>
      <c r="AK8" s="94"/>
      <c r="AL8" s="91">
        <v>0</v>
      </c>
      <c r="AM8" s="95">
        <v>0</v>
      </c>
      <c r="AN8" s="96">
        <v>51.09592056274414</v>
      </c>
      <c r="AO8" s="97"/>
      <c r="AP8" s="98"/>
      <c r="AQ8" s="98">
        <v>0</v>
      </c>
      <c r="AR8" s="99">
        <v>0</v>
      </c>
    </row>
    <row r="9" spans="2:47" ht="13.5" customHeight="1" x14ac:dyDescent="0.25">
      <c r="B9" s="14">
        <v>0.45833333333333298</v>
      </c>
      <c r="C9" s="91">
        <v>1</v>
      </c>
      <c r="D9" s="91">
        <v>16.178390502929688</v>
      </c>
      <c r="E9" s="91">
        <v>419.49578857421875</v>
      </c>
      <c r="F9" s="91">
        <v>0</v>
      </c>
      <c r="G9" s="91">
        <v>0.10001172125339508</v>
      </c>
      <c r="H9" s="92">
        <v>651.1395263671875</v>
      </c>
      <c r="I9" s="93">
        <v>0</v>
      </c>
      <c r="J9" s="91">
        <v>0</v>
      </c>
      <c r="K9" s="91">
        <v>15.024589538574219</v>
      </c>
      <c r="L9" s="91">
        <v>0.000632957206107676</v>
      </c>
      <c r="M9" s="91">
        <v>11.366100311279297</v>
      </c>
      <c r="N9" s="91">
        <v>11.856189727783203</v>
      </c>
      <c r="O9" s="91">
        <v>4.319486141204834</v>
      </c>
      <c r="P9" s="91">
        <v>4.2998046875</v>
      </c>
      <c r="Q9" s="91">
        <v>0.0003376711974851787</v>
      </c>
      <c r="R9" s="91">
        <v>0</v>
      </c>
      <c r="S9" s="91">
        <v>11.161749839782715</v>
      </c>
      <c r="T9" s="91">
        <v>0.03316695988178253</v>
      </c>
      <c r="U9" s="91">
        <v>0</v>
      </c>
      <c r="V9" s="91">
        <v>0</v>
      </c>
      <c r="W9" s="91">
        <v>12.138310432434082</v>
      </c>
      <c r="X9" s="91">
        <v>9.569308981826306E-15</v>
      </c>
      <c r="Y9" s="91" t="s">
        <v>82</v>
      </c>
      <c r="Z9" s="91">
        <v>-0.004976851865649223</v>
      </c>
      <c r="AA9" s="91">
        <v>11.856189727783203</v>
      </c>
      <c r="AB9" s="91">
        <v>12.680839538574219</v>
      </c>
      <c r="AC9" s="91">
        <v>-0.006510416977107525</v>
      </c>
      <c r="AD9" s="91">
        <v>12.09490966796875</v>
      </c>
      <c r="AE9" s="94"/>
      <c r="AF9" s="94"/>
      <c r="AG9" s="94"/>
      <c r="AH9" s="94"/>
      <c r="AI9" s="94"/>
      <c r="AJ9" s="94"/>
      <c r="AK9" s="94"/>
      <c r="AL9" s="91">
        <v>0</v>
      </c>
      <c r="AM9" s="95">
        <v>0</v>
      </c>
      <c r="AN9" s="96">
        <v>51.0850715637207</v>
      </c>
      <c r="AO9" s="97"/>
      <c r="AP9" s="98"/>
      <c r="AQ9" s="98">
        <v>0</v>
      </c>
      <c r="AR9" s="99">
        <v>0</v>
      </c>
    </row>
    <row r="10" spans="2:47" ht="13.5" customHeight="1" x14ac:dyDescent="0.25">
      <c r="B10" s="14">
        <v>0.5</v>
      </c>
      <c r="C10" s="91">
        <v>1</v>
      </c>
      <c r="D10" s="91">
        <v>16.0156307220459</v>
      </c>
      <c r="E10" s="91">
        <v>419.6589050292969</v>
      </c>
      <c r="F10" s="91">
        <v>0</v>
      </c>
      <c r="G10" s="91">
        <v>0.09998828172683716</v>
      </c>
      <c r="H10" s="92">
        <v>686.8972778320312</v>
      </c>
      <c r="I10" s="93">
        <v>0</v>
      </c>
      <c r="J10" s="91">
        <v>0</v>
      </c>
      <c r="K10" s="91">
        <v>14.308449745178223</v>
      </c>
      <c r="L10" s="91">
        <v>0.0007233797223307192</v>
      </c>
      <c r="M10" s="91">
        <v>12.15820026397705</v>
      </c>
      <c r="N10" s="91">
        <v>12.188949584960938</v>
      </c>
      <c r="O10" s="91">
        <v>4.44481086730957</v>
      </c>
      <c r="P10" s="91">
        <v>4.3603515625</v>
      </c>
      <c r="Q10" s="91">
        <v>2.696056924378354E-07</v>
      </c>
      <c r="R10" s="91">
        <v>0.0009765625</v>
      </c>
      <c r="S10" s="91">
        <v>11.52344036102295</v>
      </c>
      <c r="T10" s="91">
        <v>0.034686051309108734</v>
      </c>
      <c r="U10" s="91">
        <v>0</v>
      </c>
      <c r="V10" s="91">
        <v>0</v>
      </c>
      <c r="W10" s="91">
        <v>12.5</v>
      </c>
      <c r="X10" s="91">
        <v>9.569308981826306E-15</v>
      </c>
      <c r="Y10" s="91" t="s">
        <v>82</v>
      </c>
      <c r="Z10" s="91">
        <v>-0.005034721922129393</v>
      </c>
      <c r="AA10" s="91">
        <v>12.029800415039062</v>
      </c>
      <c r="AB10" s="91">
        <v>11.979169845581055</v>
      </c>
      <c r="AC10" s="91">
        <v>-0.006510416977107525</v>
      </c>
      <c r="AD10" s="91">
        <v>12.188949584960938</v>
      </c>
      <c r="AE10" s="94"/>
      <c r="AF10" s="94"/>
      <c r="AG10" s="94"/>
      <c r="AH10" s="94"/>
      <c r="AI10" s="94"/>
      <c r="AJ10" s="94"/>
      <c r="AK10" s="94"/>
      <c r="AL10" s="91">
        <v>0</v>
      </c>
      <c r="AM10" s="95">
        <v>0</v>
      </c>
      <c r="AN10" s="96">
        <v>51.081451416015625</v>
      </c>
      <c r="AO10" s="97"/>
      <c r="AP10" s="98"/>
      <c r="AQ10" s="98">
        <v>0</v>
      </c>
      <c r="AR10" s="99">
        <v>0</v>
      </c>
    </row>
    <row r="11" spans="2:47" ht="13.5" customHeight="1" x14ac:dyDescent="0.25">
      <c r="B11" s="14">
        <v>0.54166666666666696</v>
      </c>
      <c r="C11" s="91">
        <v>1</v>
      </c>
      <c r="D11" s="91">
        <v>16.167539596557617</v>
      </c>
      <c r="E11" s="91">
        <v>419.3664855957031</v>
      </c>
      <c r="F11" s="91">
        <v>0</v>
      </c>
      <c r="G11" s="91">
        <v>0.10001172125339508</v>
      </c>
      <c r="H11" s="92">
        <v>690.1110229492188</v>
      </c>
      <c r="I11" s="93">
        <v>0</v>
      </c>
      <c r="J11" s="91">
        <v>0</v>
      </c>
      <c r="K11" s="91">
        <v>14.228879928588867</v>
      </c>
      <c r="L11" s="91">
        <v>0.0008138021221384406</v>
      </c>
      <c r="M11" s="91">
        <v>13.557939529418945</v>
      </c>
      <c r="N11" s="91">
        <v>13.491029739379883</v>
      </c>
      <c r="O11" s="91">
        <v>4.440998077392578</v>
      </c>
      <c r="P11" s="91">
        <v>4.4296875</v>
      </c>
      <c r="Q11" s="91">
        <v>0</v>
      </c>
      <c r="R11" s="91">
        <v>0</v>
      </c>
      <c r="S11" s="91">
        <v>12.745949745178223</v>
      </c>
      <c r="T11" s="91">
        <v>0.0360785610973835</v>
      </c>
      <c r="U11" s="91">
        <v>0</v>
      </c>
      <c r="V11" s="91">
        <v>0</v>
      </c>
      <c r="W11" s="91">
        <v>13.462089538574219</v>
      </c>
      <c r="X11" s="91">
        <v>9.569308981826306E-15</v>
      </c>
      <c r="Y11" s="91" t="s">
        <v>82</v>
      </c>
      <c r="Z11" s="91">
        <v>-0.005034721922129393</v>
      </c>
      <c r="AA11" s="91">
        <v>12.622969627380371</v>
      </c>
      <c r="AB11" s="91">
        <v>12.738719940185547</v>
      </c>
      <c r="AC11" s="91">
        <v>-0.006582755129784346</v>
      </c>
      <c r="AD11" s="91">
        <v>12.326390266418457</v>
      </c>
      <c r="AE11" s="94"/>
      <c r="AF11" s="94"/>
      <c r="AG11" s="94"/>
      <c r="AH11" s="94"/>
      <c r="AI11" s="94"/>
      <c r="AJ11" s="94"/>
      <c r="AK11" s="94"/>
      <c r="AL11" s="91">
        <v>0</v>
      </c>
      <c r="AM11" s="95">
        <v>0</v>
      </c>
      <c r="AN11" s="96">
        <v>51.056129455566406</v>
      </c>
      <c r="AO11" s="97"/>
      <c r="AP11" s="98"/>
      <c r="AQ11" s="98">
        <v>0</v>
      </c>
      <c r="AR11" s="99">
        <v>0</v>
      </c>
    </row>
    <row r="12" spans="2:47" ht="13.5" customHeight="1" x14ac:dyDescent="0.25">
      <c r="B12" s="14">
        <v>0.58333333333333304</v>
      </c>
      <c r="C12" s="91">
        <v>1</v>
      </c>
      <c r="D12" s="91">
        <v>16.113279342651367</v>
      </c>
      <c r="E12" s="91">
        <v>418.91259765625</v>
      </c>
      <c r="F12" s="91">
        <v>0</v>
      </c>
      <c r="G12" s="91">
        <v>0.10000000149011612</v>
      </c>
      <c r="H12" s="92">
        <v>659.7274780273438</v>
      </c>
      <c r="I12" s="93">
        <v>0</v>
      </c>
      <c r="J12" s="91">
        <v>0</v>
      </c>
      <c r="K12" s="91">
        <v>14.518230438232422</v>
      </c>
      <c r="L12" s="91">
        <v>0.0009042245801538229</v>
      </c>
      <c r="M12" s="91">
        <v>13.88346004486084</v>
      </c>
      <c r="N12" s="91">
        <v>14.36631965637207</v>
      </c>
      <c r="O12" s="91">
        <v>4.450669765472412</v>
      </c>
      <c r="P12" s="91">
        <v>4.4501953125</v>
      </c>
      <c r="Q12" s="91">
        <v>0</v>
      </c>
      <c r="R12" s="91">
        <v>0</v>
      </c>
      <c r="S12" s="91">
        <v>13.519969940185547</v>
      </c>
      <c r="T12" s="91">
        <v>0.03772424906492233</v>
      </c>
      <c r="U12" s="91">
        <v>0</v>
      </c>
      <c r="V12" s="91">
        <v>0</v>
      </c>
      <c r="W12" s="91">
        <v>14.011859893798828</v>
      </c>
      <c r="X12" s="91">
        <v>9.569308981826306E-15</v>
      </c>
      <c r="Y12" s="91" t="s">
        <v>82</v>
      </c>
      <c r="Z12" s="91">
        <v>-0.0050925929099321365</v>
      </c>
      <c r="AA12" s="91">
        <v>13.223380088806152</v>
      </c>
      <c r="AB12" s="91">
        <v>13.143810272216797</v>
      </c>
      <c r="AC12" s="91">
        <v>-0.006510416977107525</v>
      </c>
      <c r="AD12" s="91">
        <v>12.717009544372559</v>
      </c>
      <c r="AE12" s="94"/>
      <c r="AF12" s="94"/>
      <c r="AG12" s="94"/>
      <c r="AH12" s="94"/>
      <c r="AI12" s="94"/>
      <c r="AJ12" s="94"/>
      <c r="AK12" s="94"/>
      <c r="AL12" s="91">
        <v>0</v>
      </c>
      <c r="AM12" s="95">
        <v>0</v>
      </c>
      <c r="AN12" s="96">
        <v>51.01996994018555</v>
      </c>
      <c r="AO12" s="97"/>
      <c r="AP12" s="98"/>
      <c r="AQ12" s="98">
        <v>0</v>
      </c>
      <c r="AR12" s="99">
        <v>0</v>
      </c>
    </row>
    <row r="13" spans="2:47" ht="13.5" customHeight="1" x14ac:dyDescent="0.25">
      <c r="B13" s="14">
        <v>0.625</v>
      </c>
      <c r="C13" s="91">
        <v>1</v>
      </c>
      <c r="D13" s="91">
        <v>16.238069534301758</v>
      </c>
      <c r="E13" s="91">
        <v>418.7380065917969</v>
      </c>
      <c r="F13" s="91">
        <v>0</v>
      </c>
      <c r="G13" s="91">
        <v>0.10000000149011612</v>
      </c>
      <c r="H13" s="92">
        <v>677.0277709960938</v>
      </c>
      <c r="I13" s="93">
        <v>0</v>
      </c>
      <c r="J13" s="91">
        <v>0</v>
      </c>
      <c r="K13" s="91">
        <v>14.822050094604492</v>
      </c>
      <c r="L13" s="91">
        <v>0.0009042245801538229</v>
      </c>
      <c r="M13" s="91">
        <v>14.328339576721191</v>
      </c>
      <c r="N13" s="91">
        <v>14.87992000579834</v>
      </c>
      <c r="O13" s="91">
        <v>4.467333793640137</v>
      </c>
      <c r="P13" s="91">
        <v>4.4697265625</v>
      </c>
      <c r="Q13" s="91">
        <v>0</v>
      </c>
      <c r="R13" s="91">
        <v>0.0009765625</v>
      </c>
      <c r="S13" s="91">
        <v>13.975689888000488</v>
      </c>
      <c r="T13" s="91">
        <v>0.03899015858769417</v>
      </c>
      <c r="U13" s="91">
        <v>0</v>
      </c>
      <c r="V13" s="91">
        <v>0</v>
      </c>
      <c r="W13" s="91">
        <v>14.561630249023438</v>
      </c>
      <c r="X13" s="91">
        <v>9.569308981826306E-15</v>
      </c>
      <c r="Y13" s="91" t="s">
        <v>82</v>
      </c>
      <c r="Z13" s="91">
        <v>-0.005034721922129393</v>
      </c>
      <c r="AA13" s="91">
        <v>13.809320449829102</v>
      </c>
      <c r="AB13" s="91">
        <v>13.418689727783203</v>
      </c>
      <c r="AC13" s="91">
        <v>-0.006510416977107525</v>
      </c>
      <c r="AD13" s="91">
        <v>13.107640266418457</v>
      </c>
      <c r="AE13" s="94"/>
      <c r="AF13" s="94"/>
      <c r="AG13" s="94"/>
      <c r="AH13" s="94"/>
      <c r="AI13" s="94"/>
      <c r="AJ13" s="94"/>
      <c r="AK13" s="94"/>
      <c r="AL13" s="91">
        <v>0</v>
      </c>
      <c r="AM13" s="95">
        <v>0</v>
      </c>
      <c r="AN13" s="96">
        <v>50.994651794433594</v>
      </c>
      <c r="AO13" s="97"/>
      <c r="AP13" s="98"/>
      <c r="AQ13" s="98">
        <v>0</v>
      </c>
      <c r="AR13" s="99">
        <v>0</v>
      </c>
    </row>
    <row r="14" spans="2:47" ht="13.5" customHeight="1" x14ac:dyDescent="0.25">
      <c r="B14" s="14">
        <v>0.66666666666666696</v>
      </c>
      <c r="C14" s="91">
        <v>1</v>
      </c>
      <c r="D14" s="91">
        <v>16.54730987548828</v>
      </c>
      <c r="E14" s="91">
        <v>418.519287109375</v>
      </c>
      <c r="F14" s="91">
        <v>0</v>
      </c>
      <c r="G14" s="91">
        <v>0.10002734512090683</v>
      </c>
      <c r="H14" s="92">
        <v>665.8018798828125</v>
      </c>
      <c r="I14" s="93">
        <v>0</v>
      </c>
      <c r="J14" s="91">
        <v>0</v>
      </c>
      <c r="K14" s="91">
        <v>15.28501033782959</v>
      </c>
      <c r="L14" s="91">
        <v>0.0009946470381692052</v>
      </c>
      <c r="M14" s="91">
        <v>15.483940124511719</v>
      </c>
      <c r="N14" s="91">
        <v>16.26156997680664</v>
      </c>
      <c r="O14" s="91">
        <v>4.495669841766357</v>
      </c>
      <c r="P14" s="91">
        <v>4.48046875</v>
      </c>
      <c r="Q14" s="91">
        <v>2.6962910855535836E-33</v>
      </c>
      <c r="R14" s="91">
        <v>0</v>
      </c>
      <c r="S14" s="91">
        <v>15.364580154418945</v>
      </c>
      <c r="T14" s="91">
        <v>0.040509261190891266</v>
      </c>
      <c r="U14" s="91">
        <v>0</v>
      </c>
      <c r="V14" s="91">
        <v>0</v>
      </c>
      <c r="W14" s="91">
        <v>15.907119750976562</v>
      </c>
      <c r="X14" s="91">
        <v>9.569308981826306E-15</v>
      </c>
      <c r="Y14" s="91" t="s">
        <v>82</v>
      </c>
      <c r="Z14" s="91">
        <v>-0.0050925929099321365</v>
      </c>
      <c r="AA14" s="91">
        <v>14.713540077209473</v>
      </c>
      <c r="AB14" s="91">
        <v>14.322919845581055</v>
      </c>
      <c r="AC14" s="91">
        <v>-0.006474248133599758</v>
      </c>
      <c r="AD14" s="91">
        <v>13.65740966796875</v>
      </c>
      <c r="AE14" s="94"/>
      <c r="AF14" s="94"/>
      <c r="AG14" s="94"/>
      <c r="AH14" s="94"/>
      <c r="AI14" s="94"/>
      <c r="AJ14" s="94"/>
      <c r="AK14" s="94"/>
      <c r="AL14" s="91">
        <v>0</v>
      </c>
      <c r="AM14" s="95">
        <v>0</v>
      </c>
      <c r="AN14" s="96">
        <v>51.052520751953125</v>
      </c>
      <c r="AO14" s="97"/>
      <c r="AP14" s="98"/>
      <c r="AQ14" s="98">
        <v>0</v>
      </c>
      <c r="AR14" s="99">
        <v>0</v>
      </c>
    </row>
    <row r="15" spans="2:47" ht="13.5" customHeight="1" x14ac:dyDescent="0.25">
      <c r="B15" s="14">
        <v>0.70833333333333304</v>
      </c>
      <c r="C15" s="91">
        <v>1</v>
      </c>
      <c r="D15" s="91">
        <v>16.460500717163086</v>
      </c>
      <c r="E15" s="91">
        <v>418.5397033691406</v>
      </c>
      <c r="F15" s="91">
        <v>0</v>
      </c>
      <c r="G15" s="91">
        <v>0.10000000149011612</v>
      </c>
      <c r="H15" s="92">
        <v>640.8088989257812</v>
      </c>
      <c r="I15" s="93">
        <v>0</v>
      </c>
      <c r="J15" s="91">
        <v>0</v>
      </c>
      <c r="K15" s="91">
        <v>15.69734001159668</v>
      </c>
      <c r="L15" s="91">
        <v>0.0010850690305233002</v>
      </c>
      <c r="M15" s="91">
        <v>15.044489860534668</v>
      </c>
      <c r="N15" s="91">
        <v>16.1530704498291</v>
      </c>
      <c r="O15" s="91">
        <v>4.365530014038086</v>
      </c>
      <c r="P15" s="91">
        <v>4.439453125</v>
      </c>
      <c r="Q15" s="91">
        <v>0</v>
      </c>
      <c r="R15" s="91">
        <v>0.002197265625</v>
      </c>
      <c r="S15" s="91">
        <v>15.18373966217041</v>
      </c>
      <c r="T15" s="91">
        <v>0.041268810629844666</v>
      </c>
      <c r="U15" s="91">
        <v>0</v>
      </c>
      <c r="V15" s="91">
        <v>0</v>
      </c>
      <c r="W15" s="91">
        <v>15.58882999420166</v>
      </c>
      <c r="X15" s="91">
        <v>9.569308981826306E-15</v>
      </c>
      <c r="Y15" s="91" t="s">
        <v>82</v>
      </c>
      <c r="Z15" s="91">
        <v>-0.004976851865649223</v>
      </c>
      <c r="AA15" s="91">
        <v>14.894390106201172</v>
      </c>
      <c r="AB15" s="91">
        <v>14.47482967376709</v>
      </c>
      <c r="AC15" s="91">
        <v>-0.006510416977107525</v>
      </c>
      <c r="AD15" s="91">
        <v>14.178239822387695</v>
      </c>
      <c r="AE15" s="94"/>
      <c r="AF15" s="94"/>
      <c r="AG15" s="94"/>
      <c r="AH15" s="94"/>
      <c r="AI15" s="94"/>
      <c r="AJ15" s="94"/>
      <c r="AK15" s="94"/>
      <c r="AL15" s="91">
        <v>0</v>
      </c>
      <c r="AM15" s="95">
        <v>0</v>
      </c>
      <c r="AN15" s="96">
        <v>51.01634979248047</v>
      </c>
      <c r="AO15" s="97"/>
      <c r="AP15" s="98"/>
      <c r="AQ15" s="98">
        <v>0</v>
      </c>
      <c r="AR15" s="99">
        <v>0</v>
      </c>
    </row>
    <row r="16" spans="2:47" ht="13.5" customHeight="1" x14ac:dyDescent="0.25">
      <c r="B16" s="14">
        <v>0.75</v>
      </c>
      <c r="C16" s="91">
        <v>1</v>
      </c>
      <c r="D16" s="91">
        <v>16.520179748535156</v>
      </c>
      <c r="E16" s="91">
        <v>418.40478515625</v>
      </c>
      <c r="F16" s="91">
        <v>0</v>
      </c>
      <c r="G16" s="91">
        <v>0.10000000149011612</v>
      </c>
      <c r="H16" s="92">
        <v>638.3807983398438</v>
      </c>
      <c r="I16" s="93">
        <v>0</v>
      </c>
      <c r="J16" s="91">
        <v>0</v>
      </c>
      <c r="K16" s="91">
        <v>15.849249839782715</v>
      </c>
      <c r="L16" s="91">
        <v>0.0009946470381692052</v>
      </c>
      <c r="M16" s="91">
        <v>14.626740455627441</v>
      </c>
      <c r="N16" s="91">
        <v>15.66117000579834</v>
      </c>
      <c r="O16" s="91">
        <v>4.35720682144165</v>
      </c>
      <c r="P16" s="91">
        <v>4.390625</v>
      </c>
      <c r="Q16" s="91">
        <v>6.3557817862880395E-12</v>
      </c>
      <c r="R16" s="91">
        <v>0</v>
      </c>
      <c r="S16" s="91">
        <v>14.728010177612305</v>
      </c>
      <c r="T16" s="91">
        <v>0.0421549491584301</v>
      </c>
      <c r="U16" s="91">
        <v>0</v>
      </c>
      <c r="V16" s="91">
        <v>0</v>
      </c>
      <c r="W16" s="91">
        <v>15.067999839782715</v>
      </c>
      <c r="X16" s="91">
        <v>9.569308981826306E-15</v>
      </c>
      <c r="Y16" s="91" t="s">
        <v>82</v>
      </c>
      <c r="Z16" s="91">
        <v>-0.004918981809169054</v>
      </c>
      <c r="AA16" s="91">
        <v>14.728010177612305</v>
      </c>
      <c r="AB16" s="91">
        <v>14.301219940185547</v>
      </c>
      <c r="AC16" s="91">
        <v>-0.006510416977107525</v>
      </c>
      <c r="AD16" s="91">
        <v>14.40248966217041</v>
      </c>
      <c r="AE16" s="94"/>
      <c r="AF16" s="94"/>
      <c r="AG16" s="94"/>
      <c r="AH16" s="94"/>
      <c r="AI16" s="94"/>
      <c r="AJ16" s="94"/>
      <c r="AK16" s="94"/>
      <c r="AL16" s="91">
        <v>0</v>
      </c>
      <c r="AM16" s="95">
        <v>0</v>
      </c>
      <c r="AN16" s="96">
        <v>51.01634979248047</v>
      </c>
      <c r="AO16" s="97"/>
      <c r="AP16" s="98"/>
      <c r="AQ16" s="98">
        <v>0</v>
      </c>
      <c r="AR16" s="99">
        <v>0</v>
      </c>
    </row>
    <row r="17" spans="2:44" ht="13.5" customHeight="1" x14ac:dyDescent="0.25">
      <c r="B17" s="14">
        <v>0.79166666666666696</v>
      </c>
      <c r="C17" s="91">
        <v>1</v>
      </c>
      <c r="D17" s="91">
        <v>16.444229125976562</v>
      </c>
      <c r="E17" s="91">
        <v>418.6720886230469</v>
      </c>
      <c r="F17" s="91">
        <v>0</v>
      </c>
      <c r="G17" s="91">
        <v>0.10000000149011612</v>
      </c>
      <c r="H17" s="92">
        <v>661.5927124023438</v>
      </c>
      <c r="I17" s="93">
        <v>0</v>
      </c>
      <c r="J17" s="91">
        <v>0</v>
      </c>
      <c r="K17" s="91">
        <v>15.798609733581543</v>
      </c>
      <c r="L17" s="91">
        <v>0.0009042245801538229</v>
      </c>
      <c r="M17" s="91">
        <v>14.127599716186523</v>
      </c>
      <c r="N17" s="91">
        <v>15.104169845581055</v>
      </c>
      <c r="O17" s="91">
        <v>4.247343063354492</v>
      </c>
      <c r="P17" s="91">
        <v>4.33984375</v>
      </c>
      <c r="Q17" s="91">
        <v>2.7243170333161355E-37</v>
      </c>
      <c r="R17" s="91">
        <v>0</v>
      </c>
      <c r="S17" s="91">
        <v>14.113140106201172</v>
      </c>
      <c r="T17" s="91">
        <v>0.042661309242248535</v>
      </c>
      <c r="U17" s="91">
        <v>0</v>
      </c>
      <c r="V17" s="91">
        <v>0</v>
      </c>
      <c r="W17" s="91">
        <v>14.57610034942627</v>
      </c>
      <c r="X17" s="91">
        <v>9.569308981826306E-15</v>
      </c>
      <c r="Y17" s="91" t="s">
        <v>82</v>
      </c>
      <c r="Z17" s="91">
        <v>-0.004918981809169054</v>
      </c>
      <c r="AA17" s="91">
        <v>14.43865966796875</v>
      </c>
      <c r="AB17" s="91">
        <v>13.99015998840332</v>
      </c>
      <c r="AC17" s="91">
        <v>-0.006510416977107525</v>
      </c>
      <c r="AD17" s="91">
        <v>14.409720420837402</v>
      </c>
      <c r="AE17" s="94"/>
      <c r="AF17" s="94"/>
      <c r="AG17" s="94"/>
      <c r="AH17" s="94"/>
      <c r="AI17" s="94"/>
      <c r="AJ17" s="94"/>
      <c r="AK17" s="94"/>
      <c r="AL17" s="91">
        <v>0</v>
      </c>
      <c r="AM17" s="95">
        <v>0</v>
      </c>
      <c r="AN17" s="96">
        <v>51.01996994018555</v>
      </c>
      <c r="AO17" s="97"/>
      <c r="AP17" s="98"/>
      <c r="AQ17" s="98">
        <v>0</v>
      </c>
      <c r="AR17" s="99">
        <v>0</v>
      </c>
    </row>
    <row r="18" spans="2:44" ht="13.5" customHeight="1" x14ac:dyDescent="0.25">
      <c r="B18" s="42">
        <v>0.83333333333333404</v>
      </c>
      <c r="C18" s="100">
        <v>1</v>
      </c>
      <c r="D18" s="100">
        <v>16.379119873046875</v>
      </c>
      <c r="E18" s="100">
        <v>418.75439453125</v>
      </c>
      <c r="F18" s="100">
        <v>0</v>
      </c>
      <c r="G18" s="100">
        <v>0.10000000149011612</v>
      </c>
      <c r="H18" s="101">
        <v>643.8499755859375</v>
      </c>
      <c r="I18" s="102">
        <v>0</v>
      </c>
      <c r="J18" s="100">
        <v>0</v>
      </c>
      <c r="K18" s="100">
        <v>15.603300094604492</v>
      </c>
      <c r="L18" s="100">
        <v>0.0009946470381692052</v>
      </c>
      <c r="M18" s="100">
        <v>13.82921028137207</v>
      </c>
      <c r="N18" s="100">
        <v>14.633970260620117</v>
      </c>
      <c r="O18" s="100">
        <v>4.23826789855957</v>
      </c>
      <c r="P18" s="100">
        <v>4.279296875</v>
      </c>
      <c r="Q18" s="100">
        <v>1.8354899690171623E-26</v>
      </c>
      <c r="R18" s="100">
        <v>0</v>
      </c>
      <c r="S18" s="100">
        <v>13.744210243225098</v>
      </c>
      <c r="T18" s="100">
        <v>0.043420858681201935</v>
      </c>
      <c r="U18" s="100">
        <v>0</v>
      </c>
      <c r="V18" s="100">
        <v>0</v>
      </c>
      <c r="W18" s="100">
        <v>14.178239822387695</v>
      </c>
      <c r="X18" s="100">
        <v>9.569308981826306E-15</v>
      </c>
      <c r="Y18" s="100">
        <v>0.5468335151672363</v>
      </c>
      <c r="Z18" s="100">
        <v>-0.004976851865649223</v>
      </c>
      <c r="AA18" s="100">
        <v>14.142069816589355</v>
      </c>
      <c r="AB18" s="100">
        <v>13.874420166015625</v>
      </c>
      <c r="AC18" s="100">
        <v>-0.006474248133599758</v>
      </c>
      <c r="AD18" s="100">
        <v>14.272279739379883</v>
      </c>
      <c r="AE18" s="103"/>
      <c r="AF18" s="103"/>
      <c r="AG18" s="103"/>
      <c r="AH18" s="103"/>
      <c r="AI18" s="103"/>
      <c r="AJ18" s="103"/>
      <c r="AK18" s="103"/>
      <c r="AL18" s="100">
        <v>0</v>
      </c>
      <c r="AM18" s="104">
        <v>0</v>
      </c>
      <c r="AN18" s="105">
        <v>51.01634979248047</v>
      </c>
      <c r="AO18" s="97"/>
      <c r="AP18" s="98"/>
      <c r="AQ18" s="98">
        <v>0</v>
      </c>
      <c r="AR18" s="106">
        <v>0</v>
      </c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91">
        <v>-0.896995484828949</v>
      </c>
      <c r="D22" s="91">
        <v>-0.1808471977710724</v>
      </c>
      <c r="E22" s="91">
        <v>0.11935760080814362</v>
      </c>
      <c r="F22" s="91">
        <v>0</v>
      </c>
      <c r="G22" s="91"/>
      <c r="H22" s="91"/>
      <c r="I22" s="91"/>
      <c r="J22" s="91"/>
      <c r="K22" s="91"/>
      <c r="L22" s="92"/>
      <c r="M22" s="107">
        <v>70</v>
      </c>
      <c r="N22" s="91">
        <v>22.312639236450195</v>
      </c>
      <c r="O22" s="91">
        <v>0</v>
      </c>
      <c r="P22" s="91">
        <v>0</v>
      </c>
      <c r="Q22" s="91">
        <v>3</v>
      </c>
      <c r="R22" s="91">
        <v>16.051790237426758</v>
      </c>
      <c r="S22" s="108">
        <v>93.6306381225586</v>
      </c>
      <c r="T22" s="108">
        <v>30.5</v>
      </c>
      <c r="U22" s="108">
        <v>0</v>
      </c>
      <c r="V22" s="108">
        <v>9.147135734558105</v>
      </c>
      <c r="W22" s="108">
        <v>54.730899810791016</v>
      </c>
      <c r="X22" s="108">
        <v>34</v>
      </c>
      <c r="Y22" s="108">
        <v>63.06966018676758</v>
      </c>
      <c r="Z22" s="108">
        <v>14.067930221557617</v>
      </c>
      <c r="AA22" s="108">
        <v>15.462240219116211</v>
      </c>
      <c r="AB22" s="108"/>
      <c r="AC22" s="95"/>
      <c r="AD22" s="95">
        <v>1.5481230020523071</v>
      </c>
      <c r="AE22" s="95"/>
      <c r="AF22" s="95"/>
      <c r="AG22" s="95">
        <v>20.102720260620117</v>
      </c>
      <c r="AH22" s="95"/>
      <c r="AI22" s="109"/>
      <c r="AJ22" s="109"/>
      <c r="AK22" s="109"/>
      <c r="AL22" s="109"/>
      <c r="AM22" s="109"/>
      <c r="AN22" s="95">
        <v>49.790218353271484</v>
      </c>
      <c r="AO22" s="96">
        <v>55</v>
      </c>
      <c r="AP22" s="97">
        <v>13.762299537658691</v>
      </c>
      <c r="AQ22" s="98">
        <v>39.54716110229492</v>
      </c>
      <c r="AR22" s="99">
        <v>0.0217056293040514</v>
      </c>
    </row>
    <row r="23" spans="2:44" ht="13.5" customHeight="1" x14ac:dyDescent="0.25">
      <c r="B23" s="14">
        <v>0.375</v>
      </c>
      <c r="C23" s="91">
        <v>-0.7667847275733948</v>
      </c>
      <c r="D23" s="91">
        <v>-0.1953125</v>
      </c>
      <c r="E23" s="91">
        <v>0</v>
      </c>
      <c r="F23" s="91">
        <v>0</v>
      </c>
      <c r="G23" s="91">
        <v>7.629394360719743E-08</v>
      </c>
      <c r="H23" s="91"/>
      <c r="I23" s="91"/>
      <c r="J23" s="91"/>
      <c r="K23" s="91"/>
      <c r="L23" s="92"/>
      <c r="M23" s="107">
        <v>70</v>
      </c>
      <c r="N23" s="91">
        <v>21.9437198638916</v>
      </c>
      <c r="O23" s="91">
        <v>0</v>
      </c>
      <c r="P23" s="91">
        <v>0</v>
      </c>
      <c r="Q23" s="91">
        <v>3</v>
      </c>
      <c r="R23" s="91">
        <v>16.485820770263672</v>
      </c>
      <c r="S23" s="108">
        <v>89.63397216796875</v>
      </c>
      <c r="T23" s="108">
        <v>30.5</v>
      </c>
      <c r="U23" s="108">
        <v>0.4148581922054291</v>
      </c>
      <c r="V23" s="108">
        <v>11.669919967651367</v>
      </c>
      <c r="W23" s="108">
        <v>70.57292175292969</v>
      </c>
      <c r="X23" s="108">
        <v>34</v>
      </c>
      <c r="Y23" s="108">
        <v>45.17470169067383</v>
      </c>
      <c r="Z23" s="108">
        <v>15.163849830627441</v>
      </c>
      <c r="AA23" s="108">
        <v>16.053600311279297</v>
      </c>
      <c r="AB23" s="108"/>
      <c r="AC23" s="95"/>
      <c r="AD23" s="95">
        <v>1.5480690002441406</v>
      </c>
      <c r="AE23" s="95">
        <v>0.0005942993448115885</v>
      </c>
      <c r="AF23" s="95"/>
      <c r="AG23" s="95">
        <v>14.373550415039062</v>
      </c>
      <c r="AH23" s="95"/>
      <c r="AI23" s="109"/>
      <c r="AJ23" s="109"/>
      <c r="AK23" s="109"/>
      <c r="AL23" s="109"/>
      <c r="AM23" s="109"/>
      <c r="AN23" s="95">
        <v>50.05064010620117</v>
      </c>
      <c r="AO23" s="96">
        <v>55</v>
      </c>
      <c r="AP23" s="97">
        <v>13.626660346984863</v>
      </c>
      <c r="AQ23" s="98">
        <v>39.507381439208984</v>
      </c>
      <c r="AR23" s="99">
        <v>7.629395440744702E-06</v>
      </c>
    </row>
    <row r="24" spans="2:44" ht="13.5" customHeight="1" x14ac:dyDescent="0.25">
      <c r="B24" s="14">
        <v>0.41666666666666702</v>
      </c>
      <c r="C24" s="91">
        <v>-0.6944426894187927</v>
      </c>
      <c r="D24" s="91">
        <v>-0.20978550612926483</v>
      </c>
      <c r="E24" s="91">
        <v>0.8355035185813904</v>
      </c>
      <c r="F24" s="91">
        <v>0</v>
      </c>
      <c r="G24" s="91">
        <v>5.340576336720915E-08</v>
      </c>
      <c r="H24" s="91"/>
      <c r="I24" s="91"/>
      <c r="J24" s="91"/>
      <c r="K24" s="91"/>
      <c r="L24" s="92"/>
      <c r="M24" s="107">
        <v>70</v>
      </c>
      <c r="N24" s="91">
        <v>21.929250717163086</v>
      </c>
      <c r="O24" s="91">
        <v>0</v>
      </c>
      <c r="P24" s="91">
        <v>0</v>
      </c>
      <c r="Q24" s="91">
        <v>3</v>
      </c>
      <c r="R24" s="91">
        <v>16.825809478759766</v>
      </c>
      <c r="S24" s="108">
        <v>69.6759262084961</v>
      </c>
      <c r="T24" s="108">
        <v>30.5</v>
      </c>
      <c r="U24" s="108">
        <v>0.4148581922054291</v>
      </c>
      <c r="V24" s="108">
        <v>11.588540077209473</v>
      </c>
      <c r="W24" s="108">
        <v>79.3185806274414</v>
      </c>
      <c r="X24" s="108">
        <v>34</v>
      </c>
      <c r="Y24" s="108">
        <v>49.569950103759766</v>
      </c>
      <c r="Z24" s="108">
        <v>15.29043960571289</v>
      </c>
      <c r="AA24" s="108">
        <v>60.76388931274414</v>
      </c>
      <c r="AB24" s="108"/>
      <c r="AC24" s="95"/>
      <c r="AD24" s="95">
        <v>0</v>
      </c>
      <c r="AE24" s="95">
        <v>0.0005087890895083547</v>
      </c>
      <c r="AF24" s="95"/>
      <c r="AG24" s="95">
        <v>23.799190521240234</v>
      </c>
      <c r="AH24" s="95"/>
      <c r="AI24" s="109"/>
      <c r="AJ24" s="109"/>
      <c r="AK24" s="109"/>
      <c r="AL24" s="109"/>
      <c r="AM24" s="109"/>
      <c r="AN24" s="95">
        <v>49.37065887451172</v>
      </c>
      <c r="AO24" s="96">
        <v>55</v>
      </c>
      <c r="AP24" s="97">
        <v>13.382519721984863</v>
      </c>
      <c r="AQ24" s="98">
        <v>39.56163024902344</v>
      </c>
      <c r="AR24" s="99">
        <v>-0.02169799990952015</v>
      </c>
    </row>
    <row r="25" spans="2:44" ht="13.5" customHeight="1" x14ac:dyDescent="0.25">
      <c r="B25" s="14">
        <v>0.45833333333333298</v>
      </c>
      <c r="C25" s="91">
        <v>-0.6510468125343323</v>
      </c>
      <c r="D25" s="91">
        <v>-0.2025451958179474</v>
      </c>
      <c r="E25" s="91">
        <v>1.3274019956588745</v>
      </c>
      <c r="F25" s="91">
        <v>0</v>
      </c>
      <c r="G25" s="91">
        <v>3.814697180359872E-08</v>
      </c>
      <c r="H25" s="91"/>
      <c r="I25" s="91"/>
      <c r="J25" s="91"/>
      <c r="K25" s="91"/>
      <c r="L25" s="92"/>
      <c r="M25" s="107">
        <v>70</v>
      </c>
      <c r="N25" s="91">
        <v>22.102859497070312</v>
      </c>
      <c r="O25" s="91">
        <v>0</v>
      </c>
      <c r="P25" s="91">
        <v>0</v>
      </c>
      <c r="Q25" s="91">
        <v>3</v>
      </c>
      <c r="R25" s="91">
        <v>16.948780059814453</v>
      </c>
      <c r="S25" s="108">
        <v>69.54572296142578</v>
      </c>
      <c r="T25" s="108">
        <v>30.5</v>
      </c>
      <c r="U25" s="108">
        <v>0.4148581922054291</v>
      </c>
      <c r="V25" s="108">
        <v>52.837459564208984</v>
      </c>
      <c r="W25" s="108">
        <v>53.933380126953125</v>
      </c>
      <c r="X25" s="108">
        <v>34</v>
      </c>
      <c r="Y25" s="108">
        <v>49.569950103759766</v>
      </c>
      <c r="Z25" s="108">
        <v>15.420639991760254</v>
      </c>
      <c r="AA25" s="108">
        <v>47.7159309387207</v>
      </c>
      <c r="AB25" s="108"/>
      <c r="AC25" s="95"/>
      <c r="AD25" s="95">
        <v>0</v>
      </c>
      <c r="AE25" s="95">
        <v>0</v>
      </c>
      <c r="AF25" s="95"/>
      <c r="AG25" s="95">
        <v>25.13382911682129</v>
      </c>
      <c r="AH25" s="95"/>
      <c r="AI25" s="109"/>
      <c r="AJ25" s="109"/>
      <c r="AK25" s="109"/>
      <c r="AL25" s="109"/>
      <c r="AM25" s="109"/>
      <c r="AN25" s="95">
        <v>47.94559860229492</v>
      </c>
      <c r="AO25" s="96">
        <v>55</v>
      </c>
      <c r="AP25" s="97">
        <v>13.093170166015625</v>
      </c>
      <c r="AQ25" s="98">
        <v>39.655670166015625</v>
      </c>
      <c r="AR25" s="99">
        <v>-0.0325470007956028</v>
      </c>
    </row>
    <row r="26" spans="2:44" ht="13.5" customHeight="1" x14ac:dyDescent="0.25">
      <c r="B26" s="14">
        <v>0.5</v>
      </c>
      <c r="C26" s="91">
        <v>-0.6365737915039062</v>
      </c>
      <c r="D26" s="91">
        <v>-0.21701809763908386</v>
      </c>
      <c r="E26" s="91">
        <v>1.5046299695968628</v>
      </c>
      <c r="F26" s="91">
        <v>0</v>
      </c>
      <c r="G26" s="91">
        <v>3.051757957450718E-08</v>
      </c>
      <c r="H26" s="91"/>
      <c r="I26" s="91"/>
      <c r="J26" s="91"/>
      <c r="K26" s="91"/>
      <c r="L26" s="92"/>
      <c r="M26" s="107">
        <v>70</v>
      </c>
      <c r="N26" s="91">
        <v>21.922019958496094</v>
      </c>
      <c r="O26" s="91">
        <v>0</v>
      </c>
      <c r="P26" s="91">
        <v>0</v>
      </c>
      <c r="Q26" s="91">
        <v>3</v>
      </c>
      <c r="R26" s="91">
        <v>16.822189331054688</v>
      </c>
      <c r="S26" s="108">
        <v>69.54933166503906</v>
      </c>
      <c r="T26" s="108">
        <v>30.5</v>
      </c>
      <c r="U26" s="108">
        <v>0.4148581922054291</v>
      </c>
      <c r="V26" s="108">
        <v>52.837459564208984</v>
      </c>
      <c r="W26" s="108">
        <v>30.523000717163086</v>
      </c>
      <c r="X26" s="108">
        <v>34</v>
      </c>
      <c r="Y26" s="108">
        <v>49.569950103759766</v>
      </c>
      <c r="Z26" s="108">
        <v>15.455010414123535</v>
      </c>
      <c r="AA26" s="108">
        <v>44.24913024902344</v>
      </c>
      <c r="AB26" s="108"/>
      <c r="AC26" s="95"/>
      <c r="AD26" s="95">
        <v>0</v>
      </c>
      <c r="AE26" s="95">
        <v>0</v>
      </c>
      <c r="AF26" s="95"/>
      <c r="AG26" s="95">
        <v>39.86906814575195</v>
      </c>
      <c r="AH26" s="95"/>
      <c r="AI26" s="109"/>
      <c r="AJ26" s="109"/>
      <c r="AK26" s="109"/>
      <c r="AL26" s="109"/>
      <c r="AM26" s="109"/>
      <c r="AN26" s="95">
        <v>46.78096008300781</v>
      </c>
      <c r="AO26" s="96">
        <v>55</v>
      </c>
      <c r="AP26" s="97">
        <v>13.364439964294434</v>
      </c>
      <c r="AQ26" s="98">
        <v>39.626739501953125</v>
      </c>
      <c r="AR26" s="99">
        <v>-0.0433959998190403</v>
      </c>
    </row>
    <row r="27" spans="2:44" ht="13.5" customHeight="1" x14ac:dyDescent="0.25">
      <c r="B27" s="14">
        <v>0.54166666666666596</v>
      </c>
      <c r="C27" s="91">
        <v>-0.5931702256202698</v>
      </c>
      <c r="D27" s="91">
        <v>-0.21701809763908386</v>
      </c>
      <c r="E27" s="91">
        <v>2.3799190521240234</v>
      </c>
      <c r="F27" s="91">
        <v>0</v>
      </c>
      <c r="G27" s="91">
        <v>3.051757957450718E-08</v>
      </c>
      <c r="H27" s="91"/>
      <c r="I27" s="91"/>
      <c r="J27" s="91"/>
      <c r="K27" s="91"/>
      <c r="L27" s="92"/>
      <c r="M27" s="107">
        <v>70</v>
      </c>
      <c r="N27" s="91">
        <v>21.8062801361084</v>
      </c>
      <c r="O27" s="91">
        <v>0</v>
      </c>
      <c r="P27" s="91">
        <v>0</v>
      </c>
      <c r="Q27" s="91">
        <v>3</v>
      </c>
      <c r="R27" s="91">
        <v>16.80048942565918</v>
      </c>
      <c r="S27" s="108">
        <v>69.54209899902344</v>
      </c>
      <c r="T27" s="108">
        <v>30.5</v>
      </c>
      <c r="U27" s="108">
        <v>0.4148581922054291</v>
      </c>
      <c r="V27" s="108">
        <v>52.837459564208984</v>
      </c>
      <c r="W27" s="108">
        <v>24.3652400970459</v>
      </c>
      <c r="X27" s="108">
        <v>34</v>
      </c>
      <c r="Y27" s="108">
        <v>49.569950103759766</v>
      </c>
      <c r="Z27" s="108">
        <v>15.549039840698242</v>
      </c>
      <c r="AA27" s="108">
        <v>40.22352981567383</v>
      </c>
      <c r="AB27" s="108"/>
      <c r="AC27" s="95"/>
      <c r="AD27" s="95">
        <v>0</v>
      </c>
      <c r="AE27" s="95">
        <v>2.4414063659605745E-07</v>
      </c>
      <c r="AF27" s="95"/>
      <c r="AG27" s="95">
        <v>30.24449920654297</v>
      </c>
      <c r="AH27" s="95"/>
      <c r="AI27" s="109"/>
      <c r="AJ27" s="109"/>
      <c r="AK27" s="109"/>
      <c r="AL27" s="109"/>
      <c r="AM27" s="109"/>
      <c r="AN27" s="95">
        <v>45.84056091308594</v>
      </c>
      <c r="AO27" s="96">
        <v>55</v>
      </c>
      <c r="AP27" s="97">
        <v>13.771340370178223</v>
      </c>
      <c r="AQ27" s="98">
        <v>39.738861083984375</v>
      </c>
      <c r="AR27" s="99">
        <v>-0.02169799990952015</v>
      </c>
    </row>
    <row r="28" spans="2:44" ht="13.5" customHeight="1" x14ac:dyDescent="0.25">
      <c r="B28" s="14">
        <v>0.58333333333333304</v>
      </c>
      <c r="C28" s="91">
        <v>-0.6293411254882812</v>
      </c>
      <c r="D28" s="91">
        <v>-0.2025451958179474</v>
      </c>
      <c r="E28" s="91">
        <v>3.2298901081085205</v>
      </c>
      <c r="F28" s="91">
        <v>0</v>
      </c>
      <c r="G28" s="91">
        <v>7.629394893626795E-09</v>
      </c>
      <c r="H28" s="91"/>
      <c r="I28" s="91"/>
      <c r="J28" s="91"/>
      <c r="K28" s="91"/>
      <c r="L28" s="92"/>
      <c r="M28" s="107">
        <v>70</v>
      </c>
      <c r="N28" s="91">
        <v>21.462669372558594</v>
      </c>
      <c r="O28" s="91">
        <v>0</v>
      </c>
      <c r="P28" s="91">
        <v>0</v>
      </c>
      <c r="Q28" s="91">
        <v>3</v>
      </c>
      <c r="R28" s="91">
        <v>16.970489501953125</v>
      </c>
      <c r="S28" s="108">
        <v>69.5131607055664</v>
      </c>
      <c r="T28" s="108">
        <v>30.5</v>
      </c>
      <c r="U28" s="108">
        <v>0.4148581922054291</v>
      </c>
      <c r="V28" s="108">
        <v>52.837459564208984</v>
      </c>
      <c r="W28" s="108">
        <v>20.94183921813965</v>
      </c>
      <c r="X28" s="108">
        <v>34</v>
      </c>
      <c r="Y28" s="108">
        <v>49.569950103759766</v>
      </c>
      <c r="Z28" s="108">
        <v>15.625</v>
      </c>
      <c r="AA28" s="108">
        <v>36.49089050292969</v>
      </c>
      <c r="AB28" s="108"/>
      <c r="AC28" s="95"/>
      <c r="AD28" s="95">
        <v>0</v>
      </c>
      <c r="AE28" s="95">
        <v>0</v>
      </c>
      <c r="AF28" s="95"/>
      <c r="AG28" s="95">
        <v>22.71773910522461</v>
      </c>
      <c r="AH28" s="95"/>
      <c r="AI28" s="109"/>
      <c r="AJ28" s="109"/>
      <c r="AK28" s="109"/>
      <c r="AL28" s="109"/>
      <c r="AM28" s="109"/>
      <c r="AN28" s="95">
        <v>44.87847137451172</v>
      </c>
      <c r="AO28" s="96">
        <v>55</v>
      </c>
      <c r="AP28" s="97">
        <v>14.268659591674805</v>
      </c>
      <c r="AQ28" s="98">
        <v>39.83290100097656</v>
      </c>
      <c r="AR28" s="99">
        <v>-0.0325470007956028</v>
      </c>
    </row>
    <row r="29" spans="2:44" ht="13.5" customHeight="1" x14ac:dyDescent="0.25">
      <c r="B29" s="14">
        <v>0.625</v>
      </c>
      <c r="C29" s="91">
        <v>-0.6944426894187927</v>
      </c>
      <c r="D29" s="91">
        <v>-0.22425079345703125</v>
      </c>
      <c r="E29" s="91">
        <v>4.528357028961182</v>
      </c>
      <c r="F29" s="91">
        <v>0</v>
      </c>
      <c r="G29" s="91">
        <v>3.051757957450718E-08</v>
      </c>
      <c r="H29" s="91"/>
      <c r="I29" s="91"/>
      <c r="J29" s="91"/>
      <c r="K29" s="91"/>
      <c r="L29" s="92"/>
      <c r="M29" s="107">
        <v>70</v>
      </c>
      <c r="N29" s="91">
        <v>21.35778045654297</v>
      </c>
      <c r="O29" s="91">
        <v>0</v>
      </c>
      <c r="P29" s="91">
        <v>0</v>
      </c>
      <c r="Q29" s="91">
        <v>3</v>
      </c>
      <c r="R29" s="91">
        <v>16.94516944885254</v>
      </c>
      <c r="S29" s="108">
        <v>69.48784637451172</v>
      </c>
      <c r="T29" s="108">
        <v>30.5</v>
      </c>
      <c r="U29" s="108">
        <v>0.4148581922054291</v>
      </c>
      <c r="V29" s="108">
        <v>52.837459564208984</v>
      </c>
      <c r="W29" s="108">
        <v>20.876739501953125</v>
      </c>
      <c r="X29" s="108">
        <v>34</v>
      </c>
      <c r="Y29" s="108">
        <v>49.569950103759766</v>
      </c>
      <c r="Z29" s="108">
        <v>15.691909790039062</v>
      </c>
      <c r="AA29" s="108">
        <v>33.327911376953125</v>
      </c>
      <c r="AB29" s="108"/>
      <c r="AC29" s="95"/>
      <c r="AD29" s="95">
        <v>0</v>
      </c>
      <c r="AE29" s="95">
        <v>0</v>
      </c>
      <c r="AF29" s="95"/>
      <c r="AG29" s="95">
        <v>23.090280532836914</v>
      </c>
      <c r="AH29" s="95"/>
      <c r="AI29" s="109"/>
      <c r="AJ29" s="109"/>
      <c r="AK29" s="109"/>
      <c r="AL29" s="109"/>
      <c r="AM29" s="109"/>
      <c r="AN29" s="95">
        <v>43.84403991699219</v>
      </c>
      <c r="AO29" s="96">
        <v>55</v>
      </c>
      <c r="AP29" s="97">
        <v>14.440469741821289</v>
      </c>
      <c r="AQ29" s="98">
        <v>39.713539123535156</v>
      </c>
      <c r="AR29" s="99">
        <v>-0.02169799990952015</v>
      </c>
    </row>
    <row r="30" spans="2:44" ht="13.5" customHeight="1" x14ac:dyDescent="0.25">
      <c r="B30" s="14">
        <v>0.66666666666666596</v>
      </c>
      <c r="C30" s="91">
        <v>-0.701682984828949</v>
      </c>
      <c r="D30" s="91">
        <v>-0.20978550612926483</v>
      </c>
      <c r="E30" s="91">
        <v>5.4615159034729</v>
      </c>
      <c r="F30" s="91">
        <v>0</v>
      </c>
      <c r="G30" s="91">
        <v>3.051757957450718E-08</v>
      </c>
      <c r="H30" s="91"/>
      <c r="I30" s="91"/>
      <c r="J30" s="91"/>
      <c r="K30" s="91"/>
      <c r="L30" s="92"/>
      <c r="M30" s="107">
        <v>70</v>
      </c>
      <c r="N30" s="91">
        <v>21.404800415039062</v>
      </c>
      <c r="O30" s="91">
        <v>0</v>
      </c>
      <c r="P30" s="91">
        <v>0</v>
      </c>
      <c r="Q30" s="91">
        <v>3</v>
      </c>
      <c r="R30" s="91">
        <v>16.94516944885254</v>
      </c>
      <c r="S30" s="108">
        <v>69.48784637451172</v>
      </c>
      <c r="T30" s="108">
        <v>30.5</v>
      </c>
      <c r="U30" s="108">
        <v>0.4148581922054291</v>
      </c>
      <c r="V30" s="108">
        <v>52.837459564208984</v>
      </c>
      <c r="W30" s="108">
        <v>20.551219940185547</v>
      </c>
      <c r="X30" s="108">
        <v>34</v>
      </c>
      <c r="Y30" s="108">
        <v>49.569950103759766</v>
      </c>
      <c r="Z30" s="108">
        <v>15.8745698928833</v>
      </c>
      <c r="AA30" s="108">
        <v>30.881080627441406</v>
      </c>
      <c r="AB30" s="108"/>
      <c r="AC30" s="95"/>
      <c r="AD30" s="95">
        <v>0</v>
      </c>
      <c r="AE30" s="95">
        <v>0</v>
      </c>
      <c r="AF30" s="95"/>
      <c r="AG30" s="95">
        <v>22.80816078186035</v>
      </c>
      <c r="AH30" s="95"/>
      <c r="AI30" s="109"/>
      <c r="AJ30" s="109"/>
      <c r="AK30" s="109"/>
      <c r="AL30" s="109"/>
      <c r="AM30" s="109"/>
      <c r="AN30" s="95">
        <v>43.08449172973633</v>
      </c>
      <c r="AO30" s="96">
        <v>55</v>
      </c>
      <c r="AP30" s="97">
        <v>14.720780372619629</v>
      </c>
      <c r="AQ30" s="98">
        <v>39.738861083984375</v>
      </c>
      <c r="AR30" s="99">
        <v>-0.010848999954760075</v>
      </c>
    </row>
    <row r="31" spans="2:44" ht="13.5" customHeight="1" x14ac:dyDescent="0.25">
      <c r="B31" s="14">
        <v>0.70833333333333304</v>
      </c>
      <c r="C31" s="91">
        <v>-0.6944426894187927</v>
      </c>
      <c r="D31" s="91">
        <v>-0.1953125</v>
      </c>
      <c r="E31" s="91">
        <v>5.4361982345581055</v>
      </c>
      <c r="F31" s="91">
        <v>0</v>
      </c>
      <c r="G31" s="91">
        <v>1.525878978725359E-08</v>
      </c>
      <c r="H31" s="91"/>
      <c r="I31" s="91"/>
      <c r="J31" s="91"/>
      <c r="K31" s="91"/>
      <c r="L31" s="92"/>
      <c r="M31" s="107">
        <v>70</v>
      </c>
      <c r="N31" s="91">
        <v>21.350549697875977</v>
      </c>
      <c r="O31" s="91">
        <v>0</v>
      </c>
      <c r="P31" s="91">
        <v>0</v>
      </c>
      <c r="Q31" s="91">
        <v>3</v>
      </c>
      <c r="R31" s="91">
        <v>16.94154930114746</v>
      </c>
      <c r="S31" s="108">
        <v>69.48784637451172</v>
      </c>
      <c r="T31" s="108">
        <v>30.5</v>
      </c>
      <c r="U31" s="108">
        <v>0.4148581922054291</v>
      </c>
      <c r="V31" s="108">
        <v>52.837459564208984</v>
      </c>
      <c r="W31" s="108">
        <v>19.932729721069336</v>
      </c>
      <c r="X31" s="108">
        <v>34</v>
      </c>
      <c r="Y31" s="108">
        <v>49.569950103759766</v>
      </c>
      <c r="Z31" s="108">
        <v>15.986689567565918</v>
      </c>
      <c r="AA31" s="108">
        <v>28.49934959411621</v>
      </c>
      <c r="AB31" s="108"/>
      <c r="AC31" s="95"/>
      <c r="AD31" s="95">
        <v>0</v>
      </c>
      <c r="AE31" s="95">
        <v>0</v>
      </c>
      <c r="AF31" s="95"/>
      <c r="AG31" s="95">
        <v>22.97092056274414</v>
      </c>
      <c r="AH31" s="95"/>
      <c r="AI31" s="109"/>
      <c r="AJ31" s="109"/>
      <c r="AK31" s="109"/>
      <c r="AL31" s="109"/>
      <c r="AM31" s="109"/>
      <c r="AN31" s="95">
        <v>42.3249397277832</v>
      </c>
      <c r="AO31" s="96">
        <v>55</v>
      </c>
      <c r="AP31" s="97">
        <v>14.982999801635742</v>
      </c>
      <c r="AQ31" s="98">
        <v>40.0282096862793</v>
      </c>
      <c r="AR31" s="99">
        <v>-0.02169799990952015</v>
      </c>
    </row>
    <row r="32" spans="2:44" ht="13.5" customHeight="1" x14ac:dyDescent="0.25">
      <c r="B32" s="14">
        <v>0.75</v>
      </c>
      <c r="C32" s="91">
        <v>-0.6944426894187927</v>
      </c>
      <c r="D32" s="91">
        <v>-0.1808471977710724</v>
      </c>
      <c r="E32" s="91">
        <v>4.785155773162842</v>
      </c>
      <c r="F32" s="91">
        <v>0</v>
      </c>
      <c r="G32" s="91">
        <v>3.051757957450718E-08</v>
      </c>
      <c r="H32" s="91"/>
      <c r="I32" s="91"/>
      <c r="J32" s="91"/>
      <c r="K32" s="91"/>
      <c r="L32" s="92"/>
      <c r="M32" s="107">
        <v>70</v>
      </c>
      <c r="N32" s="91">
        <v>21.100980758666992</v>
      </c>
      <c r="O32" s="91">
        <v>0</v>
      </c>
      <c r="P32" s="91">
        <v>0</v>
      </c>
      <c r="Q32" s="91">
        <v>3</v>
      </c>
      <c r="R32" s="91">
        <v>16.948780059814453</v>
      </c>
      <c r="S32" s="108">
        <v>69.4842300415039</v>
      </c>
      <c r="T32" s="108">
        <v>30.5</v>
      </c>
      <c r="U32" s="108">
        <v>0.4148581922054291</v>
      </c>
      <c r="V32" s="108">
        <v>52.837459564208984</v>
      </c>
      <c r="W32" s="108">
        <v>19.21657943725586</v>
      </c>
      <c r="X32" s="108">
        <v>34</v>
      </c>
      <c r="Y32" s="108">
        <v>49.569950103759766</v>
      </c>
      <c r="Z32" s="108">
        <v>16.10965919494629</v>
      </c>
      <c r="AA32" s="108">
        <v>26.334640502929688</v>
      </c>
      <c r="AB32" s="108"/>
      <c r="AC32" s="95"/>
      <c r="AD32" s="95">
        <v>0</v>
      </c>
      <c r="AE32" s="95">
        <v>0</v>
      </c>
      <c r="AF32" s="95"/>
      <c r="AG32" s="95">
        <v>59.422019958496094</v>
      </c>
      <c r="AH32" s="95"/>
      <c r="AI32" s="109"/>
      <c r="AJ32" s="109"/>
      <c r="AK32" s="109"/>
      <c r="AL32" s="109"/>
      <c r="AM32" s="109"/>
      <c r="AN32" s="95">
        <v>41.52199172973633</v>
      </c>
      <c r="AO32" s="96">
        <v>55</v>
      </c>
      <c r="AP32" s="97">
        <v>15.181929588317871</v>
      </c>
      <c r="AQ32" s="98">
        <v>40.285011291503906</v>
      </c>
      <c r="AR32" s="99">
        <v>-0.02169799990952015</v>
      </c>
    </row>
    <row r="33" spans="2:44" ht="13.5" customHeight="1" x14ac:dyDescent="0.25">
      <c r="B33" s="14">
        <v>0.79166666666666696</v>
      </c>
      <c r="C33" s="91">
        <v>-0.5859375</v>
      </c>
      <c r="D33" s="91">
        <v>-0.2025451958179474</v>
      </c>
      <c r="E33" s="91">
        <v>4.770689010620117</v>
      </c>
      <c r="F33" s="91">
        <v>0</v>
      </c>
      <c r="G33" s="91">
        <v>7.629394893626795E-09</v>
      </c>
      <c r="H33" s="91"/>
      <c r="I33" s="91"/>
      <c r="J33" s="91"/>
      <c r="K33" s="91"/>
      <c r="L33" s="92"/>
      <c r="M33" s="107">
        <v>70</v>
      </c>
      <c r="N33" s="91">
        <v>20.86587905883789</v>
      </c>
      <c r="O33" s="91">
        <v>0</v>
      </c>
      <c r="P33" s="91">
        <v>0</v>
      </c>
      <c r="Q33" s="91">
        <v>3</v>
      </c>
      <c r="R33" s="91">
        <v>16.95240020751953</v>
      </c>
      <c r="S33" s="108">
        <v>69.47699737548828</v>
      </c>
      <c r="T33" s="108">
        <v>30.5</v>
      </c>
      <c r="U33" s="108">
        <v>0.4148581922054291</v>
      </c>
      <c r="V33" s="108">
        <v>52.837459564208984</v>
      </c>
      <c r="W33" s="108">
        <v>18.554689407348633</v>
      </c>
      <c r="X33" s="108">
        <v>34</v>
      </c>
      <c r="Y33" s="108">
        <v>49.569950103759766</v>
      </c>
      <c r="Z33" s="108">
        <v>16.10784912109375</v>
      </c>
      <c r="AA33" s="108">
        <v>24.500869750976562</v>
      </c>
      <c r="AB33" s="108"/>
      <c r="AC33" s="95"/>
      <c r="AD33" s="95">
        <v>0</v>
      </c>
      <c r="AE33" s="95">
        <v>0</v>
      </c>
      <c r="AF33" s="95"/>
      <c r="AG33" s="95">
        <v>59.443721771240234</v>
      </c>
      <c r="AH33" s="95"/>
      <c r="AI33" s="109"/>
      <c r="AJ33" s="109"/>
      <c r="AK33" s="109"/>
      <c r="AL33" s="109"/>
      <c r="AM33" s="109"/>
      <c r="AN33" s="95">
        <v>40.60329818725586</v>
      </c>
      <c r="AO33" s="96">
        <v>55</v>
      </c>
      <c r="AP33" s="97">
        <v>15.181929588317871</v>
      </c>
      <c r="AQ33" s="98">
        <v>39.803958892822266</v>
      </c>
      <c r="AR33" s="99">
        <v>-0.02169799990952015</v>
      </c>
    </row>
    <row r="34" spans="2:44" ht="13.5" customHeight="1" x14ac:dyDescent="0.25">
      <c r="B34" s="15">
        <v>0.83333333333333304</v>
      </c>
      <c r="C34" s="100">
        <v>-0.506370484828949</v>
      </c>
      <c r="D34" s="100">
        <v>-0.1953125</v>
      </c>
      <c r="E34" s="100">
        <v>4.007523059844971</v>
      </c>
      <c r="F34" s="100">
        <v>0</v>
      </c>
      <c r="G34" s="100">
        <v>3.814697180359872E-08</v>
      </c>
      <c r="H34" s="100"/>
      <c r="I34" s="100"/>
      <c r="J34" s="100"/>
      <c r="K34" s="100"/>
      <c r="L34" s="101"/>
      <c r="M34" s="110">
        <v>70</v>
      </c>
      <c r="N34" s="100">
        <v>20.507810592651367</v>
      </c>
      <c r="O34" s="100">
        <v>0</v>
      </c>
      <c r="P34" s="100">
        <v>0</v>
      </c>
      <c r="Q34" s="100">
        <v>3</v>
      </c>
      <c r="R34" s="100">
        <v>16.948780059814453</v>
      </c>
      <c r="S34" s="111">
        <v>69.46614837646484</v>
      </c>
      <c r="T34" s="111">
        <v>30.5</v>
      </c>
      <c r="U34" s="111">
        <v>0.4148581922054291</v>
      </c>
      <c r="V34" s="111">
        <v>52.837459564208984</v>
      </c>
      <c r="W34" s="111">
        <v>18.023000717163086</v>
      </c>
      <c r="X34" s="111">
        <v>34</v>
      </c>
      <c r="Y34" s="111">
        <v>49.569950103759766</v>
      </c>
      <c r="Z34" s="111">
        <v>16.17837905883789</v>
      </c>
      <c r="AA34" s="111">
        <v>22.911239624023438</v>
      </c>
      <c r="AB34" s="111"/>
      <c r="AC34" s="104"/>
      <c r="AD34" s="104">
        <v>0</v>
      </c>
      <c r="AE34" s="104">
        <v>0</v>
      </c>
      <c r="AF34" s="104"/>
      <c r="AG34" s="104">
        <v>0.11574070155620575</v>
      </c>
      <c r="AH34" s="104"/>
      <c r="AI34" s="112"/>
      <c r="AJ34" s="112"/>
      <c r="AK34" s="112"/>
      <c r="AL34" s="112"/>
      <c r="AM34" s="112"/>
      <c r="AN34" s="104">
        <v>39.75693893432617</v>
      </c>
      <c r="AO34" s="105">
        <v>55</v>
      </c>
      <c r="AP34" s="113">
        <v>15.227140426635742</v>
      </c>
      <c r="AQ34" s="114">
        <v>40.07522964477539</v>
      </c>
      <c r="AR34" s="115">
        <v>-0.02169799990952015</v>
      </c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91">
        <v>0</v>
      </c>
      <c r="D39" s="91"/>
      <c r="E39" s="91">
        <v>50.37615966796875</v>
      </c>
      <c r="F39" s="91"/>
      <c r="G39" s="91"/>
      <c r="H39" s="91">
        <v>15.245229721069336</v>
      </c>
      <c r="I39" s="91"/>
      <c r="J39" s="91">
        <v>45.934600830078125</v>
      </c>
      <c r="K39" s="91">
        <v>0.14000000059604645</v>
      </c>
      <c r="L39" s="91">
        <v>115.37840270996094</v>
      </c>
      <c r="M39" s="91">
        <v>17.162179946899414</v>
      </c>
      <c r="N39" s="91"/>
      <c r="O39" s="91">
        <v>0</v>
      </c>
      <c r="P39" s="91">
        <v>109.28839874267578</v>
      </c>
      <c r="Q39" s="91">
        <v>0</v>
      </c>
      <c r="R39" s="91"/>
      <c r="S39" s="91">
        <v>0</v>
      </c>
      <c r="T39" s="91"/>
      <c r="U39" s="108">
        <v>97.64177703857422</v>
      </c>
      <c r="V39" s="116"/>
      <c r="W39" s="117">
        <v>50</v>
      </c>
      <c r="X39" s="108">
        <v>94.17534637451172</v>
      </c>
      <c r="Y39" s="108">
        <v>9.147135734558105</v>
      </c>
      <c r="Z39" s="108">
        <v>54.730899810791016</v>
      </c>
      <c r="AA39" s="108">
        <v>50</v>
      </c>
      <c r="AB39" s="108">
        <v>0</v>
      </c>
      <c r="AC39" s="108">
        <v>14.067930221557617</v>
      </c>
      <c r="AD39" s="108">
        <v>15.462240219116211</v>
      </c>
      <c r="AE39" s="95"/>
      <c r="AF39" s="95">
        <v>0</v>
      </c>
      <c r="AG39" s="95"/>
      <c r="AH39" s="95">
        <v>26.23801040649414</v>
      </c>
      <c r="AI39" s="95">
        <v>88.76953125</v>
      </c>
      <c r="AJ39" s="95"/>
      <c r="AK39" s="95"/>
      <c r="AL39" s="96"/>
      <c r="AM39" s="118"/>
      <c r="AN39" s="109"/>
      <c r="AO39" s="95"/>
      <c r="AP39" s="95"/>
      <c r="AQ39" s="95"/>
      <c r="AR39" s="99"/>
    </row>
    <row r="40" spans="2:44" ht="13.5" customHeight="1" x14ac:dyDescent="0.25">
      <c r="B40" s="14">
        <v>0.375</v>
      </c>
      <c r="C40" s="91">
        <v>0</v>
      </c>
      <c r="D40" s="91">
        <v>9.91821252682712E-06</v>
      </c>
      <c r="E40" s="91">
        <v>45.16059112548828</v>
      </c>
      <c r="F40" s="91"/>
      <c r="G40" s="91"/>
      <c r="H40" s="91">
        <v>15.109589576721191</v>
      </c>
      <c r="I40" s="91">
        <v>0</v>
      </c>
      <c r="J40" s="91">
        <v>45.72663116455078</v>
      </c>
      <c r="K40" s="91">
        <v>0.14000000059604645</v>
      </c>
      <c r="L40" s="91">
        <v>115.51840209960938</v>
      </c>
      <c r="M40" s="91">
        <v>17.153139114379883</v>
      </c>
      <c r="N40" s="91">
        <v>0</v>
      </c>
      <c r="O40" s="91">
        <v>0</v>
      </c>
      <c r="P40" s="91">
        <v>109.28839874267578</v>
      </c>
      <c r="Q40" s="91">
        <v>0</v>
      </c>
      <c r="R40" s="91">
        <v>0</v>
      </c>
      <c r="S40" s="91">
        <v>0</v>
      </c>
      <c r="T40" s="91">
        <v>0</v>
      </c>
      <c r="U40" s="108">
        <v>96.21309661865234</v>
      </c>
      <c r="V40" s="116">
        <v>0.0015118579613044858</v>
      </c>
      <c r="W40" s="117">
        <v>50</v>
      </c>
      <c r="X40" s="108">
        <v>93.8498306274414</v>
      </c>
      <c r="Y40" s="108">
        <v>11.669919967651367</v>
      </c>
      <c r="Z40" s="108">
        <v>70.57292175292969</v>
      </c>
      <c r="AA40" s="108">
        <v>50</v>
      </c>
      <c r="AB40" s="108">
        <v>0</v>
      </c>
      <c r="AC40" s="108">
        <v>15.163849830627441</v>
      </c>
      <c r="AD40" s="108">
        <v>16.053600311279297</v>
      </c>
      <c r="AE40" s="95"/>
      <c r="AF40" s="95">
        <v>0</v>
      </c>
      <c r="AG40" s="95"/>
      <c r="AH40" s="95">
        <v>26.23801040649414</v>
      </c>
      <c r="AI40" s="95">
        <v>88.61762237548828</v>
      </c>
      <c r="AJ40" s="95">
        <v>0.00486111082136631</v>
      </c>
      <c r="AK40" s="95"/>
      <c r="AL40" s="96"/>
      <c r="AM40" s="118"/>
      <c r="AN40" s="109"/>
      <c r="AO40" s="95"/>
      <c r="AP40" s="95"/>
      <c r="AQ40" s="95"/>
      <c r="AR40" s="99"/>
    </row>
    <row r="41" spans="2:44" ht="13.5" customHeight="1" x14ac:dyDescent="0.25">
      <c r="B41" s="14">
        <v>0.41666666666666702</v>
      </c>
      <c r="C41" s="91">
        <v>0</v>
      </c>
      <c r="D41" s="91">
        <v>4.4555663407663815E-06</v>
      </c>
      <c r="E41" s="91">
        <v>41.08073043823242</v>
      </c>
      <c r="F41" s="91"/>
      <c r="G41" s="91"/>
      <c r="H41" s="91">
        <v>14.992039680480957</v>
      </c>
      <c r="I41" s="91">
        <v>0</v>
      </c>
      <c r="J41" s="91">
        <v>45.54579162597656</v>
      </c>
      <c r="K41" s="91">
        <v>0.14000000059604645</v>
      </c>
      <c r="L41" s="91">
        <v>115.65840148925781</v>
      </c>
      <c r="M41" s="91">
        <v>16.909000396728516</v>
      </c>
      <c r="N41" s="91">
        <v>0</v>
      </c>
      <c r="O41" s="91">
        <v>0</v>
      </c>
      <c r="P41" s="91">
        <v>109.28839874267578</v>
      </c>
      <c r="Q41" s="91">
        <v>0</v>
      </c>
      <c r="R41" s="91">
        <v>0</v>
      </c>
      <c r="S41" s="91">
        <v>0</v>
      </c>
      <c r="T41" s="91">
        <v>0</v>
      </c>
      <c r="U41" s="108">
        <v>95.6922836303711</v>
      </c>
      <c r="V41" s="116">
        <v>0.00041233061347156763</v>
      </c>
      <c r="W41" s="117">
        <v>50</v>
      </c>
      <c r="X41" s="108">
        <v>93.68923950195312</v>
      </c>
      <c r="Y41" s="108">
        <v>11.588540077209473</v>
      </c>
      <c r="Z41" s="108">
        <v>79.3185806274414</v>
      </c>
      <c r="AA41" s="108">
        <v>50</v>
      </c>
      <c r="AB41" s="108">
        <v>0</v>
      </c>
      <c r="AC41" s="108">
        <v>15.29043960571289</v>
      </c>
      <c r="AD41" s="108">
        <v>60.76388931274414</v>
      </c>
      <c r="AE41" s="95"/>
      <c r="AF41" s="95">
        <v>0</v>
      </c>
      <c r="AG41" s="95"/>
      <c r="AH41" s="95">
        <v>26.23801040649414</v>
      </c>
      <c r="AI41" s="95">
        <v>88.4259262084961</v>
      </c>
      <c r="AJ41" s="95">
        <v>-0.00263888924382627</v>
      </c>
      <c r="AK41" s="95"/>
      <c r="AL41" s="96"/>
      <c r="AM41" s="118"/>
      <c r="AN41" s="109"/>
      <c r="AO41" s="95"/>
      <c r="AP41" s="95"/>
      <c r="AQ41" s="95"/>
      <c r="AR41" s="99"/>
    </row>
    <row r="42" spans="2:44" ht="13.5" customHeight="1" x14ac:dyDescent="0.25">
      <c r="B42" s="14">
        <v>0.45833333333333298</v>
      </c>
      <c r="C42" s="91">
        <v>0</v>
      </c>
      <c r="D42" s="91">
        <v>1.3961791864858242E-06</v>
      </c>
      <c r="E42" s="91">
        <v>37.81829071044922</v>
      </c>
      <c r="F42" s="91"/>
      <c r="G42" s="91"/>
      <c r="H42" s="91">
        <v>14.910659790039062</v>
      </c>
      <c r="I42" s="91">
        <v>0</v>
      </c>
      <c r="J42" s="91">
        <v>44.9309196472168</v>
      </c>
      <c r="K42" s="91">
        <v>0.14000000059604645</v>
      </c>
      <c r="L42" s="91">
        <v>115.79840087890625</v>
      </c>
      <c r="M42" s="91">
        <v>16.628690719604492</v>
      </c>
      <c r="N42" s="91">
        <v>0</v>
      </c>
      <c r="O42" s="91">
        <v>0</v>
      </c>
      <c r="P42" s="91">
        <v>109.28839874267578</v>
      </c>
      <c r="Q42" s="91">
        <v>0</v>
      </c>
      <c r="R42" s="91">
        <v>0</v>
      </c>
      <c r="S42" s="91">
        <v>0</v>
      </c>
      <c r="T42" s="91">
        <v>0</v>
      </c>
      <c r="U42" s="108">
        <v>96.30352783203125</v>
      </c>
      <c r="V42" s="116">
        <v>0.0016746215987950563</v>
      </c>
      <c r="W42" s="117">
        <v>50</v>
      </c>
      <c r="X42" s="108">
        <v>80</v>
      </c>
      <c r="Y42" s="108">
        <v>52.837459564208984</v>
      </c>
      <c r="Z42" s="108">
        <v>53.933380126953125</v>
      </c>
      <c r="AA42" s="108">
        <v>50</v>
      </c>
      <c r="AB42" s="108">
        <v>0</v>
      </c>
      <c r="AC42" s="108">
        <v>15.420639991760254</v>
      </c>
      <c r="AD42" s="108">
        <v>47.7159309387207</v>
      </c>
      <c r="AE42" s="95"/>
      <c r="AF42" s="95">
        <v>10.56134033203125</v>
      </c>
      <c r="AG42" s="95"/>
      <c r="AH42" s="95">
        <v>26.23801040649414</v>
      </c>
      <c r="AI42" s="95">
        <v>88.28125</v>
      </c>
      <c r="AJ42" s="95">
        <v>-0.0018634223379194736</v>
      </c>
      <c r="AK42" s="95"/>
      <c r="AL42" s="96"/>
      <c r="AM42" s="118"/>
      <c r="AN42" s="109"/>
      <c r="AO42" s="95"/>
      <c r="AP42" s="95"/>
      <c r="AQ42" s="95"/>
      <c r="AR42" s="99"/>
    </row>
    <row r="43" spans="2:44" ht="13.5" customHeight="1" x14ac:dyDescent="0.25">
      <c r="B43" s="14">
        <v>0.5</v>
      </c>
      <c r="C43" s="91">
        <v>0</v>
      </c>
      <c r="D43" s="91">
        <v>1.403808596478484E-06</v>
      </c>
      <c r="E43" s="91">
        <v>35.16347885131836</v>
      </c>
      <c r="F43" s="91"/>
      <c r="G43" s="91"/>
      <c r="H43" s="91">
        <v>14.738860130310059</v>
      </c>
      <c r="I43" s="91">
        <v>0</v>
      </c>
      <c r="J43" s="91">
        <v>45.14793014526367</v>
      </c>
      <c r="K43" s="91">
        <v>0.14000000059604645</v>
      </c>
      <c r="L43" s="91">
        <v>115.93840026855469</v>
      </c>
      <c r="M43" s="91">
        <v>16.673900604248047</v>
      </c>
      <c r="N43" s="91">
        <v>0</v>
      </c>
      <c r="O43" s="91">
        <v>0</v>
      </c>
      <c r="P43" s="91">
        <v>109.28839874267578</v>
      </c>
      <c r="Q43" s="91">
        <v>0</v>
      </c>
      <c r="R43" s="91">
        <v>0</v>
      </c>
      <c r="S43" s="91">
        <v>0</v>
      </c>
      <c r="T43" s="91">
        <v>0</v>
      </c>
      <c r="U43" s="108">
        <v>99.9529800415039</v>
      </c>
      <c r="V43" s="116">
        <v>0.0007125282427296042</v>
      </c>
      <c r="W43" s="117">
        <v>50</v>
      </c>
      <c r="X43" s="108">
        <v>92.07465362548828</v>
      </c>
      <c r="Y43" s="108">
        <v>52.837459564208984</v>
      </c>
      <c r="Z43" s="108">
        <v>30.523000717163086</v>
      </c>
      <c r="AA43" s="108">
        <v>50</v>
      </c>
      <c r="AB43" s="108">
        <v>0</v>
      </c>
      <c r="AC43" s="108">
        <v>15.455010414123535</v>
      </c>
      <c r="AD43" s="108">
        <v>44.24913024902344</v>
      </c>
      <c r="AE43" s="95"/>
      <c r="AF43" s="95">
        <v>0</v>
      </c>
      <c r="AG43" s="95"/>
      <c r="AH43" s="95">
        <v>26.23801040649414</v>
      </c>
      <c r="AI43" s="95">
        <v>88.2016830444336</v>
      </c>
      <c r="AJ43" s="95">
        <v>-0.0017216376727446914</v>
      </c>
      <c r="AK43" s="95"/>
      <c r="AL43" s="96"/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0.54166666666666596</v>
      </c>
      <c r="C44" s="91">
        <v>0</v>
      </c>
      <c r="D44" s="91">
        <v>7.934570476209046E-07</v>
      </c>
      <c r="E44" s="91">
        <v>32.9210090637207</v>
      </c>
      <c r="F44" s="91"/>
      <c r="G44" s="91"/>
      <c r="H44" s="91">
        <v>14.756939888000488</v>
      </c>
      <c r="I44" s="91">
        <v>0</v>
      </c>
      <c r="J44" s="91">
        <v>44.867618560791016</v>
      </c>
      <c r="K44" s="91">
        <v>0.14000000059604645</v>
      </c>
      <c r="L44" s="91">
        <v>116.07839965820312</v>
      </c>
      <c r="M44" s="91">
        <v>17.27069091796875</v>
      </c>
      <c r="N44" s="91">
        <v>0</v>
      </c>
      <c r="O44" s="91">
        <v>0</v>
      </c>
      <c r="P44" s="91">
        <v>109.28839874267578</v>
      </c>
      <c r="Q44" s="91">
        <v>0</v>
      </c>
      <c r="R44" s="91">
        <v>0</v>
      </c>
      <c r="S44" s="91">
        <v>0</v>
      </c>
      <c r="T44" s="91">
        <v>0</v>
      </c>
      <c r="U44" s="108">
        <v>92.44790649414062</v>
      </c>
      <c r="V44" s="116">
        <v>-0.0016637687804177403</v>
      </c>
      <c r="W44" s="117">
        <v>50</v>
      </c>
      <c r="X44" s="108">
        <v>93.84548950195312</v>
      </c>
      <c r="Y44" s="108">
        <v>52.837459564208984</v>
      </c>
      <c r="Z44" s="108">
        <v>24.3652400970459</v>
      </c>
      <c r="AA44" s="108">
        <v>50</v>
      </c>
      <c r="AB44" s="108">
        <v>0</v>
      </c>
      <c r="AC44" s="108">
        <v>15.549039840698242</v>
      </c>
      <c r="AD44" s="108">
        <v>40.22352981567383</v>
      </c>
      <c r="AE44" s="95"/>
      <c r="AF44" s="95">
        <v>0</v>
      </c>
      <c r="AG44" s="95"/>
      <c r="AH44" s="95">
        <v>26.23801040649414</v>
      </c>
      <c r="AI44" s="95">
        <v>88.14380645751953</v>
      </c>
      <c r="AJ44" s="95">
        <v>-0.0014670219970867038</v>
      </c>
      <c r="AK44" s="95"/>
      <c r="AL44" s="96"/>
      <c r="AM44" s="118"/>
      <c r="AN44" s="109"/>
      <c r="AO44" s="95"/>
      <c r="AP44" s="95"/>
      <c r="AQ44" s="95"/>
      <c r="AR44" s="99"/>
    </row>
    <row r="45" spans="2:44" ht="13.5" customHeight="1" x14ac:dyDescent="0.25">
      <c r="B45" s="14">
        <v>0.58333333333333304</v>
      </c>
      <c r="C45" s="91">
        <v>0</v>
      </c>
      <c r="D45" s="91">
        <v>2.426147375444998E-06</v>
      </c>
      <c r="E45" s="91">
        <v>31.040220260620117</v>
      </c>
      <c r="F45" s="91"/>
      <c r="G45" s="91"/>
      <c r="H45" s="91">
        <v>14.919699668884277</v>
      </c>
      <c r="I45" s="91">
        <v>0</v>
      </c>
      <c r="J45" s="91">
        <v>45.22026824951172</v>
      </c>
      <c r="K45" s="91">
        <v>0.14000000059604645</v>
      </c>
      <c r="L45" s="91">
        <v>116.21839904785156</v>
      </c>
      <c r="M45" s="91">
        <v>17.668550491333008</v>
      </c>
      <c r="N45" s="91">
        <v>0</v>
      </c>
      <c r="O45" s="91">
        <v>0</v>
      </c>
      <c r="P45" s="91">
        <v>109.28839874267578</v>
      </c>
      <c r="Q45" s="91">
        <v>0</v>
      </c>
      <c r="R45" s="91">
        <v>0</v>
      </c>
      <c r="S45" s="91">
        <v>0</v>
      </c>
      <c r="T45" s="91">
        <v>0</v>
      </c>
      <c r="U45" s="108">
        <v>59.72222137451172</v>
      </c>
      <c r="V45" s="116">
        <v>-0.0008535919478163123</v>
      </c>
      <c r="W45" s="117">
        <v>50</v>
      </c>
      <c r="X45" s="108">
        <v>0</v>
      </c>
      <c r="Y45" s="108">
        <v>52.837459564208984</v>
      </c>
      <c r="Z45" s="108">
        <v>20.94183921813965</v>
      </c>
      <c r="AA45" s="108">
        <v>50</v>
      </c>
      <c r="AB45" s="108">
        <v>0</v>
      </c>
      <c r="AC45" s="108">
        <v>15.625</v>
      </c>
      <c r="AD45" s="108">
        <v>36.49089050292969</v>
      </c>
      <c r="AE45" s="95"/>
      <c r="AF45" s="95">
        <v>0</v>
      </c>
      <c r="AG45" s="95"/>
      <c r="AH45" s="95">
        <v>27.536550521850586</v>
      </c>
      <c r="AI45" s="95">
        <v>88.07869720458984</v>
      </c>
      <c r="AJ45" s="95">
        <v>-0.0013194389175623655</v>
      </c>
      <c r="AK45" s="95"/>
      <c r="AL45" s="96"/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0.625</v>
      </c>
      <c r="C46" s="91">
        <v>0</v>
      </c>
      <c r="D46" s="91">
        <v>0</v>
      </c>
      <c r="E46" s="91">
        <v>29.412609100341797</v>
      </c>
      <c r="F46" s="91"/>
      <c r="G46" s="91"/>
      <c r="H46" s="91">
        <v>15.091509819030762</v>
      </c>
      <c r="I46" s="91">
        <v>0</v>
      </c>
      <c r="J46" s="91">
        <v>44.777198791503906</v>
      </c>
      <c r="K46" s="91">
        <v>0.14000000059604645</v>
      </c>
      <c r="L46" s="91">
        <v>116.3583984375</v>
      </c>
      <c r="M46" s="91">
        <v>17.95789909362793</v>
      </c>
      <c r="N46" s="91">
        <v>0</v>
      </c>
      <c r="O46" s="91">
        <v>0</v>
      </c>
      <c r="P46" s="91">
        <v>109.28839874267578</v>
      </c>
      <c r="Q46" s="91">
        <v>0</v>
      </c>
      <c r="R46" s="91">
        <v>0</v>
      </c>
      <c r="S46" s="91">
        <v>0</v>
      </c>
      <c r="T46" s="91">
        <v>0</v>
      </c>
      <c r="U46" s="108">
        <v>64.75332641601562</v>
      </c>
      <c r="V46" s="116">
        <v>5.063247590442188E-05</v>
      </c>
      <c r="W46" s="117">
        <v>50</v>
      </c>
      <c r="X46" s="108">
        <v>0</v>
      </c>
      <c r="Y46" s="108">
        <v>52.837459564208984</v>
      </c>
      <c r="Z46" s="108">
        <v>20.876739501953125</v>
      </c>
      <c r="AA46" s="108">
        <v>50</v>
      </c>
      <c r="AB46" s="108">
        <v>5.321180820465088</v>
      </c>
      <c r="AC46" s="108">
        <v>15.691909790039062</v>
      </c>
      <c r="AD46" s="108">
        <v>33.327911376953125</v>
      </c>
      <c r="AE46" s="95"/>
      <c r="AF46" s="95">
        <v>0</v>
      </c>
      <c r="AG46" s="95"/>
      <c r="AH46" s="95">
        <v>27.536550521850586</v>
      </c>
      <c r="AI46" s="95">
        <v>87.96295928955078</v>
      </c>
      <c r="AJ46" s="95">
        <v>-0.0011747704120352864</v>
      </c>
      <c r="AK46" s="95"/>
      <c r="AL46" s="96"/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0.66666666666666596</v>
      </c>
      <c r="C47" s="91">
        <v>0</v>
      </c>
      <c r="D47" s="91">
        <v>3.7384032225418196E-07</v>
      </c>
      <c r="E47" s="91">
        <v>28.059890747070312</v>
      </c>
      <c r="F47" s="91"/>
      <c r="G47" s="91"/>
      <c r="H47" s="91">
        <v>15.335650444030762</v>
      </c>
      <c r="I47" s="91">
        <v>0</v>
      </c>
      <c r="J47" s="91">
        <v>45.066551208496094</v>
      </c>
      <c r="K47" s="91">
        <v>0.14000000059604645</v>
      </c>
      <c r="L47" s="91">
        <v>116.49839782714844</v>
      </c>
      <c r="M47" s="91">
        <v>18.34671974182129</v>
      </c>
      <c r="N47" s="91">
        <v>0</v>
      </c>
      <c r="O47" s="91">
        <v>1.7803820371627808</v>
      </c>
      <c r="P47" s="91">
        <v>109.43319702148438</v>
      </c>
      <c r="Q47" s="91">
        <v>0</v>
      </c>
      <c r="R47" s="91">
        <v>0</v>
      </c>
      <c r="S47" s="91">
        <v>0</v>
      </c>
      <c r="T47" s="91">
        <v>0</v>
      </c>
      <c r="U47" s="108">
        <v>72.2149887084961</v>
      </c>
      <c r="V47" s="116">
        <v>0.00041955948108807206</v>
      </c>
      <c r="W47" s="117">
        <v>50</v>
      </c>
      <c r="X47" s="108">
        <v>0</v>
      </c>
      <c r="Y47" s="108">
        <v>52.837459564208984</v>
      </c>
      <c r="Z47" s="108">
        <v>20.551219940185547</v>
      </c>
      <c r="AA47" s="108">
        <v>50</v>
      </c>
      <c r="AB47" s="108">
        <v>5.321180820465088</v>
      </c>
      <c r="AC47" s="108">
        <v>15.8745698928833</v>
      </c>
      <c r="AD47" s="108">
        <v>30.881080627441406</v>
      </c>
      <c r="AE47" s="95"/>
      <c r="AF47" s="95">
        <v>0</v>
      </c>
      <c r="AG47" s="95"/>
      <c r="AH47" s="95">
        <v>27.536550521850586</v>
      </c>
      <c r="AI47" s="95">
        <v>87.91232299804688</v>
      </c>
      <c r="AJ47" s="95">
        <v>-0.0011140098795294762</v>
      </c>
      <c r="AK47" s="95"/>
      <c r="AL47" s="96"/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0.70833333333333304</v>
      </c>
      <c r="C48" s="91">
        <v>0</v>
      </c>
      <c r="D48" s="91">
        <v>1.389312728861114E-05</v>
      </c>
      <c r="E48" s="91">
        <v>26.89525032043457</v>
      </c>
      <c r="F48" s="91"/>
      <c r="G48" s="91"/>
      <c r="H48" s="91">
        <v>15.561699867248535</v>
      </c>
      <c r="I48" s="91">
        <v>0</v>
      </c>
      <c r="J48" s="91">
        <v>44.85858154296875</v>
      </c>
      <c r="K48" s="91">
        <v>0.14000000059604645</v>
      </c>
      <c r="L48" s="91">
        <v>116.63839721679688</v>
      </c>
      <c r="M48" s="91">
        <v>18.572769165039062</v>
      </c>
      <c r="N48" s="91">
        <v>0</v>
      </c>
      <c r="O48" s="91">
        <v>0</v>
      </c>
      <c r="P48" s="91">
        <v>110.56590270996094</v>
      </c>
      <c r="Q48" s="91">
        <v>0</v>
      </c>
      <c r="R48" s="91">
        <v>0</v>
      </c>
      <c r="S48" s="91">
        <v>0</v>
      </c>
      <c r="T48" s="91">
        <v>0</v>
      </c>
      <c r="U48" s="108">
        <v>65.625</v>
      </c>
      <c r="V48" s="116">
        <v>0.004235389642417431</v>
      </c>
      <c r="W48" s="117">
        <v>50</v>
      </c>
      <c r="X48" s="108">
        <v>0</v>
      </c>
      <c r="Y48" s="108">
        <v>52.837459564208984</v>
      </c>
      <c r="Z48" s="108">
        <v>19.932729721069336</v>
      </c>
      <c r="AA48" s="108">
        <v>50</v>
      </c>
      <c r="AB48" s="108">
        <v>5.321180820465088</v>
      </c>
      <c r="AC48" s="108">
        <v>15.986689567565918</v>
      </c>
      <c r="AD48" s="108">
        <v>28.49934959411621</v>
      </c>
      <c r="AE48" s="95"/>
      <c r="AF48" s="95">
        <v>0</v>
      </c>
      <c r="AG48" s="95"/>
      <c r="AH48" s="95">
        <v>28.650909423828125</v>
      </c>
      <c r="AI48" s="95">
        <v>87.85807037353516</v>
      </c>
      <c r="AJ48" s="95">
        <v>-0.0009693183819763362</v>
      </c>
      <c r="AK48" s="95"/>
      <c r="AL48" s="96"/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0.75</v>
      </c>
      <c r="C49" s="91">
        <v>0</v>
      </c>
      <c r="D49" s="91">
        <v>0</v>
      </c>
      <c r="E49" s="91">
        <v>25.95486068725586</v>
      </c>
      <c r="F49" s="91"/>
      <c r="G49" s="91"/>
      <c r="H49" s="91">
        <v>15.778719902038574</v>
      </c>
      <c r="I49" s="91">
        <v>0</v>
      </c>
      <c r="J49" s="91">
        <v>44.94900131225586</v>
      </c>
      <c r="K49" s="91">
        <v>0.14000000059604645</v>
      </c>
      <c r="L49" s="91">
        <v>116.77839660644531</v>
      </c>
      <c r="M49" s="91">
        <v>18.636070251464844</v>
      </c>
      <c r="N49" s="91">
        <v>0</v>
      </c>
      <c r="O49" s="91">
        <v>0</v>
      </c>
      <c r="P49" s="91">
        <v>110.5770034790039</v>
      </c>
      <c r="Q49" s="91">
        <v>0</v>
      </c>
      <c r="R49" s="91">
        <v>0</v>
      </c>
      <c r="S49" s="91">
        <v>0</v>
      </c>
      <c r="T49" s="91">
        <v>0</v>
      </c>
      <c r="U49" s="108">
        <v>65.88179779052734</v>
      </c>
      <c r="V49" s="116">
        <v>0.00045935058733448386</v>
      </c>
      <c r="W49" s="117">
        <v>50</v>
      </c>
      <c r="X49" s="108">
        <v>0</v>
      </c>
      <c r="Y49" s="108">
        <v>52.837459564208984</v>
      </c>
      <c r="Z49" s="108">
        <v>19.21657943725586</v>
      </c>
      <c r="AA49" s="108">
        <v>50</v>
      </c>
      <c r="AB49" s="108">
        <v>5.321180820465088</v>
      </c>
      <c r="AC49" s="108">
        <v>16.10965919494629</v>
      </c>
      <c r="AD49" s="108">
        <v>26.334640502929688</v>
      </c>
      <c r="AE49" s="95"/>
      <c r="AF49" s="95">
        <v>0</v>
      </c>
      <c r="AG49" s="95"/>
      <c r="AH49" s="95">
        <v>28.650909423828125</v>
      </c>
      <c r="AI49" s="95">
        <v>87.80381774902344</v>
      </c>
      <c r="AJ49" s="95">
        <v>-0.0009404029697179794</v>
      </c>
      <c r="AK49" s="95"/>
      <c r="AL49" s="96"/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0.79166666666666696</v>
      </c>
      <c r="C50" s="91">
        <v>0</v>
      </c>
      <c r="D50" s="91">
        <v>0</v>
      </c>
      <c r="E50" s="91">
        <v>25.115739822387695</v>
      </c>
      <c r="F50" s="91"/>
      <c r="G50" s="91"/>
      <c r="H50" s="91">
        <v>15.950519561767578</v>
      </c>
      <c r="I50" s="91">
        <v>0</v>
      </c>
      <c r="J50" s="91">
        <v>44.89474868774414</v>
      </c>
      <c r="K50" s="91">
        <v>0.14000000059604645</v>
      </c>
      <c r="L50" s="91">
        <v>116.91840362548828</v>
      </c>
      <c r="M50" s="91">
        <v>18.699359893798828</v>
      </c>
      <c r="N50" s="91">
        <v>0</v>
      </c>
      <c r="O50" s="91">
        <v>0</v>
      </c>
      <c r="P50" s="91">
        <v>110.5770034790039</v>
      </c>
      <c r="Q50" s="91">
        <v>0</v>
      </c>
      <c r="R50" s="91">
        <v>0</v>
      </c>
      <c r="S50" s="91">
        <v>0</v>
      </c>
      <c r="T50" s="91">
        <v>0</v>
      </c>
      <c r="U50" s="108">
        <v>65.84201049804688</v>
      </c>
      <c r="V50" s="116">
        <v>0.0002025489811785519</v>
      </c>
      <c r="W50" s="117">
        <v>50</v>
      </c>
      <c r="X50" s="108">
        <v>0</v>
      </c>
      <c r="Y50" s="108">
        <v>52.837459564208984</v>
      </c>
      <c r="Z50" s="108">
        <v>18.554689407348633</v>
      </c>
      <c r="AA50" s="108">
        <v>50</v>
      </c>
      <c r="AB50" s="108">
        <v>5.321180820465088</v>
      </c>
      <c r="AC50" s="108">
        <v>16.10784912109375</v>
      </c>
      <c r="AD50" s="108">
        <v>24.500869750976562</v>
      </c>
      <c r="AE50" s="95"/>
      <c r="AF50" s="95">
        <v>0</v>
      </c>
      <c r="AG50" s="95"/>
      <c r="AH50" s="95">
        <v>28.650909423828125</v>
      </c>
      <c r="AI50" s="95">
        <v>87.70616149902344</v>
      </c>
      <c r="AJ50" s="95">
        <v>-0.0007812500116415322</v>
      </c>
      <c r="AK50" s="95"/>
      <c r="AL50" s="96"/>
      <c r="AM50" s="118"/>
      <c r="AN50" s="109"/>
      <c r="AO50" s="95"/>
      <c r="AP50" s="95"/>
      <c r="AQ50" s="95"/>
      <c r="AR50" s="99"/>
    </row>
    <row r="51" spans="2:44" ht="13.5" customHeight="1" x14ac:dyDescent="0.25">
      <c r="B51" s="14">
        <v>0.83333333333333304</v>
      </c>
      <c r="C51" s="100">
        <v>0</v>
      </c>
      <c r="D51" s="100">
        <v>0</v>
      </c>
      <c r="E51" s="100">
        <v>24.45022964477539</v>
      </c>
      <c r="F51" s="100"/>
      <c r="G51" s="100"/>
      <c r="H51" s="100">
        <v>16.068069458007812</v>
      </c>
      <c r="I51" s="100">
        <v>0</v>
      </c>
      <c r="J51" s="100">
        <v>44.958038330078125</v>
      </c>
      <c r="K51" s="100">
        <v>0.14000000059604645</v>
      </c>
      <c r="L51" s="100">
        <v>117.05840301513672</v>
      </c>
      <c r="M51" s="100">
        <v>18.753620147705078</v>
      </c>
      <c r="N51" s="100">
        <v>0</v>
      </c>
      <c r="O51" s="100">
        <v>0</v>
      </c>
      <c r="P51" s="100">
        <v>110.5770034790039</v>
      </c>
      <c r="Q51" s="100">
        <v>0</v>
      </c>
      <c r="R51" s="100">
        <v>0</v>
      </c>
      <c r="S51" s="100">
        <v>0</v>
      </c>
      <c r="T51" s="100">
        <v>0</v>
      </c>
      <c r="U51" s="111">
        <v>65.82392883300781</v>
      </c>
      <c r="V51" s="119">
        <v>7.233047654153779E-05</v>
      </c>
      <c r="W51" s="120">
        <v>50</v>
      </c>
      <c r="X51" s="111">
        <v>0</v>
      </c>
      <c r="Y51" s="111">
        <v>52.837459564208984</v>
      </c>
      <c r="Z51" s="111">
        <v>18.023000717163086</v>
      </c>
      <c r="AA51" s="111">
        <v>50</v>
      </c>
      <c r="AB51" s="111">
        <v>5.321180820465088</v>
      </c>
      <c r="AC51" s="111">
        <v>16.17837905883789</v>
      </c>
      <c r="AD51" s="111">
        <v>22.911239624023438</v>
      </c>
      <c r="AE51" s="104"/>
      <c r="AF51" s="104">
        <v>0</v>
      </c>
      <c r="AG51" s="104"/>
      <c r="AH51" s="104">
        <v>28.650909423828125</v>
      </c>
      <c r="AI51" s="104">
        <v>87.65553283691406</v>
      </c>
      <c r="AJ51" s="104">
        <v>-0.0008333282312378287</v>
      </c>
      <c r="AK51" s="104"/>
      <c r="AL51" s="105"/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19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19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226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91">
        <v>1</v>
      </c>
      <c r="D6" s="91">
        <v>16.379119873046875</v>
      </c>
      <c r="E6" s="91">
        <v>418.75439453125</v>
      </c>
      <c r="F6" s="91"/>
      <c r="G6" s="91"/>
      <c r="H6" s="92">
        <v>643.8499755859375</v>
      </c>
      <c r="I6" s="93">
        <v>0</v>
      </c>
      <c r="J6" s="91"/>
      <c r="K6" s="91">
        <v>15.603300094604492</v>
      </c>
      <c r="L6" s="91">
        <v>0.0009946470381692052</v>
      </c>
      <c r="M6" s="91">
        <v>13.82921028137207</v>
      </c>
      <c r="N6" s="91">
        <v>14.633970260620117</v>
      </c>
      <c r="O6" s="91">
        <v>4.23826789855957</v>
      </c>
      <c r="P6" s="91"/>
      <c r="Q6" s="91">
        <v>1.8354899690171623E-26</v>
      </c>
      <c r="R6" s="91"/>
      <c r="S6" s="91">
        <v>13.744210243225098</v>
      </c>
      <c r="T6" s="91">
        <v>0.043420858681201935</v>
      </c>
      <c r="U6" s="91">
        <v>0</v>
      </c>
      <c r="V6" s="91"/>
      <c r="W6" s="91">
        <v>14.178239822387695</v>
      </c>
      <c r="X6" s="91">
        <v>9.569308981826306E-15</v>
      </c>
      <c r="Y6" s="91" t="s">
        <v>4</v>
      </c>
      <c r="Z6" s="91">
        <v>-0.004976851865649223</v>
      </c>
      <c r="AA6" s="91">
        <v>14.142069816589355</v>
      </c>
      <c r="AB6" s="91">
        <v>13.874420166015625</v>
      </c>
      <c r="AC6" s="91">
        <v>-0.006474248133599758</v>
      </c>
      <c r="AD6" s="91">
        <v>14.272279739379883</v>
      </c>
      <c r="AE6" s="94"/>
      <c r="AF6" s="94"/>
      <c r="AG6" s="94"/>
      <c r="AH6" s="94"/>
      <c r="AI6" s="94"/>
      <c r="AJ6" s="94"/>
      <c r="AK6" s="94"/>
      <c r="AL6" s="91">
        <v>0</v>
      </c>
      <c r="AM6" s="95"/>
      <c r="AN6" s="96">
        <v>51.01634979248047</v>
      </c>
      <c r="AO6" s="97"/>
      <c r="AP6" s="98"/>
      <c r="AQ6" s="98">
        <v>0</v>
      </c>
      <c r="AR6" s="99"/>
    </row>
    <row r="7" spans="2:47" ht="13.5" customHeight="1" x14ac:dyDescent="0.25">
      <c r="B7" s="14">
        <v>0.875</v>
      </c>
      <c r="C7" s="91">
        <v>1</v>
      </c>
      <c r="D7" s="91">
        <v>16.33572006225586</v>
      </c>
      <c r="E7" s="91">
        <v>418.8642883300781</v>
      </c>
      <c r="F7" s="91">
        <v>0</v>
      </c>
      <c r="G7" s="91">
        <v>0.10000000149011612</v>
      </c>
      <c r="H7" s="92">
        <v>672.2086181640625</v>
      </c>
      <c r="I7" s="93">
        <v>0</v>
      </c>
      <c r="J7" s="91">
        <v>0</v>
      </c>
      <c r="K7" s="91">
        <v>15.386280059814453</v>
      </c>
      <c r="L7" s="91">
        <v>0.0009946470381692052</v>
      </c>
      <c r="M7" s="91">
        <v>13.699000358581543</v>
      </c>
      <c r="N7" s="91">
        <v>14.351849555969238</v>
      </c>
      <c r="O7" s="91">
        <v>4.242053985595703</v>
      </c>
      <c r="P7" s="91">
        <v>4.240234375</v>
      </c>
      <c r="Q7" s="91">
        <v>1.5336990344394508E-08</v>
      </c>
      <c r="R7" s="91">
        <v>0</v>
      </c>
      <c r="S7" s="91">
        <v>13.498259544372559</v>
      </c>
      <c r="T7" s="91">
        <v>0.04380064085125923</v>
      </c>
      <c r="U7" s="91">
        <v>0</v>
      </c>
      <c r="V7" s="91">
        <v>0</v>
      </c>
      <c r="W7" s="91">
        <v>13.99015998840332</v>
      </c>
      <c r="X7" s="91">
        <v>9.569308981826306E-15</v>
      </c>
      <c r="Y7" s="91" t="s">
        <v>82</v>
      </c>
      <c r="Z7" s="91">
        <v>-0.004918981809169054</v>
      </c>
      <c r="AA7" s="91">
        <v>13.925060272216797</v>
      </c>
      <c r="AB7" s="91">
        <v>13.75868034362793</v>
      </c>
      <c r="AC7" s="91">
        <v>-0.006510416977107525</v>
      </c>
      <c r="AD7" s="91">
        <v>14.127599716186523</v>
      </c>
      <c r="AE7" s="94"/>
      <c r="AF7" s="94"/>
      <c r="AG7" s="94"/>
      <c r="AH7" s="94"/>
      <c r="AI7" s="94"/>
      <c r="AJ7" s="94"/>
      <c r="AK7" s="94"/>
      <c r="AL7" s="91">
        <v>0</v>
      </c>
      <c r="AM7" s="95">
        <v>0</v>
      </c>
      <c r="AN7" s="96">
        <v>51.03805160522461</v>
      </c>
      <c r="AO7" s="97"/>
      <c r="AP7" s="98"/>
      <c r="AQ7" s="98">
        <v>0</v>
      </c>
      <c r="AR7" s="99">
        <v>0</v>
      </c>
    </row>
    <row r="8" spans="2:47" ht="13.5" customHeight="1" x14ac:dyDescent="0.25">
      <c r="B8" s="41" t="s">
        <v>271</v>
      </c>
      <c r="C8" s="91">
        <v>1</v>
      </c>
      <c r="D8" s="91">
        <v>16.03190040588379</v>
      </c>
      <c r="E8" s="91">
        <v>418.9295959472656</v>
      </c>
      <c r="F8" s="91">
        <v>0</v>
      </c>
      <c r="G8" s="91">
        <v>0.10000000149011612</v>
      </c>
      <c r="H8" s="92">
        <v>675.977294921875</v>
      </c>
      <c r="I8" s="93">
        <v>0</v>
      </c>
      <c r="J8" s="91">
        <v>0</v>
      </c>
      <c r="K8" s="91">
        <v>15.14756965637207</v>
      </c>
      <c r="L8" s="91">
        <v>0.0008138021221384406</v>
      </c>
      <c r="M8" s="91">
        <v>12.776689529418945</v>
      </c>
      <c r="N8" s="91">
        <v>13.86719036102295</v>
      </c>
      <c r="O8" s="91">
        <v>4.205427169799805</v>
      </c>
      <c r="P8" s="91">
        <v>4.2001953125</v>
      </c>
      <c r="Q8" s="91">
        <v>2.60024194176367E-06</v>
      </c>
      <c r="R8" s="91">
        <v>0</v>
      </c>
      <c r="S8" s="91">
        <v>13.028070449829102</v>
      </c>
      <c r="T8" s="91">
        <v>0.04430700093507767</v>
      </c>
      <c r="U8" s="91">
        <v>0</v>
      </c>
      <c r="V8" s="91">
        <v>0</v>
      </c>
      <c r="W8" s="91">
        <v>13.339119911193848</v>
      </c>
      <c r="X8" s="91">
        <v>9.569308981826306E-15</v>
      </c>
      <c r="Y8" s="91" t="s">
        <v>82</v>
      </c>
      <c r="Z8" s="91">
        <v>-0.004918981809169054</v>
      </c>
      <c r="AA8" s="91">
        <v>13.47655963897705</v>
      </c>
      <c r="AB8" s="91">
        <v>12.948490142822266</v>
      </c>
      <c r="AC8" s="91">
        <v>-0.006510416977107525</v>
      </c>
      <c r="AD8" s="91">
        <v>13.823780059814453</v>
      </c>
      <c r="AE8" s="94"/>
      <c r="AF8" s="94"/>
      <c r="AG8" s="94"/>
      <c r="AH8" s="94"/>
      <c r="AI8" s="94"/>
      <c r="AJ8" s="94"/>
      <c r="AK8" s="94"/>
      <c r="AL8" s="91">
        <v>0</v>
      </c>
      <c r="AM8" s="95">
        <v>0</v>
      </c>
      <c r="AN8" s="96">
        <v>51.10676956176758</v>
      </c>
      <c r="AO8" s="97"/>
      <c r="AP8" s="98"/>
      <c r="AQ8" s="98">
        <v>0</v>
      </c>
      <c r="AR8" s="99">
        <v>0</v>
      </c>
    </row>
    <row r="9" spans="2:47" ht="13.5" customHeight="1" x14ac:dyDescent="0.25">
      <c r="B9" s="14">
        <v>0.95833333333333337</v>
      </c>
      <c r="C9" s="91">
        <v>1</v>
      </c>
      <c r="D9" s="91">
        <v>15.44596004486084</v>
      </c>
      <c r="E9" s="91">
        <v>419.3031921386719</v>
      </c>
      <c r="F9" s="91">
        <v>0</v>
      </c>
      <c r="G9" s="91">
        <v>0.10000000149011612</v>
      </c>
      <c r="H9" s="92">
        <v>672.8104248046875</v>
      </c>
      <c r="I9" s="93">
        <v>0</v>
      </c>
      <c r="J9" s="91">
        <v>0</v>
      </c>
      <c r="K9" s="91">
        <v>14.742480278015137</v>
      </c>
      <c r="L9" s="91">
        <v>0.000632957206107676</v>
      </c>
      <c r="M9" s="91">
        <v>12.125650405883789</v>
      </c>
      <c r="N9" s="91">
        <v>13.179980278015137</v>
      </c>
      <c r="O9" s="91">
        <v>4.139678955078125</v>
      </c>
      <c r="P9" s="91">
        <v>4.16015625</v>
      </c>
      <c r="Q9" s="91">
        <v>0</v>
      </c>
      <c r="R9" s="91">
        <v>0</v>
      </c>
      <c r="S9" s="91">
        <v>12.3191499710083</v>
      </c>
      <c r="T9" s="91">
        <v>0.044560179114341736</v>
      </c>
      <c r="U9" s="91">
        <v>0</v>
      </c>
      <c r="V9" s="91">
        <v>0</v>
      </c>
      <c r="W9" s="91">
        <v>12.528940200805664</v>
      </c>
      <c r="X9" s="91">
        <v>9.569308981826306E-15</v>
      </c>
      <c r="Y9" s="91" t="s">
        <v>82</v>
      </c>
      <c r="Z9" s="91">
        <v>-0.004918981809169054</v>
      </c>
      <c r="AA9" s="91">
        <v>12.825519561767578</v>
      </c>
      <c r="AB9" s="91">
        <v>12.326390266418457</v>
      </c>
      <c r="AC9" s="91">
        <v>-0.006474248133599758</v>
      </c>
      <c r="AD9" s="91">
        <v>13.223380088806152</v>
      </c>
      <c r="AE9" s="94"/>
      <c r="AF9" s="94"/>
      <c r="AG9" s="94"/>
      <c r="AH9" s="94"/>
      <c r="AI9" s="94"/>
      <c r="AJ9" s="94"/>
      <c r="AK9" s="94"/>
      <c r="AL9" s="91">
        <v>0</v>
      </c>
      <c r="AM9" s="95">
        <v>0</v>
      </c>
      <c r="AN9" s="96">
        <v>51.06336975097656</v>
      </c>
      <c r="AO9" s="97"/>
      <c r="AP9" s="98"/>
      <c r="AQ9" s="98">
        <v>0</v>
      </c>
      <c r="AR9" s="99">
        <v>0</v>
      </c>
    </row>
    <row r="10" spans="2:47" ht="13.5" customHeight="1" x14ac:dyDescent="0.25">
      <c r="B10" s="41" t="s">
        <v>272</v>
      </c>
      <c r="C10" s="91">
        <v>1</v>
      </c>
      <c r="D10" s="91">
        <v>15.218099594116211</v>
      </c>
      <c r="E10" s="91">
        <v>419.23809814453125</v>
      </c>
      <c r="F10" s="91">
        <v>0</v>
      </c>
      <c r="G10" s="91">
        <v>0.10000000149011612</v>
      </c>
      <c r="H10" s="92">
        <v>670.3176879882812</v>
      </c>
      <c r="I10" s="93">
        <v>0</v>
      </c>
      <c r="J10" s="91">
        <v>0</v>
      </c>
      <c r="K10" s="91">
        <v>14.272279739379883</v>
      </c>
      <c r="L10" s="91">
        <v>0.0007233797223307192</v>
      </c>
      <c r="M10" s="91">
        <v>11.930339813232422</v>
      </c>
      <c r="N10" s="91">
        <v>12.651909828186035</v>
      </c>
      <c r="O10" s="91">
        <v>4.053551197052002</v>
      </c>
      <c r="P10" s="91">
        <v>4.08984375</v>
      </c>
      <c r="Q10" s="91">
        <v>7.179600099082037E-25</v>
      </c>
      <c r="R10" s="91">
        <v>0</v>
      </c>
      <c r="S10" s="91">
        <v>11.98639965057373</v>
      </c>
      <c r="T10" s="91">
        <v>0.045446328818798065</v>
      </c>
      <c r="U10" s="91">
        <v>0</v>
      </c>
      <c r="V10" s="91">
        <v>0</v>
      </c>
      <c r="W10" s="91">
        <v>12.3191499710083</v>
      </c>
      <c r="X10" s="91">
        <v>9.569308981826306E-15</v>
      </c>
      <c r="Y10" s="91" t="s">
        <v>82</v>
      </c>
      <c r="Z10" s="91">
        <v>-0.005034721922129393</v>
      </c>
      <c r="AA10" s="91">
        <v>12.543399810791016</v>
      </c>
      <c r="AB10" s="91">
        <v>12.181710243225098</v>
      </c>
      <c r="AC10" s="91">
        <v>-0.006510416977107525</v>
      </c>
      <c r="AD10" s="91">
        <v>12.825519561767578</v>
      </c>
      <c r="AE10" s="94"/>
      <c r="AF10" s="94"/>
      <c r="AG10" s="94"/>
      <c r="AH10" s="94"/>
      <c r="AI10" s="94"/>
      <c r="AJ10" s="94"/>
      <c r="AK10" s="94"/>
      <c r="AL10" s="91">
        <v>0</v>
      </c>
      <c r="AM10" s="95">
        <v>0</v>
      </c>
      <c r="AN10" s="96">
        <v>51.04890060424805</v>
      </c>
      <c r="AO10" s="97"/>
      <c r="AP10" s="98"/>
      <c r="AQ10" s="98">
        <v>0</v>
      </c>
      <c r="AR10" s="99">
        <v>0</v>
      </c>
    </row>
    <row r="11" spans="2:47" ht="13.5" customHeight="1" x14ac:dyDescent="0.25">
      <c r="B11" s="14">
        <v>4.1666666666666664E-2</v>
      </c>
      <c r="C11" s="91">
        <v>1</v>
      </c>
      <c r="D11" s="91">
        <v>15.055339813232422</v>
      </c>
      <c r="E11" s="91">
        <v>419.43060302734375</v>
      </c>
      <c r="F11" s="91">
        <v>0</v>
      </c>
      <c r="G11" s="91">
        <v>0.10000000149011612</v>
      </c>
      <c r="H11" s="92">
        <v>668.947021484375</v>
      </c>
      <c r="I11" s="93">
        <v>0</v>
      </c>
      <c r="J11" s="91">
        <v>0</v>
      </c>
      <c r="K11" s="91">
        <v>13.95398998260498</v>
      </c>
      <c r="L11" s="91">
        <v>0.000632957206107676</v>
      </c>
      <c r="M11" s="91">
        <v>11.876090049743652</v>
      </c>
      <c r="N11" s="91">
        <v>12.413189888000488</v>
      </c>
      <c r="O11" s="91">
        <v>4.004696846008301</v>
      </c>
      <c r="P11" s="91">
        <v>4.0400390625</v>
      </c>
      <c r="Q11" s="91">
        <v>1.9523199054648207E-24</v>
      </c>
      <c r="R11" s="91">
        <v>0</v>
      </c>
      <c r="S11" s="91">
        <v>11.733220100402832</v>
      </c>
      <c r="T11" s="91">
        <v>0.04620587080717087</v>
      </c>
      <c r="U11" s="91">
        <v>0</v>
      </c>
      <c r="V11" s="91">
        <v>0</v>
      </c>
      <c r="W11" s="91">
        <v>12.008099555969238</v>
      </c>
      <c r="X11" s="91">
        <v>9.569308981826306E-15</v>
      </c>
      <c r="Y11" s="91" t="s">
        <v>82</v>
      </c>
      <c r="Z11" s="91">
        <v>-0.004918981809169054</v>
      </c>
      <c r="AA11" s="91">
        <v>12.290220260620117</v>
      </c>
      <c r="AB11" s="91">
        <v>12.044269561767578</v>
      </c>
      <c r="AC11" s="91">
        <v>-0.006510416977107525</v>
      </c>
      <c r="AD11" s="91">
        <v>12.53617000579834</v>
      </c>
      <c r="AE11" s="94"/>
      <c r="AF11" s="94"/>
      <c r="AG11" s="94"/>
      <c r="AH11" s="94"/>
      <c r="AI11" s="94"/>
      <c r="AJ11" s="94"/>
      <c r="AK11" s="94"/>
      <c r="AL11" s="91">
        <v>0</v>
      </c>
      <c r="AM11" s="95">
        <v>0</v>
      </c>
      <c r="AN11" s="96">
        <v>51.059749603271484</v>
      </c>
      <c r="AO11" s="97"/>
      <c r="AP11" s="98"/>
      <c r="AQ11" s="98">
        <v>0</v>
      </c>
      <c r="AR11" s="99">
        <v>0</v>
      </c>
    </row>
    <row r="12" spans="2:47" ht="13.5" customHeight="1" x14ac:dyDescent="0.25">
      <c r="B12" s="41" t="s">
        <v>273</v>
      </c>
      <c r="C12" s="91">
        <v>1</v>
      </c>
      <c r="D12" s="91">
        <v>15.02278995513916</v>
      </c>
      <c r="E12" s="91">
        <v>419.4631042480469</v>
      </c>
      <c r="F12" s="91">
        <v>0</v>
      </c>
      <c r="G12" s="91">
        <v>0.10000000149011612</v>
      </c>
      <c r="H12" s="92">
        <v>686.4093017578125</v>
      </c>
      <c r="I12" s="93">
        <v>0</v>
      </c>
      <c r="J12" s="91">
        <v>0</v>
      </c>
      <c r="K12" s="91">
        <v>13.68634033203125</v>
      </c>
      <c r="L12" s="91">
        <v>0.0005425346898846328</v>
      </c>
      <c r="M12" s="91">
        <v>11.84352970123291</v>
      </c>
      <c r="N12" s="91">
        <v>12.290220260620117</v>
      </c>
      <c r="O12" s="91">
        <v>3.9855639934539795</v>
      </c>
      <c r="P12" s="91">
        <v>4</v>
      </c>
      <c r="Q12" s="91">
        <v>0</v>
      </c>
      <c r="R12" s="91">
        <v>0</v>
      </c>
      <c r="S12" s="91">
        <v>11.675350189208984</v>
      </c>
      <c r="T12" s="91">
        <v>0.04721860960125923</v>
      </c>
      <c r="U12" s="91">
        <v>0</v>
      </c>
      <c r="V12" s="91">
        <v>0</v>
      </c>
      <c r="W12" s="91">
        <v>11.98639965057373</v>
      </c>
      <c r="X12" s="91">
        <v>9.569308981826306E-15</v>
      </c>
      <c r="Y12" s="91" t="s">
        <v>82</v>
      </c>
      <c r="Z12" s="91">
        <v>-0.004976851865649223</v>
      </c>
      <c r="AA12" s="91">
        <v>12.13107967376709</v>
      </c>
      <c r="AB12" s="91">
        <v>12.029800415039062</v>
      </c>
      <c r="AC12" s="91">
        <v>-0.006546585820615292</v>
      </c>
      <c r="AD12" s="91">
        <v>12.348090171813965</v>
      </c>
      <c r="AE12" s="94"/>
      <c r="AF12" s="94"/>
      <c r="AG12" s="94"/>
      <c r="AH12" s="94"/>
      <c r="AI12" s="94"/>
      <c r="AJ12" s="94"/>
      <c r="AK12" s="94"/>
      <c r="AL12" s="91">
        <v>0</v>
      </c>
      <c r="AM12" s="95">
        <v>0</v>
      </c>
      <c r="AN12" s="96">
        <v>51.088680267333984</v>
      </c>
      <c r="AO12" s="97"/>
      <c r="AP12" s="98"/>
      <c r="AQ12" s="98">
        <v>0</v>
      </c>
      <c r="AR12" s="99">
        <v>0</v>
      </c>
    </row>
    <row r="13" spans="2:47" ht="13.5" customHeight="1" x14ac:dyDescent="0.25">
      <c r="B13" s="14">
        <v>0.125</v>
      </c>
      <c r="C13" s="91">
        <v>1</v>
      </c>
      <c r="D13" s="91">
        <v>14.995659828186035</v>
      </c>
      <c r="E13" s="91">
        <v>419.5860900878906</v>
      </c>
      <c r="F13" s="91">
        <v>0</v>
      </c>
      <c r="G13" s="91">
        <v>0.10000000149011612</v>
      </c>
      <c r="H13" s="92">
        <v>717.653076171875</v>
      </c>
      <c r="I13" s="93">
        <v>0</v>
      </c>
      <c r="J13" s="91">
        <v>0</v>
      </c>
      <c r="K13" s="91">
        <v>13.433159828186035</v>
      </c>
      <c r="L13" s="91">
        <v>0.000632957206107676</v>
      </c>
      <c r="M13" s="91">
        <v>11.84352970123291</v>
      </c>
      <c r="N13" s="91">
        <v>12.167240142822266</v>
      </c>
      <c r="O13" s="91">
        <v>3.986582040786743</v>
      </c>
      <c r="P13" s="91">
        <v>3.9697265625</v>
      </c>
      <c r="Q13" s="91">
        <v>0</v>
      </c>
      <c r="R13" s="91">
        <v>0</v>
      </c>
      <c r="S13" s="91">
        <v>11.545140266418457</v>
      </c>
      <c r="T13" s="91">
        <v>0.04810474067926407</v>
      </c>
      <c r="U13" s="91">
        <v>0</v>
      </c>
      <c r="V13" s="91">
        <v>0</v>
      </c>
      <c r="W13" s="91">
        <v>11.921299934387207</v>
      </c>
      <c r="X13" s="91">
        <v>9.569308981826306E-15</v>
      </c>
      <c r="Y13" s="91" t="s">
        <v>82</v>
      </c>
      <c r="Z13" s="91">
        <v>-0.004976851865649223</v>
      </c>
      <c r="AA13" s="91">
        <v>12.000869750976562</v>
      </c>
      <c r="AB13" s="91">
        <v>11.98639965057373</v>
      </c>
      <c r="AC13" s="91">
        <v>-0.006546585820615292</v>
      </c>
      <c r="AD13" s="91">
        <v>12.210650444030762</v>
      </c>
      <c r="AE13" s="94"/>
      <c r="AF13" s="94"/>
      <c r="AG13" s="94"/>
      <c r="AH13" s="94"/>
      <c r="AI13" s="94"/>
      <c r="AJ13" s="94"/>
      <c r="AK13" s="94"/>
      <c r="AL13" s="91">
        <v>0</v>
      </c>
      <c r="AM13" s="95">
        <v>0</v>
      </c>
      <c r="AN13" s="96">
        <v>51.088680267333984</v>
      </c>
      <c r="AO13" s="97"/>
      <c r="AP13" s="98"/>
      <c r="AQ13" s="98">
        <v>0</v>
      </c>
      <c r="AR13" s="99">
        <v>0</v>
      </c>
    </row>
    <row r="14" spans="2:47" ht="13.5" customHeight="1" x14ac:dyDescent="0.25">
      <c r="B14" s="14">
        <v>0.16666666666666666</v>
      </c>
      <c r="C14" s="91">
        <v>1</v>
      </c>
      <c r="D14" s="91">
        <v>14.751520156860352</v>
      </c>
      <c r="E14" s="91">
        <v>419.53131103515625</v>
      </c>
      <c r="F14" s="91">
        <v>0</v>
      </c>
      <c r="G14" s="91">
        <v>0.10000000149011612</v>
      </c>
      <c r="H14" s="92">
        <v>685.7537841796875</v>
      </c>
      <c r="I14" s="93">
        <v>0</v>
      </c>
      <c r="J14" s="91">
        <v>0</v>
      </c>
      <c r="K14" s="91">
        <v>13.24507999420166</v>
      </c>
      <c r="L14" s="91">
        <v>0.000632957206107676</v>
      </c>
      <c r="M14" s="91">
        <v>11.821829795837402</v>
      </c>
      <c r="N14" s="91">
        <v>12.13107967376709</v>
      </c>
      <c r="O14" s="91">
        <v>3.9207470417022705</v>
      </c>
      <c r="P14" s="91">
        <v>3.970703125</v>
      </c>
      <c r="Q14" s="91">
        <v>2.090916061194458E-24</v>
      </c>
      <c r="R14" s="91">
        <v>0</v>
      </c>
      <c r="S14" s="91">
        <v>11.48727035522461</v>
      </c>
      <c r="T14" s="91">
        <v>0.04924406856298447</v>
      </c>
      <c r="U14" s="91">
        <v>0</v>
      </c>
      <c r="V14" s="91">
        <v>0</v>
      </c>
      <c r="W14" s="91">
        <v>11.921299934387207</v>
      </c>
      <c r="X14" s="91">
        <v>9.569308981826306E-15</v>
      </c>
      <c r="Y14" s="91" t="s">
        <v>82</v>
      </c>
      <c r="Z14" s="91">
        <v>-0.004976851865649223</v>
      </c>
      <c r="AA14" s="91">
        <v>11.892359733581543</v>
      </c>
      <c r="AB14" s="91">
        <v>11.935759544372559</v>
      </c>
      <c r="AC14" s="91">
        <v>-0.006546585820615292</v>
      </c>
      <c r="AD14" s="91">
        <v>12.12384033203125</v>
      </c>
      <c r="AE14" s="94"/>
      <c r="AF14" s="94"/>
      <c r="AG14" s="94"/>
      <c r="AH14" s="94"/>
      <c r="AI14" s="94"/>
      <c r="AJ14" s="94"/>
      <c r="AK14" s="94"/>
      <c r="AL14" s="91">
        <v>0</v>
      </c>
      <c r="AM14" s="95">
        <v>0</v>
      </c>
      <c r="AN14" s="96">
        <v>51.088680267333984</v>
      </c>
      <c r="AO14" s="97"/>
      <c r="AP14" s="98"/>
      <c r="AQ14" s="98">
        <v>0</v>
      </c>
      <c r="AR14" s="99">
        <v>0</v>
      </c>
    </row>
    <row r="15" spans="2:47" ht="13.5" customHeight="1" x14ac:dyDescent="0.25">
      <c r="B15" s="14">
        <v>0.20833333333333334</v>
      </c>
      <c r="C15" s="91">
        <v>1</v>
      </c>
      <c r="D15" s="91">
        <v>15.310330390930176</v>
      </c>
      <c r="E15" s="91">
        <v>419.6752014160156</v>
      </c>
      <c r="F15" s="91">
        <v>0</v>
      </c>
      <c r="G15" s="91">
        <v>0.10000000149011612</v>
      </c>
      <c r="H15" s="92">
        <v>654.6688842773438</v>
      </c>
      <c r="I15" s="93">
        <v>0</v>
      </c>
      <c r="J15" s="91">
        <v>0</v>
      </c>
      <c r="K15" s="91">
        <v>13.057000160217285</v>
      </c>
      <c r="L15" s="91">
        <v>0.0005425346898846328</v>
      </c>
      <c r="M15" s="91">
        <v>11.366100311279297</v>
      </c>
      <c r="N15" s="91">
        <v>11.95022964477539</v>
      </c>
      <c r="O15" s="91">
        <v>3.8846209049224854</v>
      </c>
      <c r="P15" s="91">
        <v>3.94921875</v>
      </c>
      <c r="Q15" s="91">
        <v>4.8383759409362015E-17</v>
      </c>
      <c r="R15" s="91">
        <v>0</v>
      </c>
      <c r="S15" s="91">
        <v>11.234089851379395</v>
      </c>
      <c r="T15" s="91">
        <v>0.05000361055135727</v>
      </c>
      <c r="U15" s="91">
        <v>0</v>
      </c>
      <c r="V15" s="91">
        <v>0</v>
      </c>
      <c r="W15" s="91">
        <v>11.516200065612793</v>
      </c>
      <c r="X15" s="91">
        <v>9.569308981826306E-15</v>
      </c>
      <c r="Y15" s="91" t="s">
        <v>82</v>
      </c>
      <c r="Z15" s="91">
        <v>-0.004976851865649223</v>
      </c>
      <c r="AA15" s="91">
        <v>11.617480278015137</v>
      </c>
      <c r="AB15" s="91">
        <v>11.595780372619629</v>
      </c>
      <c r="AC15" s="91">
        <v>-0.006546585820615292</v>
      </c>
      <c r="AD15" s="91">
        <v>11.935759544372559</v>
      </c>
      <c r="AE15" s="94"/>
      <c r="AF15" s="94"/>
      <c r="AG15" s="94"/>
      <c r="AH15" s="94"/>
      <c r="AI15" s="94"/>
      <c r="AJ15" s="94"/>
      <c r="AK15" s="94"/>
      <c r="AL15" s="91">
        <v>0</v>
      </c>
      <c r="AM15" s="95">
        <v>0</v>
      </c>
      <c r="AN15" s="96">
        <v>51.081451416015625</v>
      </c>
      <c r="AO15" s="97"/>
      <c r="AP15" s="98"/>
      <c r="AQ15" s="98">
        <v>0</v>
      </c>
      <c r="AR15" s="99">
        <v>0</v>
      </c>
    </row>
    <row r="16" spans="2:47" ht="13.5" customHeight="1" x14ac:dyDescent="0.25">
      <c r="B16" s="14">
        <v>0.25</v>
      </c>
      <c r="C16" s="91">
        <v>1</v>
      </c>
      <c r="D16" s="91">
        <v>14.89799976348877</v>
      </c>
      <c r="E16" s="91">
        <v>419.5351867675781</v>
      </c>
      <c r="F16" s="91">
        <v>0</v>
      </c>
      <c r="G16" s="91">
        <v>0.10000000149011612</v>
      </c>
      <c r="H16" s="92">
        <v>660.7786865234375</v>
      </c>
      <c r="I16" s="93">
        <v>0</v>
      </c>
      <c r="J16" s="91">
        <v>0</v>
      </c>
      <c r="K16" s="91">
        <v>12.83998966217041</v>
      </c>
      <c r="L16" s="91">
        <v>0.00045211229007691145</v>
      </c>
      <c r="M16" s="91">
        <v>11.246749877929688</v>
      </c>
      <c r="N16" s="91">
        <v>11.762149810791016</v>
      </c>
      <c r="O16" s="91">
        <v>3.9043989181518555</v>
      </c>
      <c r="P16" s="91">
        <v>3.919921875</v>
      </c>
      <c r="Q16" s="91">
        <v>0</v>
      </c>
      <c r="R16" s="91">
        <v>0</v>
      </c>
      <c r="S16" s="91">
        <v>11.08218002319336</v>
      </c>
      <c r="T16" s="91">
        <v>0.05114293843507767</v>
      </c>
      <c r="U16" s="91">
        <v>0</v>
      </c>
      <c r="V16" s="91">
        <v>0</v>
      </c>
      <c r="W16" s="91">
        <v>11.364290237426758</v>
      </c>
      <c r="X16" s="91">
        <v>9.569308981826306E-15</v>
      </c>
      <c r="Y16" s="91" t="s">
        <v>82</v>
      </c>
      <c r="Z16" s="91">
        <v>-0.004976851865649223</v>
      </c>
      <c r="AA16" s="91">
        <v>11.494500160217285</v>
      </c>
      <c r="AB16" s="91">
        <v>11.465570449829102</v>
      </c>
      <c r="AC16" s="91">
        <v>-0.006510416977107525</v>
      </c>
      <c r="AD16" s="91">
        <v>11.762149810791016</v>
      </c>
      <c r="AE16" s="94"/>
      <c r="AF16" s="94"/>
      <c r="AG16" s="94"/>
      <c r="AH16" s="94"/>
      <c r="AI16" s="94"/>
      <c r="AJ16" s="94"/>
      <c r="AK16" s="94"/>
      <c r="AL16" s="91">
        <v>0</v>
      </c>
      <c r="AM16" s="95">
        <v>0</v>
      </c>
      <c r="AN16" s="96">
        <v>51.09230041503906</v>
      </c>
      <c r="AO16" s="97"/>
      <c r="AP16" s="98"/>
      <c r="AQ16" s="98">
        <v>0</v>
      </c>
      <c r="AR16" s="99">
        <v>0</v>
      </c>
    </row>
    <row r="17" spans="2:44" ht="13.5" customHeight="1" x14ac:dyDescent="0.25">
      <c r="B17" s="14">
        <v>0.29166666666666669</v>
      </c>
      <c r="C17" s="91">
        <v>1</v>
      </c>
      <c r="D17" s="91">
        <v>15.44596004486084</v>
      </c>
      <c r="E17" s="91">
        <v>419.87548828125</v>
      </c>
      <c r="F17" s="91">
        <v>0</v>
      </c>
      <c r="G17" s="91">
        <v>0.10000390559434891</v>
      </c>
      <c r="H17" s="92">
        <v>646.9188842773438</v>
      </c>
      <c r="I17" s="93">
        <v>0</v>
      </c>
      <c r="J17" s="91">
        <v>0</v>
      </c>
      <c r="K17" s="91">
        <v>12.601269721984863</v>
      </c>
      <c r="L17" s="91">
        <v>0.0005425346898846328</v>
      </c>
      <c r="M17" s="91">
        <v>11.105690002441406</v>
      </c>
      <c r="N17" s="91">
        <v>11.508970260620117</v>
      </c>
      <c r="O17" s="91">
        <v>3.8653500080108643</v>
      </c>
      <c r="P17" s="91">
        <v>3.890625</v>
      </c>
      <c r="Q17" s="91">
        <v>0</v>
      </c>
      <c r="R17" s="91">
        <v>0</v>
      </c>
      <c r="S17" s="91">
        <v>10.749420166015625</v>
      </c>
      <c r="T17" s="91">
        <v>0.0520290806889534</v>
      </c>
      <c r="U17" s="91">
        <v>0</v>
      </c>
      <c r="V17" s="91">
        <v>0</v>
      </c>
      <c r="W17" s="91">
        <v>11.140049934387207</v>
      </c>
      <c r="X17" s="91">
        <v>9.569308981826306E-15</v>
      </c>
      <c r="Y17" s="91" t="s">
        <v>82</v>
      </c>
      <c r="Z17" s="91">
        <v>-0.004976851865649223</v>
      </c>
      <c r="AA17" s="91">
        <v>11.226849555969238</v>
      </c>
      <c r="AB17" s="91">
        <v>11.219619750976562</v>
      </c>
      <c r="AC17" s="91">
        <v>-0.006510416977107525</v>
      </c>
      <c r="AD17" s="91">
        <v>11.508970260620117</v>
      </c>
      <c r="AE17" s="94"/>
      <c r="AF17" s="94"/>
      <c r="AG17" s="94"/>
      <c r="AH17" s="94"/>
      <c r="AI17" s="94"/>
      <c r="AJ17" s="94"/>
      <c r="AK17" s="94"/>
      <c r="AL17" s="91">
        <v>0</v>
      </c>
      <c r="AM17" s="95">
        <v>0</v>
      </c>
      <c r="AN17" s="96">
        <v>51.09592056274414</v>
      </c>
      <c r="AO17" s="97"/>
      <c r="AP17" s="98"/>
      <c r="AQ17" s="98">
        <v>0</v>
      </c>
      <c r="AR17" s="99">
        <v>0</v>
      </c>
    </row>
    <row r="18" spans="2:44" ht="13.5" customHeight="1" x14ac:dyDescent="0.25">
      <c r="B18" s="42">
        <v>0.33333333333333331</v>
      </c>
      <c r="C18" s="100">
        <v>1</v>
      </c>
      <c r="D18" s="100">
        <v>14.675559997558594</v>
      </c>
      <c r="E18" s="100">
        <v>419.739990234375</v>
      </c>
      <c r="F18" s="100">
        <v>0</v>
      </c>
      <c r="G18" s="100">
        <v>0.10000000149011612</v>
      </c>
      <c r="H18" s="101">
        <v>673.4898071289062</v>
      </c>
      <c r="I18" s="102">
        <v>0</v>
      </c>
      <c r="J18" s="100">
        <v>0</v>
      </c>
      <c r="K18" s="100">
        <v>12.442130088806152</v>
      </c>
      <c r="L18" s="100">
        <v>0.00045211229007691145</v>
      </c>
      <c r="M18" s="100">
        <v>10.677080154418945</v>
      </c>
      <c r="N18" s="100">
        <v>11.34982967376709</v>
      </c>
      <c r="O18" s="100">
        <v>3.824047088623047</v>
      </c>
      <c r="P18" s="100">
        <v>3.849609375</v>
      </c>
      <c r="Q18" s="100">
        <v>0</v>
      </c>
      <c r="R18" s="100">
        <v>0</v>
      </c>
      <c r="S18" s="100">
        <v>10.619210243225098</v>
      </c>
      <c r="T18" s="100">
        <v>0.0527886301279068</v>
      </c>
      <c r="U18" s="100">
        <v>0</v>
      </c>
      <c r="V18" s="100">
        <v>0</v>
      </c>
      <c r="W18" s="100">
        <v>11.024310111999512</v>
      </c>
      <c r="X18" s="100">
        <v>9.569308981826306E-15</v>
      </c>
      <c r="Y18" s="100">
        <v>0.5493236780166626</v>
      </c>
      <c r="Z18" s="100">
        <v>-0.00486111082136631</v>
      </c>
      <c r="AA18" s="100">
        <v>11.002599716186523</v>
      </c>
      <c r="AB18" s="100">
        <v>10.908559799194336</v>
      </c>
      <c r="AC18" s="100">
        <v>-0.006546585820615292</v>
      </c>
      <c r="AD18" s="100">
        <v>11.328129768371582</v>
      </c>
      <c r="AE18" s="103"/>
      <c r="AF18" s="103"/>
      <c r="AG18" s="103"/>
      <c r="AH18" s="103"/>
      <c r="AI18" s="103"/>
      <c r="AJ18" s="103"/>
      <c r="AK18" s="103"/>
      <c r="AL18" s="100">
        <v>0</v>
      </c>
      <c r="AM18" s="104">
        <v>0</v>
      </c>
      <c r="AN18" s="105">
        <v>51.07783889770508</v>
      </c>
      <c r="AO18" s="97"/>
      <c r="AP18" s="98"/>
      <c r="AQ18" s="98">
        <v>0</v>
      </c>
      <c r="AR18" s="106">
        <v>0</v>
      </c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91">
        <v>-0.506370484828949</v>
      </c>
      <c r="D22" s="91">
        <v>-0.1953125</v>
      </c>
      <c r="E22" s="91">
        <v>4.007523059844971</v>
      </c>
      <c r="F22" s="91">
        <v>0</v>
      </c>
      <c r="G22" s="91"/>
      <c r="H22" s="91"/>
      <c r="I22" s="91"/>
      <c r="J22" s="91"/>
      <c r="K22" s="91"/>
      <c r="L22" s="92"/>
      <c r="M22" s="107">
        <v>70</v>
      </c>
      <c r="N22" s="91">
        <v>20.507810592651367</v>
      </c>
      <c r="O22" s="91">
        <v>0</v>
      </c>
      <c r="P22" s="91">
        <v>0</v>
      </c>
      <c r="Q22" s="91">
        <v>3</v>
      </c>
      <c r="R22" s="91">
        <v>16.948780059814453</v>
      </c>
      <c r="S22" s="108">
        <v>69.46614837646484</v>
      </c>
      <c r="T22" s="108">
        <v>30.5</v>
      </c>
      <c r="U22" s="108">
        <v>0.4148581922054291</v>
      </c>
      <c r="V22" s="108">
        <v>52.837459564208984</v>
      </c>
      <c r="W22" s="108">
        <v>18.023000717163086</v>
      </c>
      <c r="X22" s="108">
        <v>34</v>
      </c>
      <c r="Y22" s="108">
        <v>49.569950103759766</v>
      </c>
      <c r="Z22" s="108">
        <v>16.17837905883789</v>
      </c>
      <c r="AA22" s="108">
        <v>22.911239624023438</v>
      </c>
      <c r="AB22" s="108"/>
      <c r="AC22" s="95"/>
      <c r="AD22" s="95">
        <v>0</v>
      </c>
      <c r="AE22" s="95"/>
      <c r="AF22" s="95"/>
      <c r="AG22" s="95">
        <v>0.11574070155620575</v>
      </c>
      <c r="AH22" s="95"/>
      <c r="AI22" s="109"/>
      <c r="AJ22" s="109"/>
      <c r="AK22" s="109"/>
      <c r="AL22" s="109"/>
      <c r="AM22" s="109"/>
      <c r="AN22" s="95">
        <v>39.75693893432617</v>
      </c>
      <c r="AO22" s="96">
        <v>55</v>
      </c>
      <c r="AP22" s="97">
        <v>15.227140426635742</v>
      </c>
      <c r="AQ22" s="98">
        <v>40.07522964477539</v>
      </c>
      <c r="AR22" s="99">
        <v>-0.02169799990952015</v>
      </c>
    </row>
    <row r="23" spans="2:44" ht="13.5" customHeight="1" x14ac:dyDescent="0.25">
      <c r="B23" s="14">
        <v>0.875</v>
      </c>
      <c r="C23" s="91">
        <v>-0.3978576958179474</v>
      </c>
      <c r="D23" s="91">
        <v>-0.2025451958179474</v>
      </c>
      <c r="E23" s="91">
        <v>3.559027910232544</v>
      </c>
      <c r="F23" s="91">
        <v>0</v>
      </c>
      <c r="G23" s="91">
        <v>7.629394893626795E-09</v>
      </c>
      <c r="H23" s="91"/>
      <c r="I23" s="91"/>
      <c r="J23" s="91"/>
      <c r="K23" s="91"/>
      <c r="L23" s="92"/>
      <c r="M23" s="107">
        <v>70</v>
      </c>
      <c r="N23" s="91">
        <v>20.308879852294922</v>
      </c>
      <c r="O23" s="91">
        <v>0</v>
      </c>
      <c r="P23" s="91">
        <v>0</v>
      </c>
      <c r="Q23" s="91">
        <v>3</v>
      </c>
      <c r="R23" s="91">
        <v>16.94516944885254</v>
      </c>
      <c r="S23" s="108">
        <v>69.4516830444336</v>
      </c>
      <c r="T23" s="108">
        <v>30.5</v>
      </c>
      <c r="U23" s="108">
        <v>0.4148581922054291</v>
      </c>
      <c r="V23" s="108">
        <v>52.837459564208984</v>
      </c>
      <c r="W23" s="108">
        <v>17.496749877929688</v>
      </c>
      <c r="X23" s="108">
        <v>34</v>
      </c>
      <c r="Y23" s="108">
        <v>49.569950103759766</v>
      </c>
      <c r="Z23" s="108">
        <v>16.14221954345703</v>
      </c>
      <c r="AA23" s="108">
        <v>21.511499404907227</v>
      </c>
      <c r="AB23" s="108"/>
      <c r="AC23" s="95"/>
      <c r="AD23" s="95">
        <v>0</v>
      </c>
      <c r="AE23" s="95">
        <v>0</v>
      </c>
      <c r="AF23" s="95"/>
      <c r="AG23" s="95">
        <v>0.6835938096046448</v>
      </c>
      <c r="AH23" s="95"/>
      <c r="AI23" s="109"/>
      <c r="AJ23" s="109"/>
      <c r="AK23" s="109"/>
      <c r="AL23" s="109"/>
      <c r="AM23" s="109"/>
      <c r="AN23" s="95">
        <v>39.076969146728516</v>
      </c>
      <c r="AO23" s="96">
        <v>55</v>
      </c>
      <c r="AP23" s="97">
        <v>15.190970420837402</v>
      </c>
      <c r="AQ23" s="98">
        <v>39.861839294433594</v>
      </c>
      <c r="AR23" s="99">
        <v>-0.02169799990952015</v>
      </c>
    </row>
    <row r="24" spans="2:44" ht="13.5" customHeight="1" x14ac:dyDescent="0.25">
      <c r="B24" s="41" t="s">
        <v>271</v>
      </c>
      <c r="C24" s="91">
        <v>-0.31829071044921875</v>
      </c>
      <c r="D24" s="91">
        <v>-0.21701809763908386</v>
      </c>
      <c r="E24" s="91">
        <v>2.7813949584960938</v>
      </c>
      <c r="F24" s="91">
        <v>0</v>
      </c>
      <c r="G24" s="91">
        <v>4.577636758540393E-08</v>
      </c>
      <c r="H24" s="91"/>
      <c r="I24" s="91"/>
      <c r="J24" s="91"/>
      <c r="K24" s="91"/>
      <c r="L24" s="92"/>
      <c r="M24" s="107">
        <v>70</v>
      </c>
      <c r="N24" s="91">
        <v>19.892940521240234</v>
      </c>
      <c r="O24" s="91">
        <v>0</v>
      </c>
      <c r="P24" s="91">
        <v>0</v>
      </c>
      <c r="Q24" s="91">
        <v>3</v>
      </c>
      <c r="R24" s="91">
        <v>16.948780059814453</v>
      </c>
      <c r="S24" s="108">
        <v>69.44444274902344</v>
      </c>
      <c r="T24" s="108">
        <v>30.5</v>
      </c>
      <c r="U24" s="108">
        <v>0.4148581922054291</v>
      </c>
      <c r="V24" s="108">
        <v>52.837459564208984</v>
      </c>
      <c r="W24" s="108">
        <v>16.959640502929688</v>
      </c>
      <c r="X24" s="108">
        <v>34</v>
      </c>
      <c r="Y24" s="108">
        <v>49.569950103759766</v>
      </c>
      <c r="Z24" s="108">
        <v>16.01923942565918</v>
      </c>
      <c r="AA24" s="108">
        <v>20.355899810791016</v>
      </c>
      <c r="AB24" s="108"/>
      <c r="AC24" s="95"/>
      <c r="AD24" s="95">
        <v>0</v>
      </c>
      <c r="AE24" s="95">
        <v>0</v>
      </c>
      <c r="AF24" s="95"/>
      <c r="AG24" s="95">
        <v>1.074218988418579</v>
      </c>
      <c r="AH24" s="95"/>
      <c r="AI24" s="109"/>
      <c r="AJ24" s="109"/>
      <c r="AK24" s="109"/>
      <c r="AL24" s="109"/>
      <c r="AM24" s="109"/>
      <c r="AN24" s="95">
        <v>38.245079040527344</v>
      </c>
      <c r="AO24" s="96">
        <v>55</v>
      </c>
      <c r="AP24" s="97">
        <v>14.964920043945312</v>
      </c>
      <c r="AQ24" s="98">
        <v>40.263309478759766</v>
      </c>
      <c r="AR24" s="99">
        <v>-0.010848999954760075</v>
      </c>
    </row>
    <row r="25" spans="2:44" ht="13.5" customHeight="1" x14ac:dyDescent="0.25">
      <c r="B25" s="14">
        <v>0.95833333333333337</v>
      </c>
      <c r="C25" s="91">
        <v>-0.2748871147632599</v>
      </c>
      <c r="D25" s="91">
        <v>-0.20978550612926483</v>
      </c>
      <c r="E25" s="91">
        <v>1.1971930265426636</v>
      </c>
      <c r="F25" s="91">
        <v>0</v>
      </c>
      <c r="G25" s="91">
        <v>4.577636758540393E-08</v>
      </c>
      <c r="H25" s="91"/>
      <c r="I25" s="91"/>
      <c r="J25" s="91"/>
      <c r="K25" s="91"/>
      <c r="L25" s="92"/>
      <c r="M25" s="107">
        <v>70</v>
      </c>
      <c r="N25" s="91">
        <v>19.249130249023438</v>
      </c>
      <c r="O25" s="91">
        <v>0</v>
      </c>
      <c r="P25" s="91">
        <v>0</v>
      </c>
      <c r="Q25" s="91">
        <v>3</v>
      </c>
      <c r="R25" s="91">
        <v>16.95602035522461</v>
      </c>
      <c r="S25" s="108">
        <v>69.40827178955078</v>
      </c>
      <c r="T25" s="108">
        <v>30.5</v>
      </c>
      <c r="U25" s="108">
        <v>0.4148581922054291</v>
      </c>
      <c r="V25" s="108">
        <v>52.837459564208984</v>
      </c>
      <c r="W25" s="108">
        <v>16.151260375976562</v>
      </c>
      <c r="X25" s="108">
        <v>34</v>
      </c>
      <c r="Y25" s="108">
        <v>49.569950103759766</v>
      </c>
      <c r="Z25" s="108">
        <v>15.796799659729004</v>
      </c>
      <c r="AA25" s="108">
        <v>18.967010498046875</v>
      </c>
      <c r="AB25" s="108"/>
      <c r="AC25" s="95"/>
      <c r="AD25" s="95">
        <v>0</v>
      </c>
      <c r="AE25" s="95">
        <v>0</v>
      </c>
      <c r="AF25" s="95"/>
      <c r="AG25" s="95">
        <v>1.283998966217041</v>
      </c>
      <c r="AH25" s="95"/>
      <c r="AI25" s="109"/>
      <c r="AJ25" s="109"/>
      <c r="AK25" s="109"/>
      <c r="AL25" s="109"/>
      <c r="AM25" s="109"/>
      <c r="AN25" s="95">
        <v>37.369789123535156</v>
      </c>
      <c r="AO25" s="96">
        <v>55</v>
      </c>
      <c r="AP25" s="97">
        <v>14.2777099609375</v>
      </c>
      <c r="AQ25" s="98">
        <v>39.99203872680664</v>
      </c>
      <c r="AR25" s="99">
        <v>-0.010848999954760075</v>
      </c>
    </row>
    <row r="26" spans="2:44" ht="13.5" customHeight="1" x14ac:dyDescent="0.25">
      <c r="B26" s="41" t="s">
        <v>272</v>
      </c>
      <c r="C26" s="91">
        <v>-0.23871609568595886</v>
      </c>
      <c r="D26" s="91">
        <v>-0.23148350417613983</v>
      </c>
      <c r="E26" s="91">
        <v>1.0235819816589355</v>
      </c>
      <c r="F26" s="91">
        <v>0</v>
      </c>
      <c r="G26" s="91">
        <v>3.051757957450718E-08</v>
      </c>
      <c r="H26" s="91"/>
      <c r="I26" s="91"/>
      <c r="J26" s="91"/>
      <c r="K26" s="91"/>
      <c r="L26" s="92"/>
      <c r="M26" s="107">
        <v>70</v>
      </c>
      <c r="N26" s="91">
        <v>18.81148910522461</v>
      </c>
      <c r="O26" s="91">
        <v>0</v>
      </c>
      <c r="P26" s="91">
        <v>0</v>
      </c>
      <c r="Q26" s="91">
        <v>3</v>
      </c>
      <c r="R26" s="91">
        <v>16.95602035522461</v>
      </c>
      <c r="S26" s="108">
        <v>69.39742279052734</v>
      </c>
      <c r="T26" s="108">
        <v>30.5</v>
      </c>
      <c r="U26" s="108">
        <v>0.4148581922054291</v>
      </c>
      <c r="V26" s="108">
        <v>52.837459564208984</v>
      </c>
      <c r="W26" s="108">
        <v>15.587019920349121</v>
      </c>
      <c r="X26" s="108">
        <v>34</v>
      </c>
      <c r="Y26" s="108">
        <v>49.569950103759766</v>
      </c>
      <c r="Z26" s="108">
        <v>15.639470100402832</v>
      </c>
      <c r="AA26" s="108">
        <v>17.963329315185547</v>
      </c>
      <c r="AB26" s="108"/>
      <c r="AC26" s="95"/>
      <c r="AD26" s="95">
        <v>0</v>
      </c>
      <c r="AE26" s="95">
        <v>0</v>
      </c>
      <c r="AF26" s="95"/>
      <c r="AG26" s="95">
        <v>1.4539929628372192</v>
      </c>
      <c r="AH26" s="95"/>
      <c r="AI26" s="109"/>
      <c r="AJ26" s="109"/>
      <c r="AK26" s="109"/>
      <c r="AL26" s="109"/>
      <c r="AM26" s="109"/>
      <c r="AN26" s="95">
        <v>36.66810989379883</v>
      </c>
      <c r="AO26" s="96">
        <v>55</v>
      </c>
      <c r="AP26" s="97">
        <v>14.105899810791016</v>
      </c>
      <c r="AQ26" s="98">
        <v>39.95949172973633</v>
      </c>
      <c r="AR26" s="99">
        <v>-0.0325470007956028</v>
      </c>
    </row>
    <row r="27" spans="2:44" ht="13.5" customHeight="1" x14ac:dyDescent="0.25">
      <c r="B27" s="14">
        <v>4.1666666666666664E-2</v>
      </c>
      <c r="C27" s="91">
        <v>-0.1953125</v>
      </c>
      <c r="D27" s="91">
        <v>-0.21701809763908386</v>
      </c>
      <c r="E27" s="91">
        <v>0.5135995149612427</v>
      </c>
      <c r="F27" s="91">
        <v>0</v>
      </c>
      <c r="G27" s="91">
        <v>3.051757957450718E-08</v>
      </c>
      <c r="H27" s="91"/>
      <c r="I27" s="91"/>
      <c r="J27" s="91"/>
      <c r="K27" s="91"/>
      <c r="L27" s="92"/>
      <c r="M27" s="107">
        <v>70</v>
      </c>
      <c r="N27" s="91">
        <v>18.395540237426758</v>
      </c>
      <c r="O27" s="91">
        <v>0</v>
      </c>
      <c r="P27" s="91">
        <v>0</v>
      </c>
      <c r="Q27" s="91">
        <v>3</v>
      </c>
      <c r="R27" s="91">
        <v>16.937929153442383</v>
      </c>
      <c r="S27" s="108">
        <v>69.39019012451172</v>
      </c>
      <c r="T27" s="108">
        <v>30.5</v>
      </c>
      <c r="U27" s="108">
        <v>0.4148581922054291</v>
      </c>
      <c r="V27" s="108">
        <v>52.837459564208984</v>
      </c>
      <c r="W27" s="108">
        <v>15.087889671325684</v>
      </c>
      <c r="X27" s="108">
        <v>34</v>
      </c>
      <c r="Y27" s="108">
        <v>49.569950103759766</v>
      </c>
      <c r="Z27" s="108">
        <v>15.4097900390625</v>
      </c>
      <c r="AA27" s="108">
        <v>17.154949188232422</v>
      </c>
      <c r="AB27" s="108"/>
      <c r="AC27" s="95"/>
      <c r="AD27" s="95">
        <v>0</v>
      </c>
      <c r="AE27" s="95">
        <v>0</v>
      </c>
      <c r="AF27" s="95"/>
      <c r="AG27" s="95">
        <v>1.54441499710083</v>
      </c>
      <c r="AH27" s="95"/>
      <c r="AI27" s="109"/>
      <c r="AJ27" s="109"/>
      <c r="AK27" s="109"/>
      <c r="AL27" s="109"/>
      <c r="AM27" s="109"/>
      <c r="AN27" s="95">
        <v>35.91579818725586</v>
      </c>
      <c r="AO27" s="96">
        <v>55</v>
      </c>
      <c r="AP27" s="97">
        <v>13.825590133666992</v>
      </c>
      <c r="AQ27" s="98">
        <v>40.09693145751953</v>
      </c>
      <c r="AR27" s="99">
        <v>-0.0325470007956028</v>
      </c>
    </row>
    <row r="28" spans="2:44" ht="13.5" customHeight="1" x14ac:dyDescent="0.25">
      <c r="B28" s="41" t="s">
        <v>273</v>
      </c>
      <c r="C28" s="91">
        <v>-0.24594880640506744</v>
      </c>
      <c r="D28" s="91">
        <v>-0.23148350417613983</v>
      </c>
      <c r="E28" s="91">
        <v>0.44849538803100586</v>
      </c>
      <c r="F28" s="91">
        <v>0</v>
      </c>
      <c r="G28" s="91">
        <v>2.2888183792701966E-08</v>
      </c>
      <c r="H28" s="91"/>
      <c r="I28" s="91"/>
      <c r="J28" s="91"/>
      <c r="K28" s="91"/>
      <c r="L28" s="92"/>
      <c r="M28" s="107">
        <v>70</v>
      </c>
      <c r="N28" s="91">
        <v>18.012149810791016</v>
      </c>
      <c r="O28" s="91">
        <v>0</v>
      </c>
      <c r="P28" s="91">
        <v>0</v>
      </c>
      <c r="Q28" s="91">
        <v>3</v>
      </c>
      <c r="R28" s="91">
        <v>16.95240020751953</v>
      </c>
      <c r="S28" s="108">
        <v>69.37210845947266</v>
      </c>
      <c r="T28" s="108">
        <v>30.5</v>
      </c>
      <c r="U28" s="108">
        <v>0.4148581922054291</v>
      </c>
      <c r="V28" s="108">
        <v>52.837459564208984</v>
      </c>
      <c r="W28" s="108">
        <v>14.621310234069824</v>
      </c>
      <c r="X28" s="108">
        <v>34</v>
      </c>
      <c r="Y28" s="108">
        <v>49.569950103759766</v>
      </c>
      <c r="Z28" s="108">
        <v>15.167460441589355</v>
      </c>
      <c r="AA28" s="108">
        <v>16.427949905395508</v>
      </c>
      <c r="AB28" s="108"/>
      <c r="AC28" s="95"/>
      <c r="AD28" s="95">
        <v>0</v>
      </c>
      <c r="AE28" s="95">
        <v>0</v>
      </c>
      <c r="AF28" s="95"/>
      <c r="AG28" s="95">
        <v>1.5878180265426636</v>
      </c>
      <c r="AH28" s="95"/>
      <c r="AI28" s="109"/>
      <c r="AJ28" s="109"/>
      <c r="AK28" s="109"/>
      <c r="AL28" s="109"/>
      <c r="AM28" s="109"/>
      <c r="AN28" s="95">
        <v>35.30093002319336</v>
      </c>
      <c r="AO28" s="96">
        <v>55</v>
      </c>
      <c r="AP28" s="97">
        <v>13.653790473937988</v>
      </c>
      <c r="AQ28" s="98">
        <v>40.14033889770508</v>
      </c>
      <c r="AR28" s="99">
        <v>-0.0325470007956028</v>
      </c>
    </row>
    <row r="29" spans="2:44" ht="13.5" customHeight="1" x14ac:dyDescent="0.25">
      <c r="B29" s="14">
        <v>0.125</v>
      </c>
      <c r="C29" s="91">
        <v>-0.24594880640506744</v>
      </c>
      <c r="D29" s="91">
        <v>-0.23148350417613983</v>
      </c>
      <c r="E29" s="91">
        <v>0.5389177799224854</v>
      </c>
      <c r="F29" s="91">
        <v>0</v>
      </c>
      <c r="G29" s="91">
        <v>4.577636758540393E-08</v>
      </c>
      <c r="H29" s="91"/>
      <c r="I29" s="91"/>
      <c r="J29" s="91"/>
      <c r="K29" s="91"/>
      <c r="L29" s="92"/>
      <c r="M29" s="107">
        <v>70</v>
      </c>
      <c r="N29" s="91">
        <v>17.621530532836914</v>
      </c>
      <c r="O29" s="91">
        <v>0</v>
      </c>
      <c r="P29" s="91">
        <v>0</v>
      </c>
      <c r="Q29" s="91">
        <v>3</v>
      </c>
      <c r="R29" s="91">
        <v>16.9343204498291</v>
      </c>
      <c r="S29" s="108">
        <v>69.39380645751953</v>
      </c>
      <c r="T29" s="108">
        <v>30.5</v>
      </c>
      <c r="U29" s="108">
        <v>0.4148581922054291</v>
      </c>
      <c r="V29" s="108">
        <v>52.837459564208984</v>
      </c>
      <c r="W29" s="108">
        <v>14.268659591674805</v>
      </c>
      <c r="X29" s="108">
        <v>34</v>
      </c>
      <c r="Y29" s="108">
        <v>49.569950103759766</v>
      </c>
      <c r="Z29" s="108">
        <v>14.912469863891602</v>
      </c>
      <c r="AA29" s="108">
        <v>15.847439765930176</v>
      </c>
      <c r="AB29" s="108"/>
      <c r="AC29" s="95"/>
      <c r="AD29" s="95">
        <v>0</v>
      </c>
      <c r="AE29" s="95">
        <v>0</v>
      </c>
      <c r="AF29" s="95"/>
      <c r="AG29" s="95">
        <v>1.667389988899231</v>
      </c>
      <c r="AH29" s="95"/>
      <c r="AI29" s="109"/>
      <c r="AJ29" s="109"/>
      <c r="AK29" s="109"/>
      <c r="AL29" s="109"/>
      <c r="AM29" s="109"/>
      <c r="AN29" s="95">
        <v>34.62818145751953</v>
      </c>
      <c r="AO29" s="96">
        <v>55</v>
      </c>
      <c r="AP29" s="97">
        <v>13.762299537658691</v>
      </c>
      <c r="AQ29" s="98">
        <v>40.039058685302734</v>
      </c>
      <c r="AR29" s="99">
        <v>-0.0325470007956028</v>
      </c>
    </row>
    <row r="30" spans="2:44" ht="13.5" customHeight="1" x14ac:dyDescent="0.25">
      <c r="B30" s="14">
        <v>0.16666666666666666</v>
      </c>
      <c r="C30" s="91">
        <v>-0.24594880640506744</v>
      </c>
      <c r="D30" s="91">
        <v>-0.23148350417613983</v>
      </c>
      <c r="E30" s="91">
        <v>0.5280671119689941</v>
      </c>
      <c r="F30" s="91">
        <v>0</v>
      </c>
      <c r="G30" s="91">
        <v>3.814697180359872E-08</v>
      </c>
      <c r="H30" s="91"/>
      <c r="I30" s="91"/>
      <c r="J30" s="91"/>
      <c r="K30" s="91"/>
      <c r="L30" s="92"/>
      <c r="M30" s="107">
        <v>70</v>
      </c>
      <c r="N30" s="91">
        <v>17.390050888061523</v>
      </c>
      <c r="O30" s="91">
        <v>0</v>
      </c>
      <c r="P30" s="91">
        <v>0</v>
      </c>
      <c r="Q30" s="91">
        <v>3</v>
      </c>
      <c r="R30" s="91">
        <v>16.927080154418945</v>
      </c>
      <c r="S30" s="108">
        <v>69.40103912353516</v>
      </c>
      <c r="T30" s="108">
        <v>30.5</v>
      </c>
      <c r="U30" s="108">
        <v>0.4148581922054291</v>
      </c>
      <c r="V30" s="108">
        <v>52.837459564208984</v>
      </c>
      <c r="W30" s="108">
        <v>13.997400283813477</v>
      </c>
      <c r="X30" s="108">
        <v>34</v>
      </c>
      <c r="Y30" s="108">
        <v>49.569950103759766</v>
      </c>
      <c r="Z30" s="108">
        <v>14.688220024108887</v>
      </c>
      <c r="AA30" s="108">
        <v>15.440540313720703</v>
      </c>
      <c r="AB30" s="108"/>
      <c r="AC30" s="95"/>
      <c r="AD30" s="95">
        <v>0</v>
      </c>
      <c r="AE30" s="95">
        <v>0</v>
      </c>
      <c r="AF30" s="95"/>
      <c r="AG30" s="95">
        <v>1.7107930183410645</v>
      </c>
      <c r="AH30" s="95"/>
      <c r="AI30" s="109"/>
      <c r="AJ30" s="109"/>
      <c r="AK30" s="109"/>
      <c r="AL30" s="109"/>
      <c r="AM30" s="109"/>
      <c r="AN30" s="95">
        <v>34.042240142822266</v>
      </c>
      <c r="AO30" s="96">
        <v>55</v>
      </c>
      <c r="AP30" s="97">
        <v>13.762299537658691</v>
      </c>
      <c r="AQ30" s="98">
        <v>40.08607864379883</v>
      </c>
      <c r="AR30" s="99">
        <v>-0.0433959998190403</v>
      </c>
    </row>
    <row r="31" spans="2:44" ht="13.5" customHeight="1" x14ac:dyDescent="0.25">
      <c r="B31" s="14">
        <v>0.20833333333333334</v>
      </c>
      <c r="C31" s="91">
        <v>-0.22425079345703125</v>
      </c>
      <c r="D31" s="91">
        <v>-0.22425079345703125</v>
      </c>
      <c r="E31" s="91">
        <v>0.10127309709787369</v>
      </c>
      <c r="F31" s="91">
        <v>0</v>
      </c>
      <c r="G31" s="91">
        <v>3.051757957450718E-08</v>
      </c>
      <c r="H31" s="91"/>
      <c r="I31" s="91"/>
      <c r="J31" s="91"/>
      <c r="K31" s="91"/>
      <c r="L31" s="92"/>
      <c r="M31" s="107">
        <v>70</v>
      </c>
      <c r="N31" s="91">
        <v>17.050060272216797</v>
      </c>
      <c r="O31" s="91">
        <v>0</v>
      </c>
      <c r="P31" s="91">
        <v>0</v>
      </c>
      <c r="Q31" s="91">
        <v>3</v>
      </c>
      <c r="R31" s="91">
        <v>16.94516944885254</v>
      </c>
      <c r="S31" s="108">
        <v>69.53125</v>
      </c>
      <c r="T31" s="108">
        <v>30.5</v>
      </c>
      <c r="U31" s="108">
        <v>0.4148581922054291</v>
      </c>
      <c r="V31" s="108">
        <v>52.837459564208984</v>
      </c>
      <c r="W31" s="108">
        <v>13.644749641418457</v>
      </c>
      <c r="X31" s="108">
        <v>34</v>
      </c>
      <c r="Y31" s="108">
        <v>49.569950103759766</v>
      </c>
      <c r="Z31" s="108">
        <v>14.43865966796875</v>
      </c>
      <c r="AA31" s="108">
        <v>14.91427993774414</v>
      </c>
      <c r="AB31" s="108"/>
      <c r="AC31" s="95"/>
      <c r="AD31" s="95">
        <v>0</v>
      </c>
      <c r="AE31" s="95">
        <v>0</v>
      </c>
      <c r="AF31" s="95"/>
      <c r="AG31" s="95">
        <v>1.761428952217102</v>
      </c>
      <c r="AH31" s="95"/>
      <c r="AI31" s="109"/>
      <c r="AJ31" s="109"/>
      <c r="AK31" s="109"/>
      <c r="AL31" s="109"/>
      <c r="AM31" s="109"/>
      <c r="AN31" s="95">
        <v>33.463539123535156</v>
      </c>
      <c r="AO31" s="96">
        <v>55</v>
      </c>
      <c r="AP31" s="97">
        <v>13.554329872131348</v>
      </c>
      <c r="AQ31" s="98">
        <v>40.01736068725586</v>
      </c>
      <c r="AR31" s="99">
        <v>-0.0433959998190403</v>
      </c>
    </row>
    <row r="32" spans="2:44" ht="13.5" customHeight="1" x14ac:dyDescent="0.25">
      <c r="B32" s="14">
        <v>0.25</v>
      </c>
      <c r="C32" s="91">
        <v>-0.1663818061351776</v>
      </c>
      <c r="D32" s="91">
        <v>-0.23148350417613983</v>
      </c>
      <c r="E32" s="91">
        <v>0</v>
      </c>
      <c r="F32" s="91">
        <v>0</v>
      </c>
      <c r="G32" s="91">
        <v>6.103515914901436E-08</v>
      </c>
      <c r="H32" s="91"/>
      <c r="I32" s="91"/>
      <c r="J32" s="91"/>
      <c r="K32" s="91"/>
      <c r="L32" s="92"/>
      <c r="M32" s="107">
        <v>70</v>
      </c>
      <c r="N32" s="91">
        <v>16.677520751953125</v>
      </c>
      <c r="O32" s="91">
        <v>0</v>
      </c>
      <c r="P32" s="91">
        <v>0</v>
      </c>
      <c r="Q32" s="91">
        <v>3</v>
      </c>
      <c r="R32" s="91">
        <v>16.948780059814453</v>
      </c>
      <c r="S32" s="108">
        <v>69.52040100097656</v>
      </c>
      <c r="T32" s="108">
        <v>30.5</v>
      </c>
      <c r="U32" s="108">
        <v>0.4148581922054291</v>
      </c>
      <c r="V32" s="108">
        <v>52.837459564208984</v>
      </c>
      <c r="W32" s="108">
        <v>13.400609970092773</v>
      </c>
      <c r="X32" s="108">
        <v>34</v>
      </c>
      <c r="Y32" s="108">
        <v>49.569950103759766</v>
      </c>
      <c r="Z32" s="108">
        <v>14.181859970092773</v>
      </c>
      <c r="AA32" s="108">
        <v>14.491100311279297</v>
      </c>
      <c r="AB32" s="108"/>
      <c r="AC32" s="95"/>
      <c r="AD32" s="95">
        <v>0</v>
      </c>
      <c r="AE32" s="95">
        <v>0</v>
      </c>
      <c r="AF32" s="95"/>
      <c r="AG32" s="95">
        <v>1.7867480516433716</v>
      </c>
      <c r="AH32" s="95"/>
      <c r="AI32" s="109"/>
      <c r="AJ32" s="109"/>
      <c r="AK32" s="109"/>
      <c r="AL32" s="109"/>
      <c r="AM32" s="109"/>
      <c r="AN32" s="95">
        <v>32.9499397277832</v>
      </c>
      <c r="AO32" s="96">
        <v>55</v>
      </c>
      <c r="AP32" s="97">
        <v>13.319230079650879</v>
      </c>
      <c r="AQ32" s="98">
        <v>40.23799133300781</v>
      </c>
      <c r="AR32" s="99">
        <v>-0.0433959998190403</v>
      </c>
    </row>
    <row r="33" spans="2:44" ht="13.5" customHeight="1" x14ac:dyDescent="0.25">
      <c r="B33" s="14">
        <v>0.29166666666666669</v>
      </c>
      <c r="C33" s="91">
        <v>-0.11574549973011017</v>
      </c>
      <c r="D33" s="91">
        <v>-0.24594880640506744</v>
      </c>
      <c r="E33" s="91">
        <v>0</v>
      </c>
      <c r="F33" s="91">
        <v>0</v>
      </c>
      <c r="G33" s="91">
        <v>3.814697180359872E-08</v>
      </c>
      <c r="H33" s="91"/>
      <c r="I33" s="91"/>
      <c r="J33" s="91"/>
      <c r="K33" s="91"/>
      <c r="L33" s="92"/>
      <c r="M33" s="107">
        <v>70</v>
      </c>
      <c r="N33" s="91">
        <v>16.359230041503906</v>
      </c>
      <c r="O33" s="91">
        <v>0</v>
      </c>
      <c r="P33" s="91">
        <v>0</v>
      </c>
      <c r="Q33" s="91">
        <v>3</v>
      </c>
      <c r="R33" s="91">
        <v>16.948780059814453</v>
      </c>
      <c r="S33" s="108">
        <v>69.50953674316406</v>
      </c>
      <c r="T33" s="108">
        <v>30.5</v>
      </c>
      <c r="U33" s="108">
        <v>0.4148581922054291</v>
      </c>
      <c r="V33" s="108">
        <v>52.837459564208984</v>
      </c>
      <c r="W33" s="108">
        <v>13.10221004486084</v>
      </c>
      <c r="X33" s="108">
        <v>34</v>
      </c>
      <c r="Y33" s="108">
        <v>49.569950103759766</v>
      </c>
      <c r="Z33" s="108">
        <v>13.944950103759766</v>
      </c>
      <c r="AA33" s="108">
        <v>13.997400283813477</v>
      </c>
      <c r="AB33" s="108"/>
      <c r="AC33" s="95"/>
      <c r="AD33" s="95">
        <v>0</v>
      </c>
      <c r="AE33" s="95">
        <v>0</v>
      </c>
      <c r="AF33" s="95"/>
      <c r="AG33" s="95">
        <v>1.8699359893798828</v>
      </c>
      <c r="AH33" s="95"/>
      <c r="AI33" s="109"/>
      <c r="AJ33" s="109"/>
      <c r="AK33" s="109"/>
      <c r="AL33" s="109"/>
      <c r="AM33" s="109"/>
      <c r="AN33" s="95">
        <v>32.42911148071289</v>
      </c>
      <c r="AO33" s="96">
        <v>55</v>
      </c>
      <c r="AP33" s="97">
        <v>12.867119789123535</v>
      </c>
      <c r="AQ33" s="98">
        <v>40.17649841308594</v>
      </c>
      <c r="AR33" s="99">
        <v>-0.0325470007956028</v>
      </c>
    </row>
    <row r="34" spans="2:44" ht="13.5" customHeight="1" x14ac:dyDescent="0.25">
      <c r="B34" s="42">
        <v>0.33333333333333331</v>
      </c>
      <c r="C34" s="100">
        <v>-0.05786896124482155</v>
      </c>
      <c r="D34" s="100">
        <v>-0.23871609568595886</v>
      </c>
      <c r="E34" s="100">
        <v>0</v>
      </c>
      <c r="F34" s="100">
        <v>0</v>
      </c>
      <c r="G34" s="100">
        <v>6.103515914901436E-08</v>
      </c>
      <c r="H34" s="100"/>
      <c r="I34" s="100"/>
      <c r="J34" s="100"/>
      <c r="K34" s="100"/>
      <c r="L34" s="101"/>
      <c r="M34" s="110">
        <v>70</v>
      </c>
      <c r="N34" s="100">
        <v>15.95775032043457</v>
      </c>
      <c r="O34" s="100">
        <v>0</v>
      </c>
      <c r="P34" s="100">
        <v>0</v>
      </c>
      <c r="Q34" s="100">
        <v>3</v>
      </c>
      <c r="R34" s="100">
        <v>16.887300491333008</v>
      </c>
      <c r="S34" s="111">
        <v>69.50592803955078</v>
      </c>
      <c r="T34" s="111">
        <v>30.5</v>
      </c>
      <c r="U34" s="111">
        <v>0.4148581922054291</v>
      </c>
      <c r="V34" s="111">
        <v>52.837459564208984</v>
      </c>
      <c r="W34" s="111">
        <v>12.830949783325195</v>
      </c>
      <c r="X34" s="111">
        <v>34</v>
      </c>
      <c r="Y34" s="111">
        <v>49.569950103759766</v>
      </c>
      <c r="Z34" s="111">
        <v>13.689959526062012</v>
      </c>
      <c r="AA34" s="111">
        <v>13.736980438232422</v>
      </c>
      <c r="AB34" s="111"/>
      <c r="AC34" s="104"/>
      <c r="AD34" s="104">
        <v>0</v>
      </c>
      <c r="AE34" s="104">
        <v>0</v>
      </c>
      <c r="AF34" s="104"/>
      <c r="AG34" s="104">
        <v>1.93503999710083</v>
      </c>
      <c r="AH34" s="104"/>
      <c r="AI34" s="112"/>
      <c r="AJ34" s="112"/>
      <c r="AK34" s="112"/>
      <c r="AL34" s="112"/>
      <c r="AM34" s="112"/>
      <c r="AN34" s="104">
        <v>31.87933921813965</v>
      </c>
      <c r="AO34" s="105">
        <v>55</v>
      </c>
      <c r="AP34" s="113">
        <v>12.97562026977539</v>
      </c>
      <c r="AQ34" s="114">
        <v>40.060760498046875</v>
      </c>
      <c r="AR34" s="115">
        <v>-0.0542449988424778</v>
      </c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87">
        <v>0</v>
      </c>
      <c r="D39" s="87"/>
      <c r="E39" s="87">
        <v>24.45022964477539</v>
      </c>
      <c r="F39" s="87"/>
      <c r="G39" s="87"/>
      <c r="H39" s="87">
        <v>16.068069458007812</v>
      </c>
      <c r="I39" s="87"/>
      <c r="J39" s="87">
        <v>44.958038330078125</v>
      </c>
      <c r="K39" s="87">
        <v>0.14000000059604645</v>
      </c>
      <c r="L39" s="87">
        <v>117.05840301513672</v>
      </c>
      <c r="M39" s="87">
        <v>18.753620147705078</v>
      </c>
      <c r="N39" s="87"/>
      <c r="O39" s="87">
        <v>0</v>
      </c>
      <c r="P39" s="87">
        <v>110.5770034790039</v>
      </c>
      <c r="Q39" s="87">
        <v>0</v>
      </c>
      <c r="R39" s="87"/>
      <c r="S39" s="87">
        <v>0</v>
      </c>
      <c r="T39" s="87"/>
      <c r="U39" s="88">
        <v>65.82392883300781</v>
      </c>
      <c r="V39" s="89"/>
      <c r="W39" s="90">
        <v>50</v>
      </c>
      <c r="X39" s="88">
        <v>0</v>
      </c>
      <c r="Y39" s="88">
        <v>52.837459564208984</v>
      </c>
      <c r="Z39" s="88">
        <v>18.023000717163086</v>
      </c>
      <c r="AA39" s="88">
        <v>50</v>
      </c>
      <c r="AB39" s="88">
        <v>5.321180820465088</v>
      </c>
      <c r="AC39" s="88">
        <v>16.17837905883789</v>
      </c>
      <c r="AD39" s="88">
        <v>22.911239624023438</v>
      </c>
      <c r="AE39" s="79"/>
      <c r="AF39" s="79">
        <v>0</v>
      </c>
      <c r="AG39" s="79"/>
      <c r="AH39" s="79">
        <v>28.650909423828125</v>
      </c>
      <c r="AI39" s="79">
        <v>87.65553283691406</v>
      </c>
      <c r="AJ39" s="79"/>
      <c r="AK39" s="79"/>
      <c r="AL39" s="81"/>
      <c r="AM39" s="83"/>
      <c r="AN39" s="80"/>
      <c r="AO39" s="79"/>
      <c r="AP39" s="79"/>
      <c r="AQ39" s="79"/>
      <c r="AR39" s="82"/>
    </row>
    <row r="40" spans="2:44" ht="13.5" customHeight="1" x14ac:dyDescent="0.25">
      <c r="B40" s="14">
        <v>0.875</v>
      </c>
      <c r="C40" s="91">
        <v>0</v>
      </c>
      <c r="D40" s="91">
        <v>0</v>
      </c>
      <c r="E40" s="91">
        <v>24.168109893798828</v>
      </c>
      <c r="F40" s="91"/>
      <c r="G40" s="91"/>
      <c r="H40" s="91">
        <v>16.1223201751709</v>
      </c>
      <c r="I40" s="91">
        <v>0</v>
      </c>
      <c r="J40" s="91">
        <v>44.958038330078125</v>
      </c>
      <c r="K40" s="91">
        <v>0.14000000059604645</v>
      </c>
      <c r="L40" s="91">
        <v>117.19840240478516</v>
      </c>
      <c r="M40" s="91">
        <v>18.581809997558594</v>
      </c>
      <c r="N40" s="91">
        <v>0</v>
      </c>
      <c r="O40" s="91">
        <v>0</v>
      </c>
      <c r="P40" s="91">
        <v>110.5770034790039</v>
      </c>
      <c r="Q40" s="91">
        <v>0</v>
      </c>
      <c r="R40" s="91">
        <v>0</v>
      </c>
      <c r="S40" s="91">
        <v>0</v>
      </c>
      <c r="T40" s="91">
        <v>0</v>
      </c>
      <c r="U40" s="108">
        <v>65.82755279541016</v>
      </c>
      <c r="V40" s="116">
        <v>2.531814607209526E-05</v>
      </c>
      <c r="W40" s="117">
        <v>50</v>
      </c>
      <c r="X40" s="108">
        <v>0</v>
      </c>
      <c r="Y40" s="108">
        <v>52.837459564208984</v>
      </c>
      <c r="Z40" s="108">
        <v>17.496749877929688</v>
      </c>
      <c r="AA40" s="108">
        <v>50</v>
      </c>
      <c r="AB40" s="108">
        <v>5.321180820465088</v>
      </c>
      <c r="AC40" s="108">
        <v>16.14221954345703</v>
      </c>
      <c r="AD40" s="108">
        <v>21.511499404907227</v>
      </c>
      <c r="AE40" s="95"/>
      <c r="AF40" s="95">
        <v>0</v>
      </c>
      <c r="AG40" s="95"/>
      <c r="AH40" s="95">
        <v>28.650909423828125</v>
      </c>
      <c r="AI40" s="95">
        <v>50.285728454589844</v>
      </c>
      <c r="AJ40" s="95">
        <v>-0.013292829506099224</v>
      </c>
      <c r="AK40" s="95"/>
      <c r="AL40" s="96"/>
      <c r="AM40" s="118"/>
      <c r="AN40" s="109"/>
      <c r="AO40" s="95"/>
      <c r="AP40" s="95"/>
      <c r="AQ40" s="95"/>
      <c r="AR40" s="99"/>
    </row>
    <row r="41" spans="2:44" ht="13.5" customHeight="1" x14ac:dyDescent="0.25">
      <c r="B41" s="41" t="s">
        <v>271</v>
      </c>
      <c r="C41" s="91">
        <v>0</v>
      </c>
      <c r="D41" s="91">
        <v>0</v>
      </c>
      <c r="E41" s="91">
        <v>23.73409080505371</v>
      </c>
      <c r="F41" s="91"/>
      <c r="G41" s="91"/>
      <c r="H41" s="91">
        <v>16.113279342651367</v>
      </c>
      <c r="I41" s="91">
        <v>0</v>
      </c>
      <c r="J41" s="91">
        <v>44.37934112548828</v>
      </c>
      <c r="K41" s="91">
        <v>0.14000000059604645</v>
      </c>
      <c r="L41" s="91">
        <v>117.3384017944336</v>
      </c>
      <c r="M41" s="91">
        <v>18.19300079345703</v>
      </c>
      <c r="N41" s="91">
        <v>0</v>
      </c>
      <c r="O41" s="91">
        <v>0</v>
      </c>
      <c r="P41" s="91">
        <v>110.5770034790039</v>
      </c>
      <c r="Q41" s="91">
        <v>0</v>
      </c>
      <c r="R41" s="91">
        <v>0</v>
      </c>
      <c r="S41" s="91">
        <v>0</v>
      </c>
      <c r="T41" s="91">
        <v>0</v>
      </c>
      <c r="U41" s="108">
        <v>65.84201049804688</v>
      </c>
      <c r="V41" s="116">
        <v>-2.8926850063726306E-05</v>
      </c>
      <c r="W41" s="117">
        <v>50</v>
      </c>
      <c r="X41" s="108">
        <v>0</v>
      </c>
      <c r="Y41" s="108">
        <v>52.837459564208984</v>
      </c>
      <c r="Z41" s="108">
        <v>16.959640502929688</v>
      </c>
      <c r="AA41" s="108">
        <v>50</v>
      </c>
      <c r="AB41" s="108">
        <v>5.321180820465088</v>
      </c>
      <c r="AC41" s="108">
        <v>16.01923942565918</v>
      </c>
      <c r="AD41" s="108">
        <v>20.355899810791016</v>
      </c>
      <c r="AE41" s="95"/>
      <c r="AF41" s="95">
        <v>0</v>
      </c>
      <c r="AG41" s="95"/>
      <c r="AH41" s="95">
        <v>28.650909423828125</v>
      </c>
      <c r="AI41" s="95">
        <v>12.199799537658691</v>
      </c>
      <c r="AJ41" s="95">
        <v>-0.010468750260770321</v>
      </c>
      <c r="AK41" s="95"/>
      <c r="AL41" s="96"/>
      <c r="AM41" s="118"/>
      <c r="AN41" s="109"/>
      <c r="AO41" s="95"/>
      <c r="AP41" s="95"/>
      <c r="AQ41" s="95"/>
      <c r="AR41" s="99"/>
    </row>
    <row r="42" spans="2:44" ht="13.5" customHeight="1" x14ac:dyDescent="0.25">
      <c r="B42" s="14">
        <v>0.95833333333333337</v>
      </c>
      <c r="C42" s="91">
        <v>0</v>
      </c>
      <c r="D42" s="91">
        <v>0</v>
      </c>
      <c r="E42" s="91">
        <v>23.1843204498291</v>
      </c>
      <c r="F42" s="91"/>
      <c r="G42" s="91"/>
      <c r="H42" s="91">
        <v>15.878179550170898</v>
      </c>
      <c r="I42" s="91">
        <v>0</v>
      </c>
      <c r="J42" s="91">
        <v>44.38837814331055</v>
      </c>
      <c r="K42" s="91">
        <v>0.14000000059604645</v>
      </c>
      <c r="L42" s="91">
        <v>117.47840118408203</v>
      </c>
      <c r="M42" s="91">
        <v>17.79513931274414</v>
      </c>
      <c r="N42" s="91">
        <v>0</v>
      </c>
      <c r="O42" s="91">
        <v>0</v>
      </c>
      <c r="P42" s="91">
        <v>110.5770034790039</v>
      </c>
      <c r="Q42" s="91">
        <v>0</v>
      </c>
      <c r="R42" s="91">
        <v>0</v>
      </c>
      <c r="S42" s="91">
        <v>0</v>
      </c>
      <c r="T42" s="91">
        <v>0</v>
      </c>
      <c r="U42" s="108">
        <v>65.81307983398438</v>
      </c>
      <c r="V42" s="116">
        <v>-3.2550811738474295E-05</v>
      </c>
      <c r="W42" s="117">
        <v>50</v>
      </c>
      <c r="X42" s="108">
        <v>0</v>
      </c>
      <c r="Y42" s="108">
        <v>52.837459564208984</v>
      </c>
      <c r="Z42" s="108">
        <v>16.151260375976562</v>
      </c>
      <c r="AA42" s="108">
        <v>50</v>
      </c>
      <c r="AB42" s="108">
        <v>5.321180820465088</v>
      </c>
      <c r="AC42" s="108">
        <v>15.796799659729004</v>
      </c>
      <c r="AD42" s="108">
        <v>18.967010498046875</v>
      </c>
      <c r="AE42" s="95"/>
      <c r="AF42" s="95">
        <v>0</v>
      </c>
      <c r="AG42" s="95"/>
      <c r="AH42" s="95">
        <v>28.650909423828125</v>
      </c>
      <c r="AI42" s="95">
        <v>14.507379531860352</v>
      </c>
      <c r="AJ42" s="95">
        <v>-0.0005324010853655636</v>
      </c>
      <c r="AK42" s="95"/>
      <c r="AL42" s="96"/>
      <c r="AM42" s="118"/>
      <c r="AN42" s="109"/>
      <c r="AO42" s="95"/>
      <c r="AP42" s="95"/>
      <c r="AQ42" s="95"/>
      <c r="AR42" s="99"/>
    </row>
    <row r="43" spans="2:44" ht="13.5" customHeight="1" x14ac:dyDescent="0.25">
      <c r="B43" s="41" t="s">
        <v>272</v>
      </c>
      <c r="C43" s="91">
        <v>0</v>
      </c>
      <c r="D43" s="91">
        <v>0</v>
      </c>
      <c r="E43" s="91">
        <v>22.627309799194336</v>
      </c>
      <c r="F43" s="91"/>
      <c r="G43" s="91"/>
      <c r="H43" s="91">
        <v>15.724459648132324</v>
      </c>
      <c r="I43" s="91">
        <v>0</v>
      </c>
      <c r="J43" s="91">
        <v>44.54209899902344</v>
      </c>
      <c r="K43" s="91">
        <v>0.14000000059604645</v>
      </c>
      <c r="L43" s="91">
        <v>117.61840057373047</v>
      </c>
      <c r="M43" s="91">
        <v>17.5781307220459</v>
      </c>
      <c r="N43" s="91">
        <v>0</v>
      </c>
      <c r="O43" s="91">
        <v>0</v>
      </c>
      <c r="P43" s="91">
        <v>110.5770034790039</v>
      </c>
      <c r="Q43" s="91">
        <v>0</v>
      </c>
      <c r="R43" s="91">
        <v>0</v>
      </c>
      <c r="S43" s="91">
        <v>0</v>
      </c>
      <c r="T43" s="91">
        <v>0</v>
      </c>
      <c r="U43" s="108">
        <v>65.78414154052734</v>
      </c>
      <c r="V43" s="116">
        <v>-3.97911062464118E-05</v>
      </c>
      <c r="W43" s="117">
        <v>50</v>
      </c>
      <c r="X43" s="108">
        <v>0</v>
      </c>
      <c r="Y43" s="108">
        <v>52.837459564208984</v>
      </c>
      <c r="Z43" s="108">
        <v>15.587019920349121</v>
      </c>
      <c r="AA43" s="108">
        <v>50</v>
      </c>
      <c r="AB43" s="108">
        <v>5.321180820465088</v>
      </c>
      <c r="AC43" s="108">
        <v>15.639470100402832</v>
      </c>
      <c r="AD43" s="108">
        <v>17.963329315185547</v>
      </c>
      <c r="AE43" s="95"/>
      <c r="AF43" s="95">
        <v>22.01968002319336</v>
      </c>
      <c r="AG43" s="95"/>
      <c r="AH43" s="95">
        <v>28.650909423828125</v>
      </c>
      <c r="AI43" s="95">
        <v>14.463979721069336</v>
      </c>
      <c r="AJ43" s="95">
        <v>-0.0003356494999025017</v>
      </c>
      <c r="AK43" s="95"/>
      <c r="AL43" s="96"/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4.1666666666666664E-2</v>
      </c>
      <c r="C44" s="91">
        <v>0</v>
      </c>
      <c r="D44" s="91">
        <v>0</v>
      </c>
      <c r="E44" s="91">
        <v>22.09925079345703</v>
      </c>
      <c r="F44" s="91"/>
      <c r="G44" s="91"/>
      <c r="H44" s="91">
        <v>15.49841022491455</v>
      </c>
      <c r="I44" s="91">
        <v>0</v>
      </c>
      <c r="J44" s="91">
        <v>44.487850189208984</v>
      </c>
      <c r="K44" s="91">
        <v>0.14000000059604645</v>
      </c>
      <c r="L44" s="91">
        <v>117.7583999633789</v>
      </c>
      <c r="M44" s="91">
        <v>17.34303092956543</v>
      </c>
      <c r="N44" s="91">
        <v>0</v>
      </c>
      <c r="O44" s="91">
        <v>0</v>
      </c>
      <c r="P44" s="91">
        <v>110.5770034790039</v>
      </c>
      <c r="Q44" s="91">
        <v>0</v>
      </c>
      <c r="R44" s="91">
        <v>0</v>
      </c>
      <c r="S44" s="91">
        <v>0</v>
      </c>
      <c r="T44" s="91">
        <v>0</v>
      </c>
      <c r="U44" s="108">
        <v>65.7696762084961</v>
      </c>
      <c r="V44" s="116">
        <v>-5.42488087376114E-05</v>
      </c>
      <c r="W44" s="117">
        <v>50</v>
      </c>
      <c r="X44" s="108">
        <v>0</v>
      </c>
      <c r="Y44" s="108">
        <v>52.837459564208984</v>
      </c>
      <c r="Z44" s="108">
        <v>15.087889671325684</v>
      </c>
      <c r="AA44" s="108">
        <v>50</v>
      </c>
      <c r="AB44" s="108">
        <v>5.321180820465088</v>
      </c>
      <c r="AC44" s="108">
        <v>15.4097900390625</v>
      </c>
      <c r="AD44" s="108">
        <v>17.154949188232422</v>
      </c>
      <c r="AE44" s="95"/>
      <c r="AF44" s="95">
        <v>29.99131965637207</v>
      </c>
      <c r="AG44" s="95"/>
      <c r="AH44" s="95">
        <v>28.650909423828125</v>
      </c>
      <c r="AI44" s="95">
        <v>14.46759033203125</v>
      </c>
      <c r="AJ44" s="95">
        <v>-0.00015624999650754035</v>
      </c>
      <c r="AK44" s="95"/>
      <c r="AL44" s="96"/>
      <c r="AM44" s="118"/>
      <c r="AN44" s="109"/>
      <c r="AO44" s="95"/>
      <c r="AP44" s="95"/>
      <c r="AQ44" s="95"/>
      <c r="AR44" s="99"/>
    </row>
    <row r="45" spans="2:44" ht="13.5" customHeight="1" x14ac:dyDescent="0.25">
      <c r="B45" s="41" t="s">
        <v>273</v>
      </c>
      <c r="C45" s="91">
        <v>0</v>
      </c>
      <c r="D45" s="91">
        <v>0</v>
      </c>
      <c r="E45" s="91">
        <v>21.614580154418945</v>
      </c>
      <c r="F45" s="91"/>
      <c r="G45" s="91"/>
      <c r="H45" s="91">
        <v>15.308520317077637</v>
      </c>
      <c r="I45" s="91">
        <v>0</v>
      </c>
      <c r="J45" s="91">
        <v>44.47880935668945</v>
      </c>
      <c r="K45" s="91">
        <v>0.14000000059604645</v>
      </c>
      <c r="L45" s="91">
        <v>117.89839935302734</v>
      </c>
      <c r="M45" s="91">
        <v>17.180269241333008</v>
      </c>
      <c r="N45" s="91">
        <v>0</v>
      </c>
      <c r="O45" s="91">
        <v>0</v>
      </c>
      <c r="P45" s="91">
        <v>110.5770034790039</v>
      </c>
      <c r="Q45" s="91">
        <v>0</v>
      </c>
      <c r="R45" s="91">
        <v>0</v>
      </c>
      <c r="S45" s="91">
        <v>0</v>
      </c>
      <c r="T45" s="91">
        <v>0</v>
      </c>
      <c r="U45" s="108">
        <v>65.76244354248047</v>
      </c>
      <c r="V45" s="116">
        <v>-4.341125531936996E-05</v>
      </c>
      <c r="W45" s="117">
        <v>50</v>
      </c>
      <c r="X45" s="108">
        <v>0</v>
      </c>
      <c r="Y45" s="108">
        <v>52.837459564208984</v>
      </c>
      <c r="Z45" s="108">
        <v>14.621310234069824</v>
      </c>
      <c r="AA45" s="108">
        <v>50</v>
      </c>
      <c r="AB45" s="108">
        <v>5.321180820465088</v>
      </c>
      <c r="AC45" s="108">
        <v>15.167460441589355</v>
      </c>
      <c r="AD45" s="108">
        <v>16.427949905395508</v>
      </c>
      <c r="AE45" s="95"/>
      <c r="AF45" s="95">
        <v>34.92115020751953</v>
      </c>
      <c r="AG45" s="95"/>
      <c r="AH45" s="95">
        <v>28.650909423828125</v>
      </c>
      <c r="AI45" s="95">
        <v>14.529080390930176</v>
      </c>
      <c r="AJ45" s="95">
        <v>-0.00023437976778950542</v>
      </c>
      <c r="AK45" s="95"/>
      <c r="AL45" s="96"/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0.125</v>
      </c>
      <c r="C46" s="91">
        <v>0</v>
      </c>
      <c r="D46" s="91">
        <v>0</v>
      </c>
      <c r="E46" s="91">
        <v>21.158849716186523</v>
      </c>
      <c r="F46" s="91"/>
      <c r="G46" s="91"/>
      <c r="H46" s="91">
        <v>15.154800415039062</v>
      </c>
      <c r="I46" s="91">
        <v>0</v>
      </c>
      <c r="J46" s="91">
        <v>44.252750396728516</v>
      </c>
      <c r="K46" s="91">
        <v>0.14000000059604645</v>
      </c>
      <c r="L46" s="91">
        <v>118.03839874267578</v>
      </c>
      <c r="M46" s="91">
        <v>17.062719345092773</v>
      </c>
      <c r="N46" s="91">
        <v>0</v>
      </c>
      <c r="O46" s="91">
        <v>0</v>
      </c>
      <c r="P46" s="91">
        <v>110.5770034790039</v>
      </c>
      <c r="Q46" s="91">
        <v>0</v>
      </c>
      <c r="R46" s="91">
        <v>0</v>
      </c>
      <c r="S46" s="91">
        <v>0</v>
      </c>
      <c r="T46" s="91">
        <v>0</v>
      </c>
      <c r="U46" s="108">
        <v>65.76244354248047</v>
      </c>
      <c r="V46" s="116">
        <v>-5.42488087376114E-05</v>
      </c>
      <c r="W46" s="117">
        <v>50</v>
      </c>
      <c r="X46" s="108">
        <v>0</v>
      </c>
      <c r="Y46" s="108">
        <v>52.837459564208984</v>
      </c>
      <c r="Z46" s="108">
        <v>14.268659591674805</v>
      </c>
      <c r="AA46" s="108">
        <v>50</v>
      </c>
      <c r="AB46" s="108">
        <v>5.321180820465088</v>
      </c>
      <c r="AC46" s="108">
        <v>14.912469863891602</v>
      </c>
      <c r="AD46" s="108">
        <v>15.847439765930176</v>
      </c>
      <c r="AE46" s="95"/>
      <c r="AF46" s="95">
        <v>32.165069580078125</v>
      </c>
      <c r="AG46" s="95"/>
      <c r="AH46" s="95">
        <v>28.650909423828125</v>
      </c>
      <c r="AI46" s="95">
        <v>14.561630249023438</v>
      </c>
      <c r="AJ46" s="95">
        <v>-0.00016493034490849823</v>
      </c>
      <c r="AK46" s="95"/>
      <c r="AL46" s="96"/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0.16666666666666666</v>
      </c>
      <c r="C47" s="91">
        <v>0</v>
      </c>
      <c r="D47" s="91">
        <v>0</v>
      </c>
      <c r="E47" s="91">
        <v>20.753759384155273</v>
      </c>
      <c r="F47" s="91"/>
      <c r="G47" s="91"/>
      <c r="H47" s="91">
        <v>15.046299934387207</v>
      </c>
      <c r="I47" s="91">
        <v>0</v>
      </c>
      <c r="J47" s="91">
        <v>44.442630767822266</v>
      </c>
      <c r="K47" s="91">
        <v>0.14000000059604645</v>
      </c>
      <c r="L47" s="91">
        <v>118.17839813232422</v>
      </c>
      <c r="M47" s="91">
        <v>17.05367088317871</v>
      </c>
      <c r="N47" s="91">
        <v>0</v>
      </c>
      <c r="O47" s="91">
        <v>0</v>
      </c>
      <c r="P47" s="91">
        <v>110.5770034790039</v>
      </c>
      <c r="Q47" s="91">
        <v>0</v>
      </c>
      <c r="R47" s="91">
        <v>0</v>
      </c>
      <c r="S47" s="91">
        <v>0</v>
      </c>
      <c r="T47" s="91">
        <v>0</v>
      </c>
      <c r="U47" s="108">
        <v>65.7515869140625</v>
      </c>
      <c r="V47" s="116">
        <v>-7.23419216228649E-05</v>
      </c>
      <c r="W47" s="117">
        <v>50</v>
      </c>
      <c r="X47" s="108">
        <v>0</v>
      </c>
      <c r="Y47" s="108">
        <v>52.837459564208984</v>
      </c>
      <c r="Z47" s="108">
        <v>13.997400283813477</v>
      </c>
      <c r="AA47" s="108">
        <v>50</v>
      </c>
      <c r="AB47" s="108">
        <v>5.321180820465088</v>
      </c>
      <c r="AC47" s="108">
        <v>14.688220024108887</v>
      </c>
      <c r="AD47" s="108">
        <v>15.440540313720703</v>
      </c>
      <c r="AE47" s="95"/>
      <c r="AF47" s="95">
        <v>29.969619750976562</v>
      </c>
      <c r="AG47" s="95"/>
      <c r="AH47" s="95">
        <v>28.650909423828125</v>
      </c>
      <c r="AI47" s="95">
        <v>14.568869590759277</v>
      </c>
      <c r="AJ47" s="95">
        <v>-0.0001417799066985026</v>
      </c>
      <c r="AK47" s="95"/>
      <c r="AL47" s="96"/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0.20833333333333334</v>
      </c>
      <c r="C48" s="91">
        <v>0</v>
      </c>
      <c r="D48" s="91">
        <v>0</v>
      </c>
      <c r="E48" s="91">
        <v>20.38484001159668</v>
      </c>
      <c r="F48" s="91"/>
      <c r="G48" s="91"/>
      <c r="H48" s="91">
        <v>14.856410026550293</v>
      </c>
      <c r="I48" s="91">
        <v>0</v>
      </c>
      <c r="J48" s="91">
        <v>44.099029541015625</v>
      </c>
      <c r="K48" s="91">
        <v>0.14000000059604645</v>
      </c>
      <c r="L48" s="91">
        <v>118.31839752197266</v>
      </c>
      <c r="M48" s="91">
        <v>17.01750946044922</v>
      </c>
      <c r="N48" s="91">
        <v>0</v>
      </c>
      <c r="O48" s="91">
        <v>0</v>
      </c>
      <c r="P48" s="91">
        <v>110.5770034790039</v>
      </c>
      <c r="Q48" s="91">
        <v>0</v>
      </c>
      <c r="R48" s="91">
        <v>0</v>
      </c>
      <c r="S48" s="91">
        <v>0</v>
      </c>
      <c r="T48" s="91">
        <v>0</v>
      </c>
      <c r="U48" s="108">
        <v>65.73712158203125</v>
      </c>
      <c r="V48" s="116">
        <v>-3.97796648030635E-05</v>
      </c>
      <c r="W48" s="117">
        <v>50</v>
      </c>
      <c r="X48" s="108">
        <v>0</v>
      </c>
      <c r="Y48" s="108">
        <v>52.837459564208984</v>
      </c>
      <c r="Z48" s="108">
        <v>13.644749641418457</v>
      </c>
      <c r="AA48" s="108">
        <v>50</v>
      </c>
      <c r="AB48" s="108">
        <v>5.321180820465088</v>
      </c>
      <c r="AC48" s="108">
        <v>14.43865966796875</v>
      </c>
      <c r="AD48" s="108">
        <v>14.91427993774414</v>
      </c>
      <c r="AE48" s="95"/>
      <c r="AF48" s="95">
        <v>2.1701390743255615</v>
      </c>
      <c r="AG48" s="95"/>
      <c r="AH48" s="95">
        <v>28.650909423828125</v>
      </c>
      <c r="AI48" s="95">
        <v>14.554400444030762</v>
      </c>
      <c r="AJ48" s="95">
        <v>-0.000245949748205021</v>
      </c>
      <c r="AK48" s="95"/>
      <c r="AL48" s="96"/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0.25</v>
      </c>
      <c r="C49" s="91">
        <v>0</v>
      </c>
      <c r="D49" s="91">
        <v>0</v>
      </c>
      <c r="E49" s="91">
        <v>20.08102035522461</v>
      </c>
      <c r="F49" s="91"/>
      <c r="G49" s="91"/>
      <c r="H49" s="91">
        <v>14.756939888000488</v>
      </c>
      <c r="I49" s="91">
        <v>0</v>
      </c>
      <c r="J49" s="91">
        <v>44.14424133300781</v>
      </c>
      <c r="K49" s="91">
        <v>0.14000000059604645</v>
      </c>
      <c r="L49" s="91">
        <v>118.4583969116211</v>
      </c>
      <c r="M49" s="91">
        <v>16.845699310302734</v>
      </c>
      <c r="N49" s="91">
        <v>0</v>
      </c>
      <c r="O49" s="91">
        <v>0</v>
      </c>
      <c r="P49" s="91">
        <v>110.5770034790039</v>
      </c>
      <c r="Q49" s="91">
        <v>0</v>
      </c>
      <c r="R49" s="91">
        <v>0</v>
      </c>
      <c r="S49" s="91">
        <v>0</v>
      </c>
      <c r="T49" s="91">
        <v>0</v>
      </c>
      <c r="U49" s="108">
        <v>65.7009506225586</v>
      </c>
      <c r="V49" s="116">
        <v>-7.233810174511746E-05</v>
      </c>
      <c r="W49" s="117">
        <v>50</v>
      </c>
      <c r="X49" s="108">
        <v>0</v>
      </c>
      <c r="Y49" s="108">
        <v>52.837459564208984</v>
      </c>
      <c r="Z49" s="108">
        <v>13.400609970092773</v>
      </c>
      <c r="AA49" s="108">
        <v>50</v>
      </c>
      <c r="AB49" s="108">
        <v>5.321180820465088</v>
      </c>
      <c r="AC49" s="108">
        <v>14.181859970092773</v>
      </c>
      <c r="AD49" s="108">
        <v>14.491100311279297</v>
      </c>
      <c r="AE49" s="95"/>
      <c r="AF49" s="95">
        <v>6.600839138031006</v>
      </c>
      <c r="AG49" s="95"/>
      <c r="AH49" s="95">
        <v>28.650909423828125</v>
      </c>
      <c r="AI49" s="95">
        <v>14.547160148620605</v>
      </c>
      <c r="AJ49" s="95">
        <v>-0.00022280025586951524</v>
      </c>
      <c r="AK49" s="95"/>
      <c r="AL49" s="96"/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0.29166666666666669</v>
      </c>
      <c r="C50" s="91">
        <v>0</v>
      </c>
      <c r="D50" s="91">
        <v>0</v>
      </c>
      <c r="E50" s="91">
        <v>19.70486068725586</v>
      </c>
      <c r="F50" s="91"/>
      <c r="G50" s="91"/>
      <c r="H50" s="91">
        <v>14.476630210876465</v>
      </c>
      <c r="I50" s="91">
        <v>0</v>
      </c>
      <c r="J50" s="91">
        <v>43.97243881225586</v>
      </c>
      <c r="K50" s="91">
        <v>0.14000000059604645</v>
      </c>
      <c r="L50" s="91">
        <v>118.59839630126953</v>
      </c>
      <c r="M50" s="91">
        <v>16.212749481201172</v>
      </c>
      <c r="N50" s="91">
        <v>0</v>
      </c>
      <c r="O50" s="91">
        <v>0</v>
      </c>
      <c r="P50" s="91">
        <v>110.5770034790039</v>
      </c>
      <c r="Q50" s="91">
        <v>0</v>
      </c>
      <c r="R50" s="91">
        <v>0</v>
      </c>
      <c r="S50" s="91">
        <v>0</v>
      </c>
      <c r="T50" s="91">
        <v>0</v>
      </c>
      <c r="U50" s="108">
        <v>65.71542358398438</v>
      </c>
      <c r="V50" s="116">
        <v>-6.14891032455489E-05</v>
      </c>
      <c r="W50" s="117">
        <v>50</v>
      </c>
      <c r="X50" s="108">
        <v>0</v>
      </c>
      <c r="Y50" s="108">
        <v>52.837459564208984</v>
      </c>
      <c r="Z50" s="108">
        <v>13.10221004486084</v>
      </c>
      <c r="AA50" s="108">
        <v>50</v>
      </c>
      <c r="AB50" s="108">
        <v>5.321180820465088</v>
      </c>
      <c r="AC50" s="108">
        <v>13.944950103759766</v>
      </c>
      <c r="AD50" s="108">
        <v>13.997400283813477</v>
      </c>
      <c r="AE50" s="95"/>
      <c r="AF50" s="95">
        <v>9.302661895751953</v>
      </c>
      <c r="AG50" s="95"/>
      <c r="AH50" s="95">
        <v>28.650909423828125</v>
      </c>
      <c r="AI50" s="95">
        <v>14.536310195922852</v>
      </c>
      <c r="AJ50" s="95">
        <v>-0.0004456005117390305</v>
      </c>
      <c r="AK50" s="95"/>
      <c r="AL50" s="96"/>
      <c r="AM50" s="118"/>
      <c r="AN50" s="109"/>
      <c r="AO50" s="95"/>
      <c r="AP50" s="95"/>
      <c r="AQ50" s="95"/>
      <c r="AR50" s="99"/>
    </row>
    <row r="51" spans="2:44" ht="13.5" customHeight="1" x14ac:dyDescent="0.25">
      <c r="B51" s="42">
        <v>0.33333333333333331</v>
      </c>
      <c r="C51" s="100">
        <v>0</v>
      </c>
      <c r="D51" s="100">
        <v>0</v>
      </c>
      <c r="E51" s="100">
        <v>19.37211036682129</v>
      </c>
      <c r="F51" s="100"/>
      <c r="G51" s="100"/>
      <c r="H51" s="100">
        <v>14.304829597473145</v>
      </c>
      <c r="I51" s="100">
        <v>0</v>
      </c>
      <c r="J51" s="100">
        <v>44.14424133300781</v>
      </c>
      <c r="K51" s="100">
        <v>0.14000000059604645</v>
      </c>
      <c r="L51" s="100">
        <v>118.7384033203125</v>
      </c>
      <c r="M51" s="100">
        <v>16.221790313720703</v>
      </c>
      <c r="N51" s="100">
        <v>0</v>
      </c>
      <c r="O51" s="100">
        <v>0</v>
      </c>
      <c r="P51" s="100">
        <v>110.5770034790039</v>
      </c>
      <c r="Q51" s="100">
        <v>0</v>
      </c>
      <c r="R51" s="100">
        <v>0</v>
      </c>
      <c r="S51" s="100">
        <v>0</v>
      </c>
      <c r="T51" s="100">
        <v>0</v>
      </c>
      <c r="U51" s="111">
        <v>65.69732666015625</v>
      </c>
      <c r="V51" s="119">
        <v>-0.00011574172822292894</v>
      </c>
      <c r="W51" s="120">
        <v>50</v>
      </c>
      <c r="X51" s="111">
        <v>0</v>
      </c>
      <c r="Y51" s="111">
        <v>52.837459564208984</v>
      </c>
      <c r="Z51" s="111">
        <v>12.830949783325195</v>
      </c>
      <c r="AA51" s="111">
        <v>50</v>
      </c>
      <c r="AB51" s="111">
        <v>5.321180820465088</v>
      </c>
      <c r="AC51" s="111">
        <v>13.689959526062012</v>
      </c>
      <c r="AD51" s="111">
        <v>13.736980438232422</v>
      </c>
      <c r="AE51" s="104"/>
      <c r="AF51" s="104">
        <v>12.08767032623291</v>
      </c>
      <c r="AG51" s="104"/>
      <c r="AH51" s="104">
        <v>28.650909423828125</v>
      </c>
      <c r="AI51" s="104">
        <v>14.529080390930176</v>
      </c>
      <c r="AJ51" s="104">
        <v>-0.00016782950842753053</v>
      </c>
      <c r="AK51" s="104"/>
      <c r="AL51" s="105"/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274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274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275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1:AK479"/>
  <sheetViews>
    <sheetView zoomScaleNormal="100" workbookViewId="0">
      <selection activeCell="S12" sqref="S12"/>
    </sheetView>
  </sheetViews>
  <sheetFormatPr defaultRowHeight="11.5" x14ac:dyDescent="0.25"/>
  <cols>
    <col min="1" max="1" width="1.54296875" style="45" customWidth="1"/>
    <col min="2" max="2" width="9" style="45" customWidth="1"/>
    <col min="3" max="3" width="2.54296875" style="45" customWidth="1"/>
    <col min="4" max="36" width="7.08984375" style="45" customWidth="1"/>
    <col min="37" max="37" width="6.453125" style="45" customWidth="1"/>
    <col min="38" max="270" width="8.81640625" style="45"/>
    <col min="271" max="271" width="2.08984375" style="45" customWidth="1"/>
    <col min="272" max="272" width="5.81640625" style="45" customWidth="1"/>
    <col min="273" max="273" width="6.81640625" style="45" customWidth="1"/>
    <col min="274" max="274" width="6.08984375" style="45" customWidth="1"/>
    <col min="275" max="275" width="6.81640625" style="45" customWidth="1"/>
    <col min="276" max="276" width="10.81640625" style="45" customWidth="1"/>
    <col min="277" max="277" width="11.54296875" style="45" customWidth="1"/>
    <col min="278" max="278" width="5.54296875" style="45" customWidth="1"/>
    <col min="279" max="279" width="6" style="45" customWidth="1"/>
    <col min="280" max="280" width="6.54296875" style="45" customWidth="1"/>
    <col min="281" max="281" width="11.08984375" style="45" customWidth="1"/>
    <col min="282" max="282" width="7.08984375" style="45" customWidth="1"/>
    <col min="283" max="284" width="5.81640625" style="45" customWidth="1"/>
    <col min="285" max="285" width="6" style="45" customWidth="1"/>
    <col min="286" max="286" width="6.81640625" style="45" customWidth="1"/>
    <col min="287" max="287" width="6" style="45" customWidth="1"/>
    <col min="288" max="288" width="18.08984375" style="45" customWidth="1"/>
    <col min="289" max="526" width="8.81640625" style="45"/>
    <col min="527" max="527" width="2.08984375" style="45" customWidth="1"/>
    <col min="528" max="528" width="5.81640625" style="45" customWidth="1"/>
    <col min="529" max="529" width="6.81640625" style="45" customWidth="1"/>
    <col min="530" max="530" width="6.08984375" style="45" customWidth="1"/>
    <col min="531" max="531" width="6.81640625" style="45" customWidth="1"/>
    <col min="532" max="532" width="10.81640625" style="45" customWidth="1"/>
    <col min="533" max="533" width="11.54296875" style="45" customWidth="1"/>
    <col min="534" max="534" width="5.54296875" style="45" customWidth="1"/>
    <col min="535" max="535" width="6" style="45" customWidth="1"/>
    <col min="536" max="536" width="6.54296875" style="45" customWidth="1"/>
    <col min="537" max="537" width="11.08984375" style="45" customWidth="1"/>
    <col min="538" max="538" width="7.08984375" style="45" customWidth="1"/>
    <col min="539" max="540" width="5.81640625" style="45" customWidth="1"/>
    <col min="541" max="541" width="6" style="45" customWidth="1"/>
    <col min="542" max="542" width="6.81640625" style="45" customWidth="1"/>
    <col min="543" max="543" width="6" style="45" customWidth="1"/>
    <col min="544" max="544" width="18.08984375" style="45" customWidth="1"/>
    <col min="545" max="782" width="8.81640625" style="45"/>
    <col min="783" max="783" width="2.08984375" style="45" customWidth="1"/>
    <col min="784" max="784" width="5.81640625" style="45" customWidth="1"/>
    <col min="785" max="785" width="6.81640625" style="45" customWidth="1"/>
    <col min="786" max="786" width="6.08984375" style="45" customWidth="1"/>
    <col min="787" max="787" width="6.81640625" style="45" customWidth="1"/>
    <col min="788" max="788" width="10.81640625" style="45" customWidth="1"/>
    <col min="789" max="789" width="11.54296875" style="45" customWidth="1"/>
    <col min="790" max="790" width="5.54296875" style="45" customWidth="1"/>
    <col min="791" max="791" width="6" style="45" customWidth="1"/>
    <col min="792" max="792" width="6.54296875" style="45" customWidth="1"/>
    <col min="793" max="793" width="11.08984375" style="45" customWidth="1"/>
    <col min="794" max="794" width="7.08984375" style="45" customWidth="1"/>
    <col min="795" max="796" width="5.81640625" style="45" customWidth="1"/>
    <col min="797" max="797" width="6" style="45" customWidth="1"/>
    <col min="798" max="798" width="6.81640625" style="45" customWidth="1"/>
    <col min="799" max="799" width="6" style="45" customWidth="1"/>
    <col min="800" max="800" width="18.08984375" style="45" customWidth="1"/>
    <col min="801" max="1038" width="8.81640625" style="45"/>
    <col min="1039" max="1039" width="2.08984375" style="45" customWidth="1"/>
    <col min="1040" max="1040" width="5.81640625" style="45" customWidth="1"/>
    <col min="1041" max="1041" width="6.81640625" style="45" customWidth="1"/>
    <col min="1042" max="1042" width="6.08984375" style="45" customWidth="1"/>
    <col min="1043" max="1043" width="6.81640625" style="45" customWidth="1"/>
    <col min="1044" max="1044" width="10.81640625" style="45" customWidth="1"/>
    <col min="1045" max="1045" width="11.54296875" style="45" customWidth="1"/>
    <col min="1046" max="1046" width="5.54296875" style="45" customWidth="1"/>
    <col min="1047" max="1047" width="6" style="45" customWidth="1"/>
    <col min="1048" max="1048" width="6.54296875" style="45" customWidth="1"/>
    <col min="1049" max="1049" width="11.08984375" style="45" customWidth="1"/>
    <col min="1050" max="1050" width="7.08984375" style="45" customWidth="1"/>
    <col min="1051" max="1052" width="5.81640625" style="45" customWidth="1"/>
    <col min="1053" max="1053" width="6" style="45" customWidth="1"/>
    <col min="1054" max="1054" width="6.81640625" style="45" customWidth="1"/>
    <col min="1055" max="1055" width="6" style="45" customWidth="1"/>
    <col min="1056" max="1056" width="18.08984375" style="45" customWidth="1"/>
    <col min="1057" max="1294" width="8.81640625" style="45"/>
    <col min="1295" max="1295" width="2.08984375" style="45" customWidth="1"/>
    <col min="1296" max="1296" width="5.81640625" style="45" customWidth="1"/>
    <col min="1297" max="1297" width="6.81640625" style="45" customWidth="1"/>
    <col min="1298" max="1298" width="6.08984375" style="45" customWidth="1"/>
    <col min="1299" max="1299" width="6.81640625" style="45" customWidth="1"/>
    <col min="1300" max="1300" width="10.81640625" style="45" customWidth="1"/>
    <col min="1301" max="1301" width="11.54296875" style="45" customWidth="1"/>
    <col min="1302" max="1302" width="5.54296875" style="45" customWidth="1"/>
    <col min="1303" max="1303" width="6" style="45" customWidth="1"/>
    <col min="1304" max="1304" width="6.54296875" style="45" customWidth="1"/>
    <col min="1305" max="1305" width="11.08984375" style="45" customWidth="1"/>
    <col min="1306" max="1306" width="7.08984375" style="45" customWidth="1"/>
    <col min="1307" max="1308" width="5.81640625" style="45" customWidth="1"/>
    <col min="1309" max="1309" width="6" style="45" customWidth="1"/>
    <col min="1310" max="1310" width="6.81640625" style="45" customWidth="1"/>
    <col min="1311" max="1311" width="6" style="45" customWidth="1"/>
    <col min="1312" max="1312" width="18.08984375" style="45" customWidth="1"/>
    <col min="1313" max="1550" width="8.81640625" style="45"/>
    <col min="1551" max="1551" width="2.08984375" style="45" customWidth="1"/>
    <col min="1552" max="1552" width="5.81640625" style="45" customWidth="1"/>
    <col min="1553" max="1553" width="6.81640625" style="45" customWidth="1"/>
    <col min="1554" max="1554" width="6.08984375" style="45" customWidth="1"/>
    <col min="1555" max="1555" width="6.81640625" style="45" customWidth="1"/>
    <col min="1556" max="1556" width="10.81640625" style="45" customWidth="1"/>
    <col min="1557" max="1557" width="11.54296875" style="45" customWidth="1"/>
    <col min="1558" max="1558" width="5.54296875" style="45" customWidth="1"/>
    <col min="1559" max="1559" width="6" style="45" customWidth="1"/>
    <col min="1560" max="1560" width="6.54296875" style="45" customWidth="1"/>
    <col min="1561" max="1561" width="11.08984375" style="45" customWidth="1"/>
    <col min="1562" max="1562" width="7.08984375" style="45" customWidth="1"/>
    <col min="1563" max="1564" width="5.81640625" style="45" customWidth="1"/>
    <col min="1565" max="1565" width="6" style="45" customWidth="1"/>
    <col min="1566" max="1566" width="6.81640625" style="45" customWidth="1"/>
    <col min="1567" max="1567" width="6" style="45" customWidth="1"/>
    <col min="1568" max="1568" width="18.08984375" style="45" customWidth="1"/>
    <col min="1569" max="1806" width="8.81640625" style="45"/>
    <col min="1807" max="1807" width="2.08984375" style="45" customWidth="1"/>
    <col min="1808" max="1808" width="5.81640625" style="45" customWidth="1"/>
    <col min="1809" max="1809" width="6.81640625" style="45" customWidth="1"/>
    <col min="1810" max="1810" width="6.08984375" style="45" customWidth="1"/>
    <col min="1811" max="1811" width="6.81640625" style="45" customWidth="1"/>
    <col min="1812" max="1812" width="10.81640625" style="45" customWidth="1"/>
    <col min="1813" max="1813" width="11.54296875" style="45" customWidth="1"/>
    <col min="1814" max="1814" width="5.54296875" style="45" customWidth="1"/>
    <col min="1815" max="1815" width="6" style="45" customWidth="1"/>
    <col min="1816" max="1816" width="6.54296875" style="45" customWidth="1"/>
    <col min="1817" max="1817" width="11.08984375" style="45" customWidth="1"/>
    <col min="1818" max="1818" width="7.08984375" style="45" customWidth="1"/>
    <col min="1819" max="1820" width="5.81640625" style="45" customWidth="1"/>
    <col min="1821" max="1821" width="6" style="45" customWidth="1"/>
    <col min="1822" max="1822" width="6.81640625" style="45" customWidth="1"/>
    <col min="1823" max="1823" width="6" style="45" customWidth="1"/>
    <col min="1824" max="1824" width="18.08984375" style="45" customWidth="1"/>
    <col min="1825" max="2062" width="8.81640625" style="45"/>
    <col min="2063" max="2063" width="2.08984375" style="45" customWidth="1"/>
    <col min="2064" max="2064" width="5.81640625" style="45" customWidth="1"/>
    <col min="2065" max="2065" width="6.81640625" style="45" customWidth="1"/>
    <col min="2066" max="2066" width="6.08984375" style="45" customWidth="1"/>
    <col min="2067" max="2067" width="6.81640625" style="45" customWidth="1"/>
    <col min="2068" max="2068" width="10.81640625" style="45" customWidth="1"/>
    <col min="2069" max="2069" width="11.54296875" style="45" customWidth="1"/>
    <col min="2070" max="2070" width="5.54296875" style="45" customWidth="1"/>
    <col min="2071" max="2071" width="6" style="45" customWidth="1"/>
    <col min="2072" max="2072" width="6.54296875" style="45" customWidth="1"/>
    <col min="2073" max="2073" width="11.08984375" style="45" customWidth="1"/>
    <col min="2074" max="2074" width="7.08984375" style="45" customWidth="1"/>
    <col min="2075" max="2076" width="5.81640625" style="45" customWidth="1"/>
    <col min="2077" max="2077" width="6" style="45" customWidth="1"/>
    <col min="2078" max="2078" width="6.81640625" style="45" customWidth="1"/>
    <col min="2079" max="2079" width="6" style="45" customWidth="1"/>
    <col min="2080" max="2080" width="18.08984375" style="45" customWidth="1"/>
    <col min="2081" max="2318" width="8.81640625" style="45"/>
    <col min="2319" max="2319" width="2.08984375" style="45" customWidth="1"/>
    <col min="2320" max="2320" width="5.81640625" style="45" customWidth="1"/>
    <col min="2321" max="2321" width="6.81640625" style="45" customWidth="1"/>
    <col min="2322" max="2322" width="6.08984375" style="45" customWidth="1"/>
    <col min="2323" max="2323" width="6.81640625" style="45" customWidth="1"/>
    <col min="2324" max="2324" width="10.81640625" style="45" customWidth="1"/>
    <col min="2325" max="2325" width="11.54296875" style="45" customWidth="1"/>
    <col min="2326" max="2326" width="5.54296875" style="45" customWidth="1"/>
    <col min="2327" max="2327" width="6" style="45" customWidth="1"/>
    <col min="2328" max="2328" width="6.54296875" style="45" customWidth="1"/>
    <col min="2329" max="2329" width="11.08984375" style="45" customWidth="1"/>
    <col min="2330" max="2330" width="7.08984375" style="45" customWidth="1"/>
    <col min="2331" max="2332" width="5.81640625" style="45" customWidth="1"/>
    <col min="2333" max="2333" width="6" style="45" customWidth="1"/>
    <col min="2334" max="2334" width="6.81640625" style="45" customWidth="1"/>
    <col min="2335" max="2335" width="6" style="45" customWidth="1"/>
    <col min="2336" max="2336" width="18.08984375" style="45" customWidth="1"/>
    <col min="2337" max="2574" width="8.81640625" style="45"/>
    <col min="2575" max="2575" width="2.08984375" style="45" customWidth="1"/>
    <col min="2576" max="2576" width="5.81640625" style="45" customWidth="1"/>
    <col min="2577" max="2577" width="6.81640625" style="45" customWidth="1"/>
    <col min="2578" max="2578" width="6.08984375" style="45" customWidth="1"/>
    <col min="2579" max="2579" width="6.81640625" style="45" customWidth="1"/>
    <col min="2580" max="2580" width="10.81640625" style="45" customWidth="1"/>
    <col min="2581" max="2581" width="11.54296875" style="45" customWidth="1"/>
    <col min="2582" max="2582" width="5.54296875" style="45" customWidth="1"/>
    <col min="2583" max="2583" width="6" style="45" customWidth="1"/>
    <col min="2584" max="2584" width="6.54296875" style="45" customWidth="1"/>
    <col min="2585" max="2585" width="11.08984375" style="45" customWidth="1"/>
    <col min="2586" max="2586" width="7.08984375" style="45" customWidth="1"/>
    <col min="2587" max="2588" width="5.81640625" style="45" customWidth="1"/>
    <col min="2589" max="2589" width="6" style="45" customWidth="1"/>
    <col min="2590" max="2590" width="6.81640625" style="45" customWidth="1"/>
    <col min="2591" max="2591" width="6" style="45" customWidth="1"/>
    <col min="2592" max="2592" width="18.08984375" style="45" customWidth="1"/>
    <col min="2593" max="2830" width="8.81640625" style="45"/>
    <col min="2831" max="2831" width="2.08984375" style="45" customWidth="1"/>
    <col min="2832" max="2832" width="5.81640625" style="45" customWidth="1"/>
    <col min="2833" max="2833" width="6.81640625" style="45" customWidth="1"/>
    <col min="2834" max="2834" width="6.08984375" style="45" customWidth="1"/>
    <col min="2835" max="2835" width="6.81640625" style="45" customWidth="1"/>
    <col min="2836" max="2836" width="10.81640625" style="45" customWidth="1"/>
    <col min="2837" max="2837" width="11.54296875" style="45" customWidth="1"/>
    <col min="2838" max="2838" width="5.54296875" style="45" customWidth="1"/>
    <col min="2839" max="2839" width="6" style="45" customWidth="1"/>
    <col min="2840" max="2840" width="6.54296875" style="45" customWidth="1"/>
    <col min="2841" max="2841" width="11.08984375" style="45" customWidth="1"/>
    <col min="2842" max="2842" width="7.08984375" style="45" customWidth="1"/>
    <col min="2843" max="2844" width="5.81640625" style="45" customWidth="1"/>
    <col min="2845" max="2845" width="6" style="45" customWidth="1"/>
    <col min="2846" max="2846" width="6.81640625" style="45" customWidth="1"/>
    <col min="2847" max="2847" width="6" style="45" customWidth="1"/>
    <col min="2848" max="2848" width="18.08984375" style="45" customWidth="1"/>
    <col min="2849" max="3086" width="8.81640625" style="45"/>
    <col min="3087" max="3087" width="2.08984375" style="45" customWidth="1"/>
    <col min="3088" max="3088" width="5.81640625" style="45" customWidth="1"/>
    <col min="3089" max="3089" width="6.81640625" style="45" customWidth="1"/>
    <col min="3090" max="3090" width="6.08984375" style="45" customWidth="1"/>
    <col min="3091" max="3091" width="6.81640625" style="45" customWidth="1"/>
    <col min="3092" max="3092" width="10.81640625" style="45" customWidth="1"/>
    <col min="3093" max="3093" width="11.54296875" style="45" customWidth="1"/>
    <col min="3094" max="3094" width="5.54296875" style="45" customWidth="1"/>
    <col min="3095" max="3095" width="6" style="45" customWidth="1"/>
    <col min="3096" max="3096" width="6.54296875" style="45" customWidth="1"/>
    <col min="3097" max="3097" width="11.08984375" style="45" customWidth="1"/>
    <col min="3098" max="3098" width="7.08984375" style="45" customWidth="1"/>
    <col min="3099" max="3100" width="5.81640625" style="45" customWidth="1"/>
    <col min="3101" max="3101" width="6" style="45" customWidth="1"/>
    <col min="3102" max="3102" width="6.81640625" style="45" customWidth="1"/>
    <col min="3103" max="3103" width="6" style="45" customWidth="1"/>
    <col min="3104" max="3104" width="18.08984375" style="45" customWidth="1"/>
    <col min="3105" max="3342" width="8.81640625" style="45"/>
    <col min="3343" max="3343" width="2.08984375" style="45" customWidth="1"/>
    <col min="3344" max="3344" width="5.81640625" style="45" customWidth="1"/>
    <col min="3345" max="3345" width="6.81640625" style="45" customWidth="1"/>
    <col min="3346" max="3346" width="6.08984375" style="45" customWidth="1"/>
    <col min="3347" max="3347" width="6.81640625" style="45" customWidth="1"/>
    <col min="3348" max="3348" width="10.81640625" style="45" customWidth="1"/>
    <col min="3349" max="3349" width="11.54296875" style="45" customWidth="1"/>
    <col min="3350" max="3350" width="5.54296875" style="45" customWidth="1"/>
    <col min="3351" max="3351" width="6" style="45" customWidth="1"/>
    <col min="3352" max="3352" width="6.54296875" style="45" customWidth="1"/>
    <col min="3353" max="3353" width="11.08984375" style="45" customWidth="1"/>
    <col min="3354" max="3354" width="7.08984375" style="45" customWidth="1"/>
    <col min="3355" max="3356" width="5.81640625" style="45" customWidth="1"/>
    <col min="3357" max="3357" width="6" style="45" customWidth="1"/>
    <col min="3358" max="3358" width="6.81640625" style="45" customWidth="1"/>
    <col min="3359" max="3359" width="6" style="45" customWidth="1"/>
    <col min="3360" max="3360" width="18.08984375" style="45" customWidth="1"/>
    <col min="3361" max="3598" width="8.81640625" style="45"/>
    <col min="3599" max="3599" width="2.08984375" style="45" customWidth="1"/>
    <col min="3600" max="3600" width="5.81640625" style="45" customWidth="1"/>
    <col min="3601" max="3601" width="6.81640625" style="45" customWidth="1"/>
    <col min="3602" max="3602" width="6.08984375" style="45" customWidth="1"/>
    <col min="3603" max="3603" width="6.81640625" style="45" customWidth="1"/>
    <col min="3604" max="3604" width="10.81640625" style="45" customWidth="1"/>
    <col min="3605" max="3605" width="11.54296875" style="45" customWidth="1"/>
    <col min="3606" max="3606" width="5.54296875" style="45" customWidth="1"/>
    <col min="3607" max="3607" width="6" style="45" customWidth="1"/>
    <col min="3608" max="3608" width="6.54296875" style="45" customWidth="1"/>
    <col min="3609" max="3609" width="11.08984375" style="45" customWidth="1"/>
    <col min="3610" max="3610" width="7.08984375" style="45" customWidth="1"/>
    <col min="3611" max="3612" width="5.81640625" style="45" customWidth="1"/>
    <col min="3613" max="3613" width="6" style="45" customWidth="1"/>
    <col min="3614" max="3614" width="6.81640625" style="45" customWidth="1"/>
    <col min="3615" max="3615" width="6" style="45" customWidth="1"/>
    <col min="3616" max="3616" width="18.08984375" style="45" customWidth="1"/>
    <col min="3617" max="3854" width="8.81640625" style="45"/>
    <col min="3855" max="3855" width="2.08984375" style="45" customWidth="1"/>
    <col min="3856" max="3856" width="5.81640625" style="45" customWidth="1"/>
    <col min="3857" max="3857" width="6.81640625" style="45" customWidth="1"/>
    <col min="3858" max="3858" width="6.08984375" style="45" customWidth="1"/>
    <col min="3859" max="3859" width="6.81640625" style="45" customWidth="1"/>
    <col min="3860" max="3860" width="10.81640625" style="45" customWidth="1"/>
    <col min="3861" max="3861" width="11.54296875" style="45" customWidth="1"/>
    <col min="3862" max="3862" width="5.54296875" style="45" customWidth="1"/>
    <col min="3863" max="3863" width="6" style="45" customWidth="1"/>
    <col min="3864" max="3864" width="6.54296875" style="45" customWidth="1"/>
    <col min="3865" max="3865" width="11.08984375" style="45" customWidth="1"/>
    <col min="3866" max="3866" width="7.08984375" style="45" customWidth="1"/>
    <col min="3867" max="3868" width="5.81640625" style="45" customWidth="1"/>
    <col min="3869" max="3869" width="6" style="45" customWidth="1"/>
    <col min="3870" max="3870" width="6.81640625" style="45" customWidth="1"/>
    <col min="3871" max="3871" width="6" style="45" customWidth="1"/>
    <col min="3872" max="3872" width="18.08984375" style="45" customWidth="1"/>
    <col min="3873" max="4110" width="8.81640625" style="45"/>
    <col min="4111" max="4111" width="2.08984375" style="45" customWidth="1"/>
    <col min="4112" max="4112" width="5.81640625" style="45" customWidth="1"/>
    <col min="4113" max="4113" width="6.81640625" style="45" customWidth="1"/>
    <col min="4114" max="4114" width="6.08984375" style="45" customWidth="1"/>
    <col min="4115" max="4115" width="6.81640625" style="45" customWidth="1"/>
    <col min="4116" max="4116" width="10.81640625" style="45" customWidth="1"/>
    <col min="4117" max="4117" width="11.54296875" style="45" customWidth="1"/>
    <col min="4118" max="4118" width="5.54296875" style="45" customWidth="1"/>
    <col min="4119" max="4119" width="6" style="45" customWidth="1"/>
    <col min="4120" max="4120" width="6.54296875" style="45" customWidth="1"/>
    <col min="4121" max="4121" width="11.08984375" style="45" customWidth="1"/>
    <col min="4122" max="4122" width="7.08984375" style="45" customWidth="1"/>
    <col min="4123" max="4124" width="5.81640625" style="45" customWidth="1"/>
    <col min="4125" max="4125" width="6" style="45" customWidth="1"/>
    <col min="4126" max="4126" width="6.81640625" style="45" customWidth="1"/>
    <col min="4127" max="4127" width="6" style="45" customWidth="1"/>
    <col min="4128" max="4128" width="18.08984375" style="45" customWidth="1"/>
    <col min="4129" max="4366" width="8.81640625" style="45"/>
    <col min="4367" max="4367" width="2.08984375" style="45" customWidth="1"/>
    <col min="4368" max="4368" width="5.81640625" style="45" customWidth="1"/>
    <col min="4369" max="4369" width="6.81640625" style="45" customWidth="1"/>
    <col min="4370" max="4370" width="6.08984375" style="45" customWidth="1"/>
    <col min="4371" max="4371" width="6.81640625" style="45" customWidth="1"/>
    <col min="4372" max="4372" width="10.81640625" style="45" customWidth="1"/>
    <col min="4373" max="4373" width="11.54296875" style="45" customWidth="1"/>
    <col min="4374" max="4374" width="5.54296875" style="45" customWidth="1"/>
    <col min="4375" max="4375" width="6" style="45" customWidth="1"/>
    <col min="4376" max="4376" width="6.54296875" style="45" customWidth="1"/>
    <col min="4377" max="4377" width="11.08984375" style="45" customWidth="1"/>
    <col min="4378" max="4378" width="7.08984375" style="45" customWidth="1"/>
    <col min="4379" max="4380" width="5.81640625" style="45" customWidth="1"/>
    <col min="4381" max="4381" width="6" style="45" customWidth="1"/>
    <col min="4382" max="4382" width="6.81640625" style="45" customWidth="1"/>
    <col min="4383" max="4383" width="6" style="45" customWidth="1"/>
    <col min="4384" max="4384" width="18.08984375" style="45" customWidth="1"/>
    <col min="4385" max="4622" width="8.81640625" style="45"/>
    <col min="4623" max="4623" width="2.08984375" style="45" customWidth="1"/>
    <col min="4624" max="4624" width="5.81640625" style="45" customWidth="1"/>
    <col min="4625" max="4625" width="6.81640625" style="45" customWidth="1"/>
    <col min="4626" max="4626" width="6.08984375" style="45" customWidth="1"/>
    <col min="4627" max="4627" width="6.81640625" style="45" customWidth="1"/>
    <col min="4628" max="4628" width="10.81640625" style="45" customWidth="1"/>
    <col min="4629" max="4629" width="11.54296875" style="45" customWidth="1"/>
    <col min="4630" max="4630" width="5.54296875" style="45" customWidth="1"/>
    <col min="4631" max="4631" width="6" style="45" customWidth="1"/>
    <col min="4632" max="4632" width="6.54296875" style="45" customWidth="1"/>
    <col min="4633" max="4633" width="11.08984375" style="45" customWidth="1"/>
    <col min="4634" max="4634" width="7.08984375" style="45" customWidth="1"/>
    <col min="4635" max="4636" width="5.81640625" style="45" customWidth="1"/>
    <col min="4637" max="4637" width="6" style="45" customWidth="1"/>
    <col min="4638" max="4638" width="6.81640625" style="45" customWidth="1"/>
    <col min="4639" max="4639" width="6" style="45" customWidth="1"/>
    <col min="4640" max="4640" width="18.08984375" style="45" customWidth="1"/>
    <col min="4641" max="4878" width="8.81640625" style="45"/>
    <col min="4879" max="4879" width="2.08984375" style="45" customWidth="1"/>
    <col min="4880" max="4880" width="5.81640625" style="45" customWidth="1"/>
    <col min="4881" max="4881" width="6.81640625" style="45" customWidth="1"/>
    <col min="4882" max="4882" width="6.08984375" style="45" customWidth="1"/>
    <col min="4883" max="4883" width="6.81640625" style="45" customWidth="1"/>
    <col min="4884" max="4884" width="10.81640625" style="45" customWidth="1"/>
    <col min="4885" max="4885" width="11.54296875" style="45" customWidth="1"/>
    <col min="4886" max="4886" width="5.54296875" style="45" customWidth="1"/>
    <col min="4887" max="4887" width="6" style="45" customWidth="1"/>
    <col min="4888" max="4888" width="6.54296875" style="45" customWidth="1"/>
    <col min="4889" max="4889" width="11.08984375" style="45" customWidth="1"/>
    <col min="4890" max="4890" width="7.08984375" style="45" customWidth="1"/>
    <col min="4891" max="4892" width="5.81640625" style="45" customWidth="1"/>
    <col min="4893" max="4893" width="6" style="45" customWidth="1"/>
    <col min="4894" max="4894" width="6.81640625" style="45" customWidth="1"/>
    <col min="4895" max="4895" width="6" style="45" customWidth="1"/>
    <col min="4896" max="4896" width="18.08984375" style="45" customWidth="1"/>
    <col min="4897" max="5134" width="8.81640625" style="45"/>
    <col min="5135" max="5135" width="2.08984375" style="45" customWidth="1"/>
    <col min="5136" max="5136" width="5.81640625" style="45" customWidth="1"/>
    <col min="5137" max="5137" width="6.81640625" style="45" customWidth="1"/>
    <col min="5138" max="5138" width="6.08984375" style="45" customWidth="1"/>
    <col min="5139" max="5139" width="6.81640625" style="45" customWidth="1"/>
    <col min="5140" max="5140" width="10.81640625" style="45" customWidth="1"/>
    <col min="5141" max="5141" width="11.54296875" style="45" customWidth="1"/>
    <col min="5142" max="5142" width="5.54296875" style="45" customWidth="1"/>
    <col min="5143" max="5143" width="6" style="45" customWidth="1"/>
    <col min="5144" max="5144" width="6.54296875" style="45" customWidth="1"/>
    <col min="5145" max="5145" width="11.08984375" style="45" customWidth="1"/>
    <col min="5146" max="5146" width="7.08984375" style="45" customWidth="1"/>
    <col min="5147" max="5148" width="5.81640625" style="45" customWidth="1"/>
    <col min="5149" max="5149" width="6" style="45" customWidth="1"/>
    <col min="5150" max="5150" width="6.81640625" style="45" customWidth="1"/>
    <col min="5151" max="5151" width="6" style="45" customWidth="1"/>
    <col min="5152" max="5152" width="18.08984375" style="45" customWidth="1"/>
    <col min="5153" max="5390" width="8.81640625" style="45"/>
    <col min="5391" max="5391" width="2.08984375" style="45" customWidth="1"/>
    <col min="5392" max="5392" width="5.81640625" style="45" customWidth="1"/>
    <col min="5393" max="5393" width="6.81640625" style="45" customWidth="1"/>
    <col min="5394" max="5394" width="6.08984375" style="45" customWidth="1"/>
    <col min="5395" max="5395" width="6.81640625" style="45" customWidth="1"/>
    <col min="5396" max="5396" width="10.81640625" style="45" customWidth="1"/>
    <col min="5397" max="5397" width="11.54296875" style="45" customWidth="1"/>
    <col min="5398" max="5398" width="5.54296875" style="45" customWidth="1"/>
    <col min="5399" max="5399" width="6" style="45" customWidth="1"/>
    <col min="5400" max="5400" width="6.54296875" style="45" customWidth="1"/>
    <col min="5401" max="5401" width="11.08984375" style="45" customWidth="1"/>
    <col min="5402" max="5402" width="7.08984375" style="45" customWidth="1"/>
    <col min="5403" max="5404" width="5.81640625" style="45" customWidth="1"/>
    <col min="5405" max="5405" width="6" style="45" customWidth="1"/>
    <col min="5406" max="5406" width="6.81640625" style="45" customWidth="1"/>
    <col min="5407" max="5407" width="6" style="45" customWidth="1"/>
    <col min="5408" max="5408" width="18.08984375" style="45" customWidth="1"/>
    <col min="5409" max="5646" width="8.81640625" style="45"/>
    <col min="5647" max="5647" width="2.08984375" style="45" customWidth="1"/>
    <col min="5648" max="5648" width="5.81640625" style="45" customWidth="1"/>
    <col min="5649" max="5649" width="6.81640625" style="45" customWidth="1"/>
    <col min="5650" max="5650" width="6.08984375" style="45" customWidth="1"/>
    <col min="5651" max="5651" width="6.81640625" style="45" customWidth="1"/>
    <col min="5652" max="5652" width="10.81640625" style="45" customWidth="1"/>
    <col min="5653" max="5653" width="11.54296875" style="45" customWidth="1"/>
    <col min="5654" max="5654" width="5.54296875" style="45" customWidth="1"/>
    <col min="5655" max="5655" width="6" style="45" customWidth="1"/>
    <col min="5656" max="5656" width="6.54296875" style="45" customWidth="1"/>
    <col min="5657" max="5657" width="11.08984375" style="45" customWidth="1"/>
    <col min="5658" max="5658" width="7.08984375" style="45" customWidth="1"/>
    <col min="5659" max="5660" width="5.81640625" style="45" customWidth="1"/>
    <col min="5661" max="5661" width="6" style="45" customWidth="1"/>
    <col min="5662" max="5662" width="6.81640625" style="45" customWidth="1"/>
    <col min="5663" max="5663" width="6" style="45" customWidth="1"/>
    <col min="5664" max="5664" width="18.08984375" style="45" customWidth="1"/>
    <col min="5665" max="5902" width="8.81640625" style="45"/>
    <col min="5903" max="5903" width="2.08984375" style="45" customWidth="1"/>
    <col min="5904" max="5904" width="5.81640625" style="45" customWidth="1"/>
    <col min="5905" max="5905" width="6.81640625" style="45" customWidth="1"/>
    <col min="5906" max="5906" width="6.08984375" style="45" customWidth="1"/>
    <col min="5907" max="5907" width="6.81640625" style="45" customWidth="1"/>
    <col min="5908" max="5908" width="10.81640625" style="45" customWidth="1"/>
    <col min="5909" max="5909" width="11.54296875" style="45" customWidth="1"/>
    <col min="5910" max="5910" width="5.54296875" style="45" customWidth="1"/>
    <col min="5911" max="5911" width="6" style="45" customWidth="1"/>
    <col min="5912" max="5912" width="6.54296875" style="45" customWidth="1"/>
    <col min="5913" max="5913" width="11.08984375" style="45" customWidth="1"/>
    <col min="5914" max="5914" width="7.08984375" style="45" customWidth="1"/>
    <col min="5915" max="5916" width="5.81640625" style="45" customWidth="1"/>
    <col min="5917" max="5917" width="6" style="45" customWidth="1"/>
    <col min="5918" max="5918" width="6.81640625" style="45" customWidth="1"/>
    <col min="5919" max="5919" width="6" style="45" customWidth="1"/>
    <col min="5920" max="5920" width="18.08984375" style="45" customWidth="1"/>
    <col min="5921" max="6158" width="8.81640625" style="45"/>
    <col min="6159" max="6159" width="2.08984375" style="45" customWidth="1"/>
    <col min="6160" max="6160" width="5.81640625" style="45" customWidth="1"/>
    <col min="6161" max="6161" width="6.81640625" style="45" customWidth="1"/>
    <col min="6162" max="6162" width="6.08984375" style="45" customWidth="1"/>
    <col min="6163" max="6163" width="6.81640625" style="45" customWidth="1"/>
    <col min="6164" max="6164" width="10.81640625" style="45" customWidth="1"/>
    <col min="6165" max="6165" width="11.54296875" style="45" customWidth="1"/>
    <col min="6166" max="6166" width="5.54296875" style="45" customWidth="1"/>
    <col min="6167" max="6167" width="6" style="45" customWidth="1"/>
    <col min="6168" max="6168" width="6.54296875" style="45" customWidth="1"/>
    <col min="6169" max="6169" width="11.08984375" style="45" customWidth="1"/>
    <col min="6170" max="6170" width="7.08984375" style="45" customWidth="1"/>
    <col min="6171" max="6172" width="5.81640625" style="45" customWidth="1"/>
    <col min="6173" max="6173" width="6" style="45" customWidth="1"/>
    <col min="6174" max="6174" width="6.81640625" style="45" customWidth="1"/>
    <col min="6175" max="6175" width="6" style="45" customWidth="1"/>
    <col min="6176" max="6176" width="18.08984375" style="45" customWidth="1"/>
    <col min="6177" max="6414" width="8.81640625" style="45"/>
    <col min="6415" max="6415" width="2.08984375" style="45" customWidth="1"/>
    <col min="6416" max="6416" width="5.81640625" style="45" customWidth="1"/>
    <col min="6417" max="6417" width="6.81640625" style="45" customWidth="1"/>
    <col min="6418" max="6418" width="6.08984375" style="45" customWidth="1"/>
    <col min="6419" max="6419" width="6.81640625" style="45" customWidth="1"/>
    <col min="6420" max="6420" width="10.81640625" style="45" customWidth="1"/>
    <col min="6421" max="6421" width="11.54296875" style="45" customWidth="1"/>
    <col min="6422" max="6422" width="5.54296875" style="45" customWidth="1"/>
    <col min="6423" max="6423" width="6" style="45" customWidth="1"/>
    <col min="6424" max="6424" width="6.54296875" style="45" customWidth="1"/>
    <col min="6425" max="6425" width="11.08984375" style="45" customWidth="1"/>
    <col min="6426" max="6426" width="7.08984375" style="45" customWidth="1"/>
    <col min="6427" max="6428" width="5.81640625" style="45" customWidth="1"/>
    <col min="6429" max="6429" width="6" style="45" customWidth="1"/>
    <col min="6430" max="6430" width="6.81640625" style="45" customWidth="1"/>
    <col min="6431" max="6431" width="6" style="45" customWidth="1"/>
    <col min="6432" max="6432" width="18.08984375" style="45" customWidth="1"/>
    <col min="6433" max="6670" width="8.81640625" style="45"/>
    <col min="6671" max="6671" width="2.08984375" style="45" customWidth="1"/>
    <col min="6672" max="6672" width="5.81640625" style="45" customWidth="1"/>
    <col min="6673" max="6673" width="6.81640625" style="45" customWidth="1"/>
    <col min="6674" max="6674" width="6.08984375" style="45" customWidth="1"/>
    <col min="6675" max="6675" width="6.81640625" style="45" customWidth="1"/>
    <col min="6676" max="6676" width="10.81640625" style="45" customWidth="1"/>
    <col min="6677" max="6677" width="11.54296875" style="45" customWidth="1"/>
    <col min="6678" max="6678" width="5.54296875" style="45" customWidth="1"/>
    <col min="6679" max="6679" width="6" style="45" customWidth="1"/>
    <col min="6680" max="6680" width="6.54296875" style="45" customWidth="1"/>
    <col min="6681" max="6681" width="11.08984375" style="45" customWidth="1"/>
    <col min="6682" max="6682" width="7.08984375" style="45" customWidth="1"/>
    <col min="6683" max="6684" width="5.81640625" style="45" customWidth="1"/>
    <col min="6685" max="6685" width="6" style="45" customWidth="1"/>
    <col min="6686" max="6686" width="6.81640625" style="45" customWidth="1"/>
    <col min="6687" max="6687" width="6" style="45" customWidth="1"/>
    <col min="6688" max="6688" width="18.08984375" style="45" customWidth="1"/>
    <col min="6689" max="6926" width="8.81640625" style="45"/>
    <col min="6927" max="6927" width="2.08984375" style="45" customWidth="1"/>
    <col min="6928" max="6928" width="5.81640625" style="45" customWidth="1"/>
    <col min="6929" max="6929" width="6.81640625" style="45" customWidth="1"/>
    <col min="6930" max="6930" width="6.08984375" style="45" customWidth="1"/>
    <col min="6931" max="6931" width="6.81640625" style="45" customWidth="1"/>
    <col min="6932" max="6932" width="10.81640625" style="45" customWidth="1"/>
    <col min="6933" max="6933" width="11.54296875" style="45" customWidth="1"/>
    <col min="6934" max="6934" width="5.54296875" style="45" customWidth="1"/>
    <col min="6935" max="6935" width="6" style="45" customWidth="1"/>
    <col min="6936" max="6936" width="6.54296875" style="45" customWidth="1"/>
    <col min="6937" max="6937" width="11.08984375" style="45" customWidth="1"/>
    <col min="6938" max="6938" width="7.08984375" style="45" customWidth="1"/>
    <col min="6939" max="6940" width="5.81640625" style="45" customWidth="1"/>
    <col min="6941" max="6941" width="6" style="45" customWidth="1"/>
    <col min="6942" max="6942" width="6.81640625" style="45" customWidth="1"/>
    <col min="6943" max="6943" width="6" style="45" customWidth="1"/>
    <col min="6944" max="6944" width="18.08984375" style="45" customWidth="1"/>
    <col min="6945" max="7182" width="8.81640625" style="45"/>
    <col min="7183" max="7183" width="2.08984375" style="45" customWidth="1"/>
    <col min="7184" max="7184" width="5.81640625" style="45" customWidth="1"/>
    <col min="7185" max="7185" width="6.81640625" style="45" customWidth="1"/>
    <col min="7186" max="7186" width="6.08984375" style="45" customWidth="1"/>
    <col min="7187" max="7187" width="6.81640625" style="45" customWidth="1"/>
    <col min="7188" max="7188" width="10.81640625" style="45" customWidth="1"/>
    <col min="7189" max="7189" width="11.54296875" style="45" customWidth="1"/>
    <col min="7190" max="7190" width="5.54296875" style="45" customWidth="1"/>
    <col min="7191" max="7191" width="6" style="45" customWidth="1"/>
    <col min="7192" max="7192" width="6.54296875" style="45" customWidth="1"/>
    <col min="7193" max="7193" width="11.08984375" style="45" customWidth="1"/>
    <col min="7194" max="7194" width="7.08984375" style="45" customWidth="1"/>
    <col min="7195" max="7196" width="5.81640625" style="45" customWidth="1"/>
    <col min="7197" max="7197" width="6" style="45" customWidth="1"/>
    <col min="7198" max="7198" width="6.81640625" style="45" customWidth="1"/>
    <col min="7199" max="7199" width="6" style="45" customWidth="1"/>
    <col min="7200" max="7200" width="18.08984375" style="45" customWidth="1"/>
    <col min="7201" max="7438" width="8.81640625" style="45"/>
    <col min="7439" max="7439" width="2.08984375" style="45" customWidth="1"/>
    <col min="7440" max="7440" width="5.81640625" style="45" customWidth="1"/>
    <col min="7441" max="7441" width="6.81640625" style="45" customWidth="1"/>
    <col min="7442" max="7442" width="6.08984375" style="45" customWidth="1"/>
    <col min="7443" max="7443" width="6.81640625" style="45" customWidth="1"/>
    <col min="7444" max="7444" width="10.81640625" style="45" customWidth="1"/>
    <col min="7445" max="7445" width="11.54296875" style="45" customWidth="1"/>
    <col min="7446" max="7446" width="5.54296875" style="45" customWidth="1"/>
    <col min="7447" max="7447" width="6" style="45" customWidth="1"/>
    <col min="7448" max="7448" width="6.54296875" style="45" customWidth="1"/>
    <col min="7449" max="7449" width="11.08984375" style="45" customWidth="1"/>
    <col min="7450" max="7450" width="7.08984375" style="45" customWidth="1"/>
    <col min="7451" max="7452" width="5.81640625" style="45" customWidth="1"/>
    <col min="7453" max="7453" width="6" style="45" customWidth="1"/>
    <col min="7454" max="7454" width="6.81640625" style="45" customWidth="1"/>
    <col min="7455" max="7455" width="6" style="45" customWidth="1"/>
    <col min="7456" max="7456" width="18.08984375" style="45" customWidth="1"/>
    <col min="7457" max="7694" width="8.81640625" style="45"/>
    <col min="7695" max="7695" width="2.08984375" style="45" customWidth="1"/>
    <col min="7696" max="7696" width="5.81640625" style="45" customWidth="1"/>
    <col min="7697" max="7697" width="6.81640625" style="45" customWidth="1"/>
    <col min="7698" max="7698" width="6.08984375" style="45" customWidth="1"/>
    <col min="7699" max="7699" width="6.81640625" style="45" customWidth="1"/>
    <col min="7700" max="7700" width="10.81640625" style="45" customWidth="1"/>
    <col min="7701" max="7701" width="11.54296875" style="45" customWidth="1"/>
    <col min="7702" max="7702" width="5.54296875" style="45" customWidth="1"/>
    <col min="7703" max="7703" width="6" style="45" customWidth="1"/>
    <col min="7704" max="7704" width="6.54296875" style="45" customWidth="1"/>
    <col min="7705" max="7705" width="11.08984375" style="45" customWidth="1"/>
    <col min="7706" max="7706" width="7.08984375" style="45" customWidth="1"/>
    <col min="7707" max="7708" width="5.81640625" style="45" customWidth="1"/>
    <col min="7709" max="7709" width="6" style="45" customWidth="1"/>
    <col min="7710" max="7710" width="6.81640625" style="45" customWidth="1"/>
    <col min="7711" max="7711" width="6" style="45" customWidth="1"/>
    <col min="7712" max="7712" width="18.08984375" style="45" customWidth="1"/>
    <col min="7713" max="7950" width="8.81640625" style="45"/>
    <col min="7951" max="7951" width="2.08984375" style="45" customWidth="1"/>
    <col min="7952" max="7952" width="5.81640625" style="45" customWidth="1"/>
    <col min="7953" max="7953" width="6.81640625" style="45" customWidth="1"/>
    <col min="7954" max="7954" width="6.08984375" style="45" customWidth="1"/>
    <col min="7955" max="7955" width="6.81640625" style="45" customWidth="1"/>
    <col min="7956" max="7956" width="10.81640625" style="45" customWidth="1"/>
    <col min="7957" max="7957" width="11.54296875" style="45" customWidth="1"/>
    <col min="7958" max="7958" width="5.54296875" style="45" customWidth="1"/>
    <col min="7959" max="7959" width="6" style="45" customWidth="1"/>
    <col min="7960" max="7960" width="6.54296875" style="45" customWidth="1"/>
    <col min="7961" max="7961" width="11.08984375" style="45" customWidth="1"/>
    <col min="7962" max="7962" width="7.08984375" style="45" customWidth="1"/>
    <col min="7963" max="7964" width="5.81640625" style="45" customWidth="1"/>
    <col min="7965" max="7965" width="6" style="45" customWidth="1"/>
    <col min="7966" max="7966" width="6.81640625" style="45" customWidth="1"/>
    <col min="7967" max="7967" width="6" style="45" customWidth="1"/>
    <col min="7968" max="7968" width="18.08984375" style="45" customWidth="1"/>
    <col min="7969" max="8206" width="8.81640625" style="45"/>
    <col min="8207" max="8207" width="2.08984375" style="45" customWidth="1"/>
    <col min="8208" max="8208" width="5.81640625" style="45" customWidth="1"/>
    <col min="8209" max="8209" width="6.81640625" style="45" customWidth="1"/>
    <col min="8210" max="8210" width="6.08984375" style="45" customWidth="1"/>
    <col min="8211" max="8211" width="6.81640625" style="45" customWidth="1"/>
    <col min="8212" max="8212" width="10.81640625" style="45" customWidth="1"/>
    <col min="8213" max="8213" width="11.54296875" style="45" customWidth="1"/>
    <col min="8214" max="8214" width="5.54296875" style="45" customWidth="1"/>
    <col min="8215" max="8215" width="6" style="45" customWidth="1"/>
    <col min="8216" max="8216" width="6.54296875" style="45" customWidth="1"/>
    <col min="8217" max="8217" width="11.08984375" style="45" customWidth="1"/>
    <col min="8218" max="8218" width="7.08984375" style="45" customWidth="1"/>
    <col min="8219" max="8220" width="5.81640625" style="45" customWidth="1"/>
    <col min="8221" max="8221" width="6" style="45" customWidth="1"/>
    <col min="8222" max="8222" width="6.81640625" style="45" customWidth="1"/>
    <col min="8223" max="8223" width="6" style="45" customWidth="1"/>
    <col min="8224" max="8224" width="18.08984375" style="45" customWidth="1"/>
    <col min="8225" max="8462" width="8.81640625" style="45"/>
    <col min="8463" max="8463" width="2.08984375" style="45" customWidth="1"/>
    <col min="8464" max="8464" width="5.81640625" style="45" customWidth="1"/>
    <col min="8465" max="8465" width="6.81640625" style="45" customWidth="1"/>
    <col min="8466" max="8466" width="6.08984375" style="45" customWidth="1"/>
    <col min="8467" max="8467" width="6.81640625" style="45" customWidth="1"/>
    <col min="8468" max="8468" width="10.81640625" style="45" customWidth="1"/>
    <col min="8469" max="8469" width="11.54296875" style="45" customWidth="1"/>
    <col min="8470" max="8470" width="5.54296875" style="45" customWidth="1"/>
    <col min="8471" max="8471" width="6" style="45" customWidth="1"/>
    <col min="8472" max="8472" width="6.54296875" style="45" customWidth="1"/>
    <col min="8473" max="8473" width="11.08984375" style="45" customWidth="1"/>
    <col min="8474" max="8474" width="7.08984375" style="45" customWidth="1"/>
    <col min="8475" max="8476" width="5.81640625" style="45" customWidth="1"/>
    <col min="8477" max="8477" width="6" style="45" customWidth="1"/>
    <col min="8478" max="8478" width="6.81640625" style="45" customWidth="1"/>
    <col min="8479" max="8479" width="6" style="45" customWidth="1"/>
    <col min="8480" max="8480" width="18.08984375" style="45" customWidth="1"/>
    <col min="8481" max="8718" width="8.81640625" style="45"/>
    <col min="8719" max="8719" width="2.08984375" style="45" customWidth="1"/>
    <col min="8720" max="8720" width="5.81640625" style="45" customWidth="1"/>
    <col min="8721" max="8721" width="6.81640625" style="45" customWidth="1"/>
    <col min="8722" max="8722" width="6.08984375" style="45" customWidth="1"/>
    <col min="8723" max="8723" width="6.81640625" style="45" customWidth="1"/>
    <col min="8724" max="8724" width="10.81640625" style="45" customWidth="1"/>
    <col min="8725" max="8725" width="11.54296875" style="45" customWidth="1"/>
    <col min="8726" max="8726" width="5.54296875" style="45" customWidth="1"/>
    <col min="8727" max="8727" width="6" style="45" customWidth="1"/>
    <col min="8728" max="8728" width="6.54296875" style="45" customWidth="1"/>
    <col min="8729" max="8729" width="11.08984375" style="45" customWidth="1"/>
    <col min="8730" max="8730" width="7.08984375" style="45" customWidth="1"/>
    <col min="8731" max="8732" width="5.81640625" style="45" customWidth="1"/>
    <col min="8733" max="8733" width="6" style="45" customWidth="1"/>
    <col min="8734" max="8734" width="6.81640625" style="45" customWidth="1"/>
    <col min="8735" max="8735" width="6" style="45" customWidth="1"/>
    <col min="8736" max="8736" width="18.08984375" style="45" customWidth="1"/>
    <col min="8737" max="8974" width="8.81640625" style="45"/>
    <col min="8975" max="8975" width="2.08984375" style="45" customWidth="1"/>
    <col min="8976" max="8976" width="5.81640625" style="45" customWidth="1"/>
    <col min="8977" max="8977" width="6.81640625" style="45" customWidth="1"/>
    <col min="8978" max="8978" width="6.08984375" style="45" customWidth="1"/>
    <col min="8979" max="8979" width="6.81640625" style="45" customWidth="1"/>
    <col min="8980" max="8980" width="10.81640625" style="45" customWidth="1"/>
    <col min="8981" max="8981" width="11.54296875" style="45" customWidth="1"/>
    <col min="8982" max="8982" width="5.54296875" style="45" customWidth="1"/>
    <col min="8983" max="8983" width="6" style="45" customWidth="1"/>
    <col min="8984" max="8984" width="6.54296875" style="45" customWidth="1"/>
    <col min="8985" max="8985" width="11.08984375" style="45" customWidth="1"/>
    <col min="8986" max="8986" width="7.08984375" style="45" customWidth="1"/>
    <col min="8987" max="8988" width="5.81640625" style="45" customWidth="1"/>
    <col min="8989" max="8989" width="6" style="45" customWidth="1"/>
    <col min="8990" max="8990" width="6.81640625" style="45" customWidth="1"/>
    <col min="8991" max="8991" width="6" style="45" customWidth="1"/>
    <col min="8992" max="8992" width="18.08984375" style="45" customWidth="1"/>
    <col min="8993" max="9230" width="8.81640625" style="45"/>
    <col min="9231" max="9231" width="2.08984375" style="45" customWidth="1"/>
    <col min="9232" max="9232" width="5.81640625" style="45" customWidth="1"/>
    <col min="9233" max="9233" width="6.81640625" style="45" customWidth="1"/>
    <col min="9234" max="9234" width="6.08984375" style="45" customWidth="1"/>
    <col min="9235" max="9235" width="6.81640625" style="45" customWidth="1"/>
    <col min="9236" max="9236" width="10.81640625" style="45" customWidth="1"/>
    <col min="9237" max="9237" width="11.54296875" style="45" customWidth="1"/>
    <col min="9238" max="9238" width="5.54296875" style="45" customWidth="1"/>
    <col min="9239" max="9239" width="6" style="45" customWidth="1"/>
    <col min="9240" max="9240" width="6.54296875" style="45" customWidth="1"/>
    <col min="9241" max="9241" width="11.08984375" style="45" customWidth="1"/>
    <col min="9242" max="9242" width="7.08984375" style="45" customWidth="1"/>
    <col min="9243" max="9244" width="5.81640625" style="45" customWidth="1"/>
    <col min="9245" max="9245" width="6" style="45" customWidth="1"/>
    <col min="9246" max="9246" width="6.81640625" style="45" customWidth="1"/>
    <col min="9247" max="9247" width="6" style="45" customWidth="1"/>
    <col min="9248" max="9248" width="18.08984375" style="45" customWidth="1"/>
    <col min="9249" max="9486" width="8.81640625" style="45"/>
    <col min="9487" max="9487" width="2.08984375" style="45" customWidth="1"/>
    <col min="9488" max="9488" width="5.81640625" style="45" customWidth="1"/>
    <col min="9489" max="9489" width="6.81640625" style="45" customWidth="1"/>
    <col min="9490" max="9490" width="6.08984375" style="45" customWidth="1"/>
    <col min="9491" max="9491" width="6.81640625" style="45" customWidth="1"/>
    <col min="9492" max="9492" width="10.81640625" style="45" customWidth="1"/>
    <col min="9493" max="9493" width="11.54296875" style="45" customWidth="1"/>
    <col min="9494" max="9494" width="5.54296875" style="45" customWidth="1"/>
    <col min="9495" max="9495" width="6" style="45" customWidth="1"/>
    <col min="9496" max="9496" width="6.54296875" style="45" customWidth="1"/>
    <col min="9497" max="9497" width="11.08984375" style="45" customWidth="1"/>
    <col min="9498" max="9498" width="7.08984375" style="45" customWidth="1"/>
    <col min="9499" max="9500" width="5.81640625" style="45" customWidth="1"/>
    <col min="9501" max="9501" width="6" style="45" customWidth="1"/>
    <col min="9502" max="9502" width="6.81640625" style="45" customWidth="1"/>
    <col min="9503" max="9503" width="6" style="45" customWidth="1"/>
    <col min="9504" max="9504" width="18.08984375" style="45" customWidth="1"/>
    <col min="9505" max="9742" width="8.81640625" style="45"/>
    <col min="9743" max="9743" width="2.08984375" style="45" customWidth="1"/>
    <col min="9744" max="9744" width="5.81640625" style="45" customWidth="1"/>
    <col min="9745" max="9745" width="6.81640625" style="45" customWidth="1"/>
    <col min="9746" max="9746" width="6.08984375" style="45" customWidth="1"/>
    <col min="9747" max="9747" width="6.81640625" style="45" customWidth="1"/>
    <col min="9748" max="9748" width="10.81640625" style="45" customWidth="1"/>
    <col min="9749" max="9749" width="11.54296875" style="45" customWidth="1"/>
    <col min="9750" max="9750" width="5.54296875" style="45" customWidth="1"/>
    <col min="9751" max="9751" width="6" style="45" customWidth="1"/>
    <col min="9752" max="9752" width="6.54296875" style="45" customWidth="1"/>
    <col min="9753" max="9753" width="11.08984375" style="45" customWidth="1"/>
    <col min="9754" max="9754" width="7.08984375" style="45" customWidth="1"/>
    <col min="9755" max="9756" width="5.81640625" style="45" customWidth="1"/>
    <col min="9757" max="9757" width="6" style="45" customWidth="1"/>
    <col min="9758" max="9758" width="6.81640625" style="45" customWidth="1"/>
    <col min="9759" max="9759" width="6" style="45" customWidth="1"/>
    <col min="9760" max="9760" width="18.08984375" style="45" customWidth="1"/>
    <col min="9761" max="9998" width="8.81640625" style="45"/>
    <col min="9999" max="9999" width="2.08984375" style="45" customWidth="1"/>
    <col min="10000" max="10000" width="5.81640625" style="45" customWidth="1"/>
    <col min="10001" max="10001" width="6.81640625" style="45" customWidth="1"/>
    <col min="10002" max="10002" width="6.08984375" style="45" customWidth="1"/>
    <col min="10003" max="10003" width="6.81640625" style="45" customWidth="1"/>
    <col min="10004" max="10004" width="10.81640625" style="45" customWidth="1"/>
    <col min="10005" max="10005" width="11.54296875" style="45" customWidth="1"/>
    <col min="10006" max="10006" width="5.54296875" style="45" customWidth="1"/>
    <col min="10007" max="10007" width="6" style="45" customWidth="1"/>
    <col min="10008" max="10008" width="6.54296875" style="45" customWidth="1"/>
    <col min="10009" max="10009" width="11.08984375" style="45" customWidth="1"/>
    <col min="10010" max="10010" width="7.08984375" style="45" customWidth="1"/>
    <col min="10011" max="10012" width="5.81640625" style="45" customWidth="1"/>
    <col min="10013" max="10013" width="6" style="45" customWidth="1"/>
    <col min="10014" max="10014" width="6.81640625" style="45" customWidth="1"/>
    <col min="10015" max="10015" width="6" style="45" customWidth="1"/>
    <col min="10016" max="10016" width="18.08984375" style="45" customWidth="1"/>
    <col min="10017" max="10254" width="8.81640625" style="45"/>
    <col min="10255" max="10255" width="2.08984375" style="45" customWidth="1"/>
    <col min="10256" max="10256" width="5.81640625" style="45" customWidth="1"/>
    <col min="10257" max="10257" width="6.81640625" style="45" customWidth="1"/>
    <col min="10258" max="10258" width="6.08984375" style="45" customWidth="1"/>
    <col min="10259" max="10259" width="6.81640625" style="45" customWidth="1"/>
    <col min="10260" max="10260" width="10.81640625" style="45" customWidth="1"/>
    <col min="10261" max="10261" width="11.54296875" style="45" customWidth="1"/>
    <col min="10262" max="10262" width="5.54296875" style="45" customWidth="1"/>
    <col min="10263" max="10263" width="6" style="45" customWidth="1"/>
    <col min="10264" max="10264" width="6.54296875" style="45" customWidth="1"/>
    <col min="10265" max="10265" width="11.08984375" style="45" customWidth="1"/>
    <col min="10266" max="10266" width="7.08984375" style="45" customWidth="1"/>
    <col min="10267" max="10268" width="5.81640625" style="45" customWidth="1"/>
    <col min="10269" max="10269" width="6" style="45" customWidth="1"/>
    <col min="10270" max="10270" width="6.81640625" style="45" customWidth="1"/>
    <col min="10271" max="10271" width="6" style="45" customWidth="1"/>
    <col min="10272" max="10272" width="18.08984375" style="45" customWidth="1"/>
    <col min="10273" max="10510" width="8.81640625" style="45"/>
    <col min="10511" max="10511" width="2.08984375" style="45" customWidth="1"/>
    <col min="10512" max="10512" width="5.81640625" style="45" customWidth="1"/>
    <col min="10513" max="10513" width="6.81640625" style="45" customWidth="1"/>
    <col min="10514" max="10514" width="6.08984375" style="45" customWidth="1"/>
    <col min="10515" max="10515" width="6.81640625" style="45" customWidth="1"/>
    <col min="10516" max="10516" width="10.81640625" style="45" customWidth="1"/>
    <col min="10517" max="10517" width="11.54296875" style="45" customWidth="1"/>
    <col min="10518" max="10518" width="5.54296875" style="45" customWidth="1"/>
    <col min="10519" max="10519" width="6" style="45" customWidth="1"/>
    <col min="10520" max="10520" width="6.54296875" style="45" customWidth="1"/>
    <col min="10521" max="10521" width="11.08984375" style="45" customWidth="1"/>
    <col min="10522" max="10522" width="7.08984375" style="45" customWidth="1"/>
    <col min="10523" max="10524" width="5.81640625" style="45" customWidth="1"/>
    <col min="10525" max="10525" width="6" style="45" customWidth="1"/>
    <col min="10526" max="10526" width="6.81640625" style="45" customWidth="1"/>
    <col min="10527" max="10527" width="6" style="45" customWidth="1"/>
    <col min="10528" max="10528" width="18.08984375" style="45" customWidth="1"/>
    <col min="10529" max="10766" width="8.81640625" style="45"/>
    <col min="10767" max="10767" width="2.08984375" style="45" customWidth="1"/>
    <col min="10768" max="10768" width="5.81640625" style="45" customWidth="1"/>
    <col min="10769" max="10769" width="6.81640625" style="45" customWidth="1"/>
    <col min="10770" max="10770" width="6.08984375" style="45" customWidth="1"/>
    <col min="10771" max="10771" width="6.81640625" style="45" customWidth="1"/>
    <col min="10772" max="10772" width="10.81640625" style="45" customWidth="1"/>
    <col min="10773" max="10773" width="11.54296875" style="45" customWidth="1"/>
    <col min="10774" max="10774" width="5.54296875" style="45" customWidth="1"/>
    <col min="10775" max="10775" width="6" style="45" customWidth="1"/>
    <col min="10776" max="10776" width="6.54296875" style="45" customWidth="1"/>
    <col min="10777" max="10777" width="11.08984375" style="45" customWidth="1"/>
    <col min="10778" max="10778" width="7.08984375" style="45" customWidth="1"/>
    <col min="10779" max="10780" width="5.81640625" style="45" customWidth="1"/>
    <col min="10781" max="10781" width="6" style="45" customWidth="1"/>
    <col min="10782" max="10782" width="6.81640625" style="45" customWidth="1"/>
    <col min="10783" max="10783" width="6" style="45" customWidth="1"/>
    <col min="10784" max="10784" width="18.08984375" style="45" customWidth="1"/>
    <col min="10785" max="11022" width="8.81640625" style="45"/>
    <col min="11023" max="11023" width="2.08984375" style="45" customWidth="1"/>
    <col min="11024" max="11024" width="5.81640625" style="45" customWidth="1"/>
    <col min="11025" max="11025" width="6.81640625" style="45" customWidth="1"/>
    <col min="11026" max="11026" width="6.08984375" style="45" customWidth="1"/>
    <col min="11027" max="11027" width="6.81640625" style="45" customWidth="1"/>
    <col min="11028" max="11028" width="10.81640625" style="45" customWidth="1"/>
    <col min="11029" max="11029" width="11.54296875" style="45" customWidth="1"/>
    <col min="11030" max="11030" width="5.54296875" style="45" customWidth="1"/>
    <col min="11031" max="11031" width="6" style="45" customWidth="1"/>
    <col min="11032" max="11032" width="6.54296875" style="45" customWidth="1"/>
    <col min="11033" max="11033" width="11.08984375" style="45" customWidth="1"/>
    <col min="11034" max="11034" width="7.08984375" style="45" customWidth="1"/>
    <col min="11035" max="11036" width="5.81640625" style="45" customWidth="1"/>
    <col min="11037" max="11037" width="6" style="45" customWidth="1"/>
    <col min="11038" max="11038" width="6.81640625" style="45" customWidth="1"/>
    <col min="11039" max="11039" width="6" style="45" customWidth="1"/>
    <col min="11040" max="11040" width="18.08984375" style="45" customWidth="1"/>
    <col min="11041" max="11278" width="8.81640625" style="45"/>
    <col min="11279" max="11279" width="2.08984375" style="45" customWidth="1"/>
    <col min="11280" max="11280" width="5.81640625" style="45" customWidth="1"/>
    <col min="11281" max="11281" width="6.81640625" style="45" customWidth="1"/>
    <col min="11282" max="11282" width="6.08984375" style="45" customWidth="1"/>
    <col min="11283" max="11283" width="6.81640625" style="45" customWidth="1"/>
    <col min="11284" max="11284" width="10.81640625" style="45" customWidth="1"/>
    <col min="11285" max="11285" width="11.54296875" style="45" customWidth="1"/>
    <col min="11286" max="11286" width="5.54296875" style="45" customWidth="1"/>
    <col min="11287" max="11287" width="6" style="45" customWidth="1"/>
    <col min="11288" max="11288" width="6.54296875" style="45" customWidth="1"/>
    <col min="11289" max="11289" width="11.08984375" style="45" customWidth="1"/>
    <col min="11290" max="11290" width="7.08984375" style="45" customWidth="1"/>
    <col min="11291" max="11292" width="5.81640625" style="45" customWidth="1"/>
    <col min="11293" max="11293" width="6" style="45" customWidth="1"/>
    <col min="11294" max="11294" width="6.81640625" style="45" customWidth="1"/>
    <col min="11295" max="11295" width="6" style="45" customWidth="1"/>
    <col min="11296" max="11296" width="18.08984375" style="45" customWidth="1"/>
    <col min="11297" max="11534" width="8.81640625" style="45"/>
    <col min="11535" max="11535" width="2.08984375" style="45" customWidth="1"/>
    <col min="11536" max="11536" width="5.81640625" style="45" customWidth="1"/>
    <col min="11537" max="11537" width="6.81640625" style="45" customWidth="1"/>
    <col min="11538" max="11538" width="6.08984375" style="45" customWidth="1"/>
    <col min="11539" max="11539" width="6.81640625" style="45" customWidth="1"/>
    <col min="11540" max="11540" width="10.81640625" style="45" customWidth="1"/>
    <col min="11541" max="11541" width="11.54296875" style="45" customWidth="1"/>
    <col min="11542" max="11542" width="5.54296875" style="45" customWidth="1"/>
    <col min="11543" max="11543" width="6" style="45" customWidth="1"/>
    <col min="11544" max="11544" width="6.54296875" style="45" customWidth="1"/>
    <col min="11545" max="11545" width="11.08984375" style="45" customWidth="1"/>
    <col min="11546" max="11546" width="7.08984375" style="45" customWidth="1"/>
    <col min="11547" max="11548" width="5.81640625" style="45" customWidth="1"/>
    <col min="11549" max="11549" width="6" style="45" customWidth="1"/>
    <col min="11550" max="11550" width="6.81640625" style="45" customWidth="1"/>
    <col min="11551" max="11551" width="6" style="45" customWidth="1"/>
    <col min="11552" max="11552" width="18.08984375" style="45" customWidth="1"/>
    <col min="11553" max="11790" width="8.81640625" style="45"/>
    <col min="11791" max="11791" width="2.08984375" style="45" customWidth="1"/>
    <col min="11792" max="11792" width="5.81640625" style="45" customWidth="1"/>
    <col min="11793" max="11793" width="6.81640625" style="45" customWidth="1"/>
    <col min="11794" max="11794" width="6.08984375" style="45" customWidth="1"/>
    <col min="11795" max="11795" width="6.81640625" style="45" customWidth="1"/>
    <col min="11796" max="11796" width="10.81640625" style="45" customWidth="1"/>
    <col min="11797" max="11797" width="11.54296875" style="45" customWidth="1"/>
    <col min="11798" max="11798" width="5.54296875" style="45" customWidth="1"/>
    <col min="11799" max="11799" width="6" style="45" customWidth="1"/>
    <col min="11800" max="11800" width="6.54296875" style="45" customWidth="1"/>
    <col min="11801" max="11801" width="11.08984375" style="45" customWidth="1"/>
    <col min="11802" max="11802" width="7.08984375" style="45" customWidth="1"/>
    <col min="11803" max="11804" width="5.81640625" style="45" customWidth="1"/>
    <col min="11805" max="11805" width="6" style="45" customWidth="1"/>
    <col min="11806" max="11806" width="6.81640625" style="45" customWidth="1"/>
    <col min="11807" max="11807" width="6" style="45" customWidth="1"/>
    <col min="11808" max="11808" width="18.08984375" style="45" customWidth="1"/>
    <col min="11809" max="12046" width="8.81640625" style="45"/>
    <col min="12047" max="12047" width="2.08984375" style="45" customWidth="1"/>
    <col min="12048" max="12048" width="5.81640625" style="45" customWidth="1"/>
    <col min="12049" max="12049" width="6.81640625" style="45" customWidth="1"/>
    <col min="12050" max="12050" width="6.08984375" style="45" customWidth="1"/>
    <col min="12051" max="12051" width="6.81640625" style="45" customWidth="1"/>
    <col min="12052" max="12052" width="10.81640625" style="45" customWidth="1"/>
    <col min="12053" max="12053" width="11.54296875" style="45" customWidth="1"/>
    <col min="12054" max="12054" width="5.54296875" style="45" customWidth="1"/>
    <col min="12055" max="12055" width="6" style="45" customWidth="1"/>
    <col min="12056" max="12056" width="6.54296875" style="45" customWidth="1"/>
    <col min="12057" max="12057" width="11.08984375" style="45" customWidth="1"/>
    <col min="12058" max="12058" width="7.08984375" style="45" customWidth="1"/>
    <col min="12059" max="12060" width="5.81640625" style="45" customWidth="1"/>
    <col min="12061" max="12061" width="6" style="45" customWidth="1"/>
    <col min="12062" max="12062" width="6.81640625" style="45" customWidth="1"/>
    <col min="12063" max="12063" width="6" style="45" customWidth="1"/>
    <col min="12064" max="12064" width="18.08984375" style="45" customWidth="1"/>
    <col min="12065" max="12302" width="8.81640625" style="45"/>
    <col min="12303" max="12303" width="2.08984375" style="45" customWidth="1"/>
    <col min="12304" max="12304" width="5.81640625" style="45" customWidth="1"/>
    <col min="12305" max="12305" width="6.81640625" style="45" customWidth="1"/>
    <col min="12306" max="12306" width="6.08984375" style="45" customWidth="1"/>
    <col min="12307" max="12307" width="6.81640625" style="45" customWidth="1"/>
    <col min="12308" max="12308" width="10.81640625" style="45" customWidth="1"/>
    <col min="12309" max="12309" width="11.54296875" style="45" customWidth="1"/>
    <col min="12310" max="12310" width="5.54296875" style="45" customWidth="1"/>
    <col min="12311" max="12311" width="6" style="45" customWidth="1"/>
    <col min="12312" max="12312" width="6.54296875" style="45" customWidth="1"/>
    <col min="12313" max="12313" width="11.08984375" style="45" customWidth="1"/>
    <col min="12314" max="12314" width="7.08984375" style="45" customWidth="1"/>
    <col min="12315" max="12316" width="5.81640625" style="45" customWidth="1"/>
    <col min="12317" max="12317" width="6" style="45" customWidth="1"/>
    <col min="12318" max="12318" width="6.81640625" style="45" customWidth="1"/>
    <col min="12319" max="12319" width="6" style="45" customWidth="1"/>
    <col min="12320" max="12320" width="18.08984375" style="45" customWidth="1"/>
    <col min="12321" max="12558" width="8.81640625" style="45"/>
    <col min="12559" max="12559" width="2.08984375" style="45" customWidth="1"/>
    <col min="12560" max="12560" width="5.81640625" style="45" customWidth="1"/>
    <col min="12561" max="12561" width="6.81640625" style="45" customWidth="1"/>
    <col min="12562" max="12562" width="6.08984375" style="45" customWidth="1"/>
    <col min="12563" max="12563" width="6.81640625" style="45" customWidth="1"/>
    <col min="12564" max="12564" width="10.81640625" style="45" customWidth="1"/>
    <col min="12565" max="12565" width="11.54296875" style="45" customWidth="1"/>
    <col min="12566" max="12566" width="5.54296875" style="45" customWidth="1"/>
    <col min="12567" max="12567" width="6" style="45" customWidth="1"/>
    <col min="12568" max="12568" width="6.54296875" style="45" customWidth="1"/>
    <col min="12569" max="12569" width="11.08984375" style="45" customWidth="1"/>
    <col min="12570" max="12570" width="7.08984375" style="45" customWidth="1"/>
    <col min="12571" max="12572" width="5.81640625" style="45" customWidth="1"/>
    <col min="12573" max="12573" width="6" style="45" customWidth="1"/>
    <col min="12574" max="12574" width="6.81640625" style="45" customWidth="1"/>
    <col min="12575" max="12575" width="6" style="45" customWidth="1"/>
    <col min="12576" max="12576" width="18.08984375" style="45" customWidth="1"/>
    <col min="12577" max="12814" width="8.81640625" style="45"/>
    <col min="12815" max="12815" width="2.08984375" style="45" customWidth="1"/>
    <col min="12816" max="12816" width="5.81640625" style="45" customWidth="1"/>
    <col min="12817" max="12817" width="6.81640625" style="45" customWidth="1"/>
    <col min="12818" max="12818" width="6.08984375" style="45" customWidth="1"/>
    <col min="12819" max="12819" width="6.81640625" style="45" customWidth="1"/>
    <col min="12820" max="12820" width="10.81640625" style="45" customWidth="1"/>
    <col min="12821" max="12821" width="11.54296875" style="45" customWidth="1"/>
    <col min="12822" max="12822" width="5.54296875" style="45" customWidth="1"/>
    <col min="12823" max="12823" width="6" style="45" customWidth="1"/>
    <col min="12824" max="12824" width="6.54296875" style="45" customWidth="1"/>
    <col min="12825" max="12825" width="11.08984375" style="45" customWidth="1"/>
    <col min="12826" max="12826" width="7.08984375" style="45" customWidth="1"/>
    <col min="12827" max="12828" width="5.81640625" style="45" customWidth="1"/>
    <col min="12829" max="12829" width="6" style="45" customWidth="1"/>
    <col min="12830" max="12830" width="6.81640625" style="45" customWidth="1"/>
    <col min="12831" max="12831" width="6" style="45" customWidth="1"/>
    <col min="12832" max="12832" width="18.08984375" style="45" customWidth="1"/>
    <col min="12833" max="13070" width="8.81640625" style="45"/>
    <col min="13071" max="13071" width="2.08984375" style="45" customWidth="1"/>
    <col min="13072" max="13072" width="5.81640625" style="45" customWidth="1"/>
    <col min="13073" max="13073" width="6.81640625" style="45" customWidth="1"/>
    <col min="13074" max="13074" width="6.08984375" style="45" customWidth="1"/>
    <col min="13075" max="13075" width="6.81640625" style="45" customWidth="1"/>
    <col min="13076" max="13076" width="10.81640625" style="45" customWidth="1"/>
    <col min="13077" max="13077" width="11.54296875" style="45" customWidth="1"/>
    <col min="13078" max="13078" width="5.54296875" style="45" customWidth="1"/>
    <col min="13079" max="13079" width="6" style="45" customWidth="1"/>
    <col min="13080" max="13080" width="6.54296875" style="45" customWidth="1"/>
    <col min="13081" max="13081" width="11.08984375" style="45" customWidth="1"/>
    <col min="13082" max="13082" width="7.08984375" style="45" customWidth="1"/>
    <col min="13083" max="13084" width="5.81640625" style="45" customWidth="1"/>
    <col min="13085" max="13085" width="6" style="45" customWidth="1"/>
    <col min="13086" max="13086" width="6.81640625" style="45" customWidth="1"/>
    <col min="13087" max="13087" width="6" style="45" customWidth="1"/>
    <col min="13088" max="13088" width="18.08984375" style="45" customWidth="1"/>
    <col min="13089" max="13326" width="8.81640625" style="45"/>
    <col min="13327" max="13327" width="2.08984375" style="45" customWidth="1"/>
    <col min="13328" max="13328" width="5.81640625" style="45" customWidth="1"/>
    <col min="13329" max="13329" width="6.81640625" style="45" customWidth="1"/>
    <col min="13330" max="13330" width="6.08984375" style="45" customWidth="1"/>
    <col min="13331" max="13331" width="6.81640625" style="45" customWidth="1"/>
    <col min="13332" max="13332" width="10.81640625" style="45" customWidth="1"/>
    <col min="13333" max="13333" width="11.54296875" style="45" customWidth="1"/>
    <col min="13334" max="13334" width="5.54296875" style="45" customWidth="1"/>
    <col min="13335" max="13335" width="6" style="45" customWidth="1"/>
    <col min="13336" max="13336" width="6.54296875" style="45" customWidth="1"/>
    <col min="13337" max="13337" width="11.08984375" style="45" customWidth="1"/>
    <col min="13338" max="13338" width="7.08984375" style="45" customWidth="1"/>
    <col min="13339" max="13340" width="5.81640625" style="45" customWidth="1"/>
    <col min="13341" max="13341" width="6" style="45" customWidth="1"/>
    <col min="13342" max="13342" width="6.81640625" style="45" customWidth="1"/>
    <col min="13343" max="13343" width="6" style="45" customWidth="1"/>
    <col min="13344" max="13344" width="18.08984375" style="45" customWidth="1"/>
    <col min="13345" max="13582" width="8.81640625" style="45"/>
    <col min="13583" max="13583" width="2.08984375" style="45" customWidth="1"/>
    <col min="13584" max="13584" width="5.81640625" style="45" customWidth="1"/>
    <col min="13585" max="13585" width="6.81640625" style="45" customWidth="1"/>
    <col min="13586" max="13586" width="6.08984375" style="45" customWidth="1"/>
    <col min="13587" max="13587" width="6.81640625" style="45" customWidth="1"/>
    <col min="13588" max="13588" width="10.81640625" style="45" customWidth="1"/>
    <col min="13589" max="13589" width="11.54296875" style="45" customWidth="1"/>
    <col min="13590" max="13590" width="5.54296875" style="45" customWidth="1"/>
    <col min="13591" max="13591" width="6" style="45" customWidth="1"/>
    <col min="13592" max="13592" width="6.54296875" style="45" customWidth="1"/>
    <col min="13593" max="13593" width="11.08984375" style="45" customWidth="1"/>
    <col min="13594" max="13594" width="7.08984375" style="45" customWidth="1"/>
    <col min="13595" max="13596" width="5.81640625" style="45" customWidth="1"/>
    <col min="13597" max="13597" width="6" style="45" customWidth="1"/>
    <col min="13598" max="13598" width="6.81640625" style="45" customWidth="1"/>
    <col min="13599" max="13599" width="6" style="45" customWidth="1"/>
    <col min="13600" max="13600" width="18.08984375" style="45" customWidth="1"/>
    <col min="13601" max="13838" width="8.81640625" style="45"/>
    <col min="13839" max="13839" width="2.08984375" style="45" customWidth="1"/>
    <col min="13840" max="13840" width="5.81640625" style="45" customWidth="1"/>
    <col min="13841" max="13841" width="6.81640625" style="45" customWidth="1"/>
    <col min="13842" max="13842" width="6.08984375" style="45" customWidth="1"/>
    <col min="13843" max="13843" width="6.81640625" style="45" customWidth="1"/>
    <col min="13844" max="13844" width="10.81640625" style="45" customWidth="1"/>
    <col min="13845" max="13845" width="11.54296875" style="45" customWidth="1"/>
    <col min="13846" max="13846" width="5.54296875" style="45" customWidth="1"/>
    <col min="13847" max="13847" width="6" style="45" customWidth="1"/>
    <col min="13848" max="13848" width="6.54296875" style="45" customWidth="1"/>
    <col min="13849" max="13849" width="11.08984375" style="45" customWidth="1"/>
    <col min="13850" max="13850" width="7.08984375" style="45" customWidth="1"/>
    <col min="13851" max="13852" width="5.81640625" style="45" customWidth="1"/>
    <col min="13853" max="13853" width="6" style="45" customWidth="1"/>
    <col min="13854" max="13854" width="6.81640625" style="45" customWidth="1"/>
    <col min="13855" max="13855" width="6" style="45" customWidth="1"/>
    <col min="13856" max="13856" width="18.08984375" style="45" customWidth="1"/>
    <col min="13857" max="14094" width="8.81640625" style="45"/>
    <col min="14095" max="14095" width="2.08984375" style="45" customWidth="1"/>
    <col min="14096" max="14096" width="5.81640625" style="45" customWidth="1"/>
    <col min="14097" max="14097" width="6.81640625" style="45" customWidth="1"/>
    <col min="14098" max="14098" width="6.08984375" style="45" customWidth="1"/>
    <col min="14099" max="14099" width="6.81640625" style="45" customWidth="1"/>
    <col min="14100" max="14100" width="10.81640625" style="45" customWidth="1"/>
    <col min="14101" max="14101" width="11.54296875" style="45" customWidth="1"/>
    <col min="14102" max="14102" width="5.54296875" style="45" customWidth="1"/>
    <col min="14103" max="14103" width="6" style="45" customWidth="1"/>
    <col min="14104" max="14104" width="6.54296875" style="45" customWidth="1"/>
    <col min="14105" max="14105" width="11.08984375" style="45" customWidth="1"/>
    <col min="14106" max="14106" width="7.08984375" style="45" customWidth="1"/>
    <col min="14107" max="14108" width="5.81640625" style="45" customWidth="1"/>
    <col min="14109" max="14109" width="6" style="45" customWidth="1"/>
    <col min="14110" max="14110" width="6.81640625" style="45" customWidth="1"/>
    <col min="14111" max="14111" width="6" style="45" customWidth="1"/>
    <col min="14112" max="14112" width="18.08984375" style="45" customWidth="1"/>
    <col min="14113" max="14350" width="8.81640625" style="45"/>
    <col min="14351" max="14351" width="2.08984375" style="45" customWidth="1"/>
    <col min="14352" max="14352" width="5.81640625" style="45" customWidth="1"/>
    <col min="14353" max="14353" width="6.81640625" style="45" customWidth="1"/>
    <col min="14354" max="14354" width="6.08984375" style="45" customWidth="1"/>
    <col min="14355" max="14355" width="6.81640625" style="45" customWidth="1"/>
    <col min="14356" max="14356" width="10.81640625" style="45" customWidth="1"/>
    <col min="14357" max="14357" width="11.54296875" style="45" customWidth="1"/>
    <col min="14358" max="14358" width="5.54296875" style="45" customWidth="1"/>
    <col min="14359" max="14359" width="6" style="45" customWidth="1"/>
    <col min="14360" max="14360" width="6.54296875" style="45" customWidth="1"/>
    <col min="14361" max="14361" width="11.08984375" style="45" customWidth="1"/>
    <col min="14362" max="14362" width="7.08984375" style="45" customWidth="1"/>
    <col min="14363" max="14364" width="5.81640625" style="45" customWidth="1"/>
    <col min="14365" max="14365" width="6" style="45" customWidth="1"/>
    <col min="14366" max="14366" width="6.81640625" style="45" customWidth="1"/>
    <col min="14367" max="14367" width="6" style="45" customWidth="1"/>
    <col min="14368" max="14368" width="18.08984375" style="45" customWidth="1"/>
    <col min="14369" max="14606" width="8.81640625" style="45"/>
    <col min="14607" max="14607" width="2.08984375" style="45" customWidth="1"/>
    <col min="14608" max="14608" width="5.81640625" style="45" customWidth="1"/>
    <col min="14609" max="14609" width="6.81640625" style="45" customWidth="1"/>
    <col min="14610" max="14610" width="6.08984375" style="45" customWidth="1"/>
    <col min="14611" max="14611" width="6.81640625" style="45" customWidth="1"/>
    <col min="14612" max="14612" width="10.81640625" style="45" customWidth="1"/>
    <col min="14613" max="14613" width="11.54296875" style="45" customWidth="1"/>
    <col min="14614" max="14614" width="5.54296875" style="45" customWidth="1"/>
    <col min="14615" max="14615" width="6" style="45" customWidth="1"/>
    <col min="14616" max="14616" width="6.54296875" style="45" customWidth="1"/>
    <col min="14617" max="14617" width="11.08984375" style="45" customWidth="1"/>
    <col min="14618" max="14618" width="7.08984375" style="45" customWidth="1"/>
    <col min="14619" max="14620" width="5.81640625" style="45" customWidth="1"/>
    <col min="14621" max="14621" width="6" style="45" customWidth="1"/>
    <col min="14622" max="14622" width="6.81640625" style="45" customWidth="1"/>
    <col min="14623" max="14623" width="6" style="45" customWidth="1"/>
    <col min="14624" max="14624" width="18.08984375" style="45" customWidth="1"/>
    <col min="14625" max="14862" width="8.81640625" style="45"/>
    <col min="14863" max="14863" width="2.08984375" style="45" customWidth="1"/>
    <col min="14864" max="14864" width="5.81640625" style="45" customWidth="1"/>
    <col min="14865" max="14865" width="6.81640625" style="45" customWidth="1"/>
    <col min="14866" max="14866" width="6.08984375" style="45" customWidth="1"/>
    <col min="14867" max="14867" width="6.81640625" style="45" customWidth="1"/>
    <col min="14868" max="14868" width="10.81640625" style="45" customWidth="1"/>
    <col min="14869" max="14869" width="11.54296875" style="45" customWidth="1"/>
    <col min="14870" max="14870" width="5.54296875" style="45" customWidth="1"/>
    <col min="14871" max="14871" width="6" style="45" customWidth="1"/>
    <col min="14872" max="14872" width="6.54296875" style="45" customWidth="1"/>
    <col min="14873" max="14873" width="11.08984375" style="45" customWidth="1"/>
    <col min="14874" max="14874" width="7.08984375" style="45" customWidth="1"/>
    <col min="14875" max="14876" width="5.81640625" style="45" customWidth="1"/>
    <col min="14877" max="14877" width="6" style="45" customWidth="1"/>
    <col min="14878" max="14878" width="6.81640625" style="45" customWidth="1"/>
    <col min="14879" max="14879" width="6" style="45" customWidth="1"/>
    <col min="14880" max="14880" width="18.08984375" style="45" customWidth="1"/>
    <col min="14881" max="15118" width="8.81640625" style="45"/>
    <col min="15119" max="15119" width="2.08984375" style="45" customWidth="1"/>
    <col min="15120" max="15120" width="5.81640625" style="45" customWidth="1"/>
    <col min="15121" max="15121" width="6.81640625" style="45" customWidth="1"/>
    <col min="15122" max="15122" width="6.08984375" style="45" customWidth="1"/>
    <col min="15123" max="15123" width="6.81640625" style="45" customWidth="1"/>
    <col min="15124" max="15124" width="10.81640625" style="45" customWidth="1"/>
    <col min="15125" max="15125" width="11.54296875" style="45" customWidth="1"/>
    <col min="15126" max="15126" width="5.54296875" style="45" customWidth="1"/>
    <col min="15127" max="15127" width="6" style="45" customWidth="1"/>
    <col min="15128" max="15128" width="6.54296875" style="45" customWidth="1"/>
    <col min="15129" max="15129" width="11.08984375" style="45" customWidth="1"/>
    <col min="15130" max="15130" width="7.08984375" style="45" customWidth="1"/>
    <col min="15131" max="15132" width="5.81640625" style="45" customWidth="1"/>
    <col min="15133" max="15133" width="6" style="45" customWidth="1"/>
    <col min="15134" max="15134" width="6.81640625" style="45" customWidth="1"/>
    <col min="15135" max="15135" width="6" style="45" customWidth="1"/>
    <col min="15136" max="15136" width="18.08984375" style="45" customWidth="1"/>
    <col min="15137" max="15374" width="8.81640625" style="45"/>
    <col min="15375" max="15375" width="2.08984375" style="45" customWidth="1"/>
    <col min="15376" max="15376" width="5.81640625" style="45" customWidth="1"/>
    <col min="15377" max="15377" width="6.81640625" style="45" customWidth="1"/>
    <col min="15378" max="15378" width="6.08984375" style="45" customWidth="1"/>
    <col min="15379" max="15379" width="6.81640625" style="45" customWidth="1"/>
    <col min="15380" max="15380" width="10.81640625" style="45" customWidth="1"/>
    <col min="15381" max="15381" width="11.54296875" style="45" customWidth="1"/>
    <col min="15382" max="15382" width="5.54296875" style="45" customWidth="1"/>
    <col min="15383" max="15383" width="6" style="45" customWidth="1"/>
    <col min="15384" max="15384" width="6.54296875" style="45" customWidth="1"/>
    <col min="15385" max="15385" width="11.08984375" style="45" customWidth="1"/>
    <col min="15386" max="15386" width="7.08984375" style="45" customWidth="1"/>
    <col min="15387" max="15388" width="5.81640625" style="45" customWidth="1"/>
    <col min="15389" max="15389" width="6" style="45" customWidth="1"/>
    <col min="15390" max="15390" width="6.81640625" style="45" customWidth="1"/>
    <col min="15391" max="15391" width="6" style="45" customWidth="1"/>
    <col min="15392" max="15392" width="18.08984375" style="45" customWidth="1"/>
    <col min="15393" max="15630" width="8.81640625" style="45"/>
    <col min="15631" max="15631" width="2.08984375" style="45" customWidth="1"/>
    <col min="15632" max="15632" width="5.81640625" style="45" customWidth="1"/>
    <col min="15633" max="15633" width="6.81640625" style="45" customWidth="1"/>
    <col min="15634" max="15634" width="6.08984375" style="45" customWidth="1"/>
    <col min="15635" max="15635" width="6.81640625" style="45" customWidth="1"/>
    <col min="15636" max="15636" width="10.81640625" style="45" customWidth="1"/>
    <col min="15637" max="15637" width="11.54296875" style="45" customWidth="1"/>
    <col min="15638" max="15638" width="5.54296875" style="45" customWidth="1"/>
    <col min="15639" max="15639" width="6" style="45" customWidth="1"/>
    <col min="15640" max="15640" width="6.54296875" style="45" customWidth="1"/>
    <col min="15641" max="15641" width="11.08984375" style="45" customWidth="1"/>
    <col min="15642" max="15642" width="7.08984375" style="45" customWidth="1"/>
    <col min="15643" max="15644" width="5.81640625" style="45" customWidth="1"/>
    <col min="15645" max="15645" width="6" style="45" customWidth="1"/>
    <col min="15646" max="15646" width="6.81640625" style="45" customWidth="1"/>
    <col min="15647" max="15647" width="6" style="45" customWidth="1"/>
    <col min="15648" max="15648" width="18.08984375" style="45" customWidth="1"/>
    <col min="15649" max="15886" width="8.81640625" style="45"/>
    <col min="15887" max="15887" width="2.08984375" style="45" customWidth="1"/>
    <col min="15888" max="15888" width="5.81640625" style="45" customWidth="1"/>
    <col min="15889" max="15889" width="6.81640625" style="45" customWidth="1"/>
    <col min="15890" max="15890" width="6.08984375" style="45" customWidth="1"/>
    <col min="15891" max="15891" width="6.81640625" style="45" customWidth="1"/>
    <col min="15892" max="15892" width="10.81640625" style="45" customWidth="1"/>
    <col min="15893" max="15893" width="11.54296875" style="45" customWidth="1"/>
    <col min="15894" max="15894" width="5.54296875" style="45" customWidth="1"/>
    <col min="15895" max="15895" width="6" style="45" customWidth="1"/>
    <col min="15896" max="15896" width="6.54296875" style="45" customWidth="1"/>
    <col min="15897" max="15897" width="11.08984375" style="45" customWidth="1"/>
    <col min="15898" max="15898" width="7.08984375" style="45" customWidth="1"/>
    <col min="15899" max="15900" width="5.81640625" style="45" customWidth="1"/>
    <col min="15901" max="15901" width="6" style="45" customWidth="1"/>
    <col min="15902" max="15902" width="6.81640625" style="45" customWidth="1"/>
    <col min="15903" max="15903" width="6" style="45" customWidth="1"/>
    <col min="15904" max="15904" width="18.08984375" style="45" customWidth="1"/>
    <col min="15905" max="16142" width="8.81640625" style="45"/>
    <col min="16143" max="16143" width="2.08984375" style="45" customWidth="1"/>
    <col min="16144" max="16144" width="5.81640625" style="45" customWidth="1"/>
    <col min="16145" max="16145" width="6.81640625" style="45" customWidth="1"/>
    <col min="16146" max="16146" width="6.08984375" style="45" customWidth="1"/>
    <col min="16147" max="16147" width="6.81640625" style="45" customWidth="1"/>
    <col min="16148" max="16148" width="10.81640625" style="45" customWidth="1"/>
    <col min="16149" max="16149" width="11.54296875" style="45" customWidth="1"/>
    <col min="16150" max="16150" width="5.54296875" style="45" customWidth="1"/>
    <col min="16151" max="16151" width="6" style="45" customWidth="1"/>
    <col min="16152" max="16152" width="6.54296875" style="45" customWidth="1"/>
    <col min="16153" max="16153" width="11.08984375" style="45" customWidth="1"/>
    <col min="16154" max="16154" width="7.08984375" style="45" customWidth="1"/>
    <col min="16155" max="16156" width="5.81640625" style="45" customWidth="1"/>
    <col min="16157" max="16157" width="6" style="45" customWidth="1"/>
    <col min="16158" max="16158" width="6.81640625" style="45" customWidth="1"/>
    <col min="16159" max="16159" width="6" style="45" customWidth="1"/>
    <col min="16160" max="16160" width="18.08984375" style="45" customWidth="1"/>
  </cols>
  <sheetData>
    <row r="1" spans="2:36" ht="10" customHeight="1" x14ac:dyDescent="0.25"/>
    <row r="2" spans="2:36" ht="35.4" customHeight="1" thickBot="1" x14ac:dyDescent="0.3">
      <c r="B2" s="253" t="s">
        <v>411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5"/>
    </row>
    <row r="3" spans="2:36" s="46" customFormat="1" ht="17.5" customHeight="1" x14ac:dyDescent="0.25">
      <c r="B3" s="256" t="s">
        <v>406</v>
      </c>
      <c r="C3" s="259" t="s">
        <v>405</v>
      </c>
      <c r="D3" s="262" t="s">
        <v>404</v>
      </c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3" t="s">
        <v>403</v>
      </c>
      <c r="AB3" s="264"/>
      <c r="AC3" s="264"/>
      <c r="AD3" s="264"/>
      <c r="AE3" s="264"/>
      <c r="AF3" s="264"/>
      <c r="AG3" s="264"/>
      <c r="AH3" s="264"/>
      <c r="AI3" s="264"/>
      <c r="AJ3" s="265"/>
    </row>
    <row r="4" spans="2:36" s="46" customFormat="1" ht="17.5" customHeight="1" x14ac:dyDescent="0.25">
      <c r="B4" s="257"/>
      <c r="C4" s="260"/>
      <c r="D4" s="266" t="s">
        <v>402</v>
      </c>
      <c r="E4" s="267"/>
      <c r="F4" s="267"/>
      <c r="G4" s="267"/>
      <c r="H4" s="267"/>
      <c r="I4" s="267"/>
      <c r="J4" s="268" t="s">
        <v>401</v>
      </c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71" t="s">
        <v>400</v>
      </c>
      <c r="V4" s="272"/>
      <c r="W4" s="272"/>
      <c r="X4" s="272"/>
      <c r="Y4" s="272"/>
      <c r="Z4" s="273"/>
      <c r="AA4" s="271" t="s">
        <v>399</v>
      </c>
      <c r="AB4" s="275" t="s">
        <v>398</v>
      </c>
      <c r="AC4" s="277" t="s">
        <v>397</v>
      </c>
      <c r="AD4" s="277" t="s">
        <v>306</v>
      </c>
      <c r="AE4" s="277" t="s">
        <v>396</v>
      </c>
      <c r="AF4" s="279" t="s">
        <v>395</v>
      </c>
      <c r="AG4" s="277" t="s">
        <v>394</v>
      </c>
      <c r="AH4" s="279" t="s">
        <v>393</v>
      </c>
      <c r="AI4" s="277" t="s">
        <v>392</v>
      </c>
      <c r="AJ4" s="280" t="s">
        <v>391</v>
      </c>
    </row>
    <row r="5" spans="2:36" s="46" customFormat="1" ht="37.5" customHeight="1" x14ac:dyDescent="0.25">
      <c r="B5" s="258"/>
      <c r="C5" s="261"/>
      <c r="D5" s="77" t="s">
        <v>390</v>
      </c>
      <c r="E5" s="74" t="s">
        <v>389</v>
      </c>
      <c r="F5" s="74" t="s">
        <v>388</v>
      </c>
      <c r="G5" s="74" t="s">
        <v>387</v>
      </c>
      <c r="H5" s="74" t="s">
        <v>378</v>
      </c>
      <c r="I5" s="66" t="s">
        <v>377</v>
      </c>
      <c r="J5" s="77" t="s">
        <v>381</v>
      </c>
      <c r="K5" s="74" t="s">
        <v>380</v>
      </c>
      <c r="L5" s="74" t="s">
        <v>379</v>
      </c>
      <c r="M5" s="74" t="s">
        <v>386</v>
      </c>
      <c r="N5" s="74" t="s">
        <v>386</v>
      </c>
      <c r="O5" s="74" t="s">
        <v>378</v>
      </c>
      <c r="P5" s="74" t="s">
        <v>385</v>
      </c>
      <c r="Q5" s="74" t="s">
        <v>384</v>
      </c>
      <c r="R5" s="74" t="s">
        <v>377</v>
      </c>
      <c r="S5" s="74" t="s">
        <v>383</v>
      </c>
      <c r="T5" s="76" t="s">
        <v>382</v>
      </c>
      <c r="U5" s="77" t="s">
        <v>381</v>
      </c>
      <c r="V5" s="65" t="s">
        <v>380</v>
      </c>
      <c r="W5" s="74" t="s">
        <v>379</v>
      </c>
      <c r="X5" s="74" t="s">
        <v>378</v>
      </c>
      <c r="Y5" s="74" t="s">
        <v>377</v>
      </c>
      <c r="Z5" s="76" t="s">
        <v>376</v>
      </c>
      <c r="AA5" s="274"/>
      <c r="AB5" s="276"/>
      <c r="AC5" s="278"/>
      <c r="AD5" s="278"/>
      <c r="AE5" s="278"/>
      <c r="AF5" s="278"/>
      <c r="AG5" s="278"/>
      <c r="AH5" s="278"/>
      <c r="AI5" s="278"/>
      <c r="AJ5" s="281"/>
    </row>
    <row r="6" spans="2:36" s="46" customFormat="1" ht="17.5" customHeight="1" x14ac:dyDescent="0.25">
      <c r="B6" s="282"/>
      <c r="C6" s="283" t="s">
        <v>407</v>
      </c>
      <c r="D6" s="50" t="s">
        <v>281</v>
      </c>
      <c r="E6" s="49" t="s">
        <v>281</v>
      </c>
      <c r="F6" s="49" t="s">
        <v>4</v>
      </c>
      <c r="G6" s="49" t="s">
        <v>281</v>
      </c>
      <c r="H6" s="49" t="s">
        <v>284</v>
      </c>
      <c r="I6" s="64" t="s">
        <v>284</v>
      </c>
      <c r="J6" s="50" t="s">
        <v>281</v>
      </c>
      <c r="K6" s="49" t="s">
        <v>281</v>
      </c>
      <c r="L6" s="49" t="s">
        <v>284</v>
      </c>
      <c r="M6" s="49" t="s">
        <v>284</v>
      </c>
      <c r="N6" s="49" t="s">
        <v>284</v>
      </c>
      <c r="O6" s="49" t="s">
        <v>284</v>
      </c>
      <c r="P6" s="49" t="s">
        <v>284</v>
      </c>
      <c r="Q6" s="49" t="s">
        <v>284</v>
      </c>
      <c r="R6" s="49" t="s">
        <v>284</v>
      </c>
      <c r="S6" s="49" t="s">
        <v>284</v>
      </c>
      <c r="T6" s="57" t="s">
        <v>284</v>
      </c>
      <c r="U6" s="50" t="s">
        <v>281</v>
      </c>
      <c r="V6" s="63" t="s">
        <v>281</v>
      </c>
      <c r="W6" s="49" t="s">
        <v>284</v>
      </c>
      <c r="X6" s="49" t="s">
        <v>284</v>
      </c>
      <c r="Y6" s="49" t="s">
        <v>284</v>
      </c>
      <c r="Z6" s="57" t="s">
        <v>284</v>
      </c>
      <c r="AA6" s="50" t="s">
        <v>297</v>
      </c>
      <c r="AB6" s="49" t="s">
        <v>297</v>
      </c>
      <c r="AC6" s="49" t="s">
        <v>372</v>
      </c>
      <c r="AD6" s="49" t="s">
        <v>297</v>
      </c>
      <c r="AE6" s="48" t="s">
        <v>372</v>
      </c>
      <c r="AF6" s="47" t="s">
        <v>374</v>
      </c>
      <c r="AG6" s="49" t="s">
        <v>297</v>
      </c>
      <c r="AH6" s="47" t="s">
        <v>373</v>
      </c>
      <c r="AI6" s="48" t="s">
        <v>372</v>
      </c>
      <c r="AJ6" s="61" t="s">
        <v>372</v>
      </c>
    </row>
    <row r="7" spans="2:36" s="133" customFormat="1" ht="24" customHeight="1" x14ac:dyDescent="0.25">
      <c r="B7" s="257"/>
      <c r="C7" s="260"/>
      <c r="D7" s="122"/>
      <c r="E7" s="123">
        <f>K7+V7</f>
        <v>0</v>
      </c>
      <c r="F7" s="140" t="str">
        <f>IF(D7="","",IF(D28="","",IF(D7=(D7+D28)/2,"--",IF(D7&gt;=(D7+D28)/2,"↑","↓"))))</f>
        <v/>
      </c>
      <c r="G7" s="123"/>
      <c r="H7" s="123"/>
      <c r="I7" s="124"/>
      <c r="J7" s="125"/>
      <c r="K7" s="126"/>
      <c r="L7" s="126"/>
      <c r="M7" s="126"/>
      <c r="N7" s="126"/>
      <c r="O7" s="126"/>
      <c r="P7" s="126"/>
      <c r="Q7" s="126"/>
      <c r="R7" s="126"/>
      <c r="S7" s="126"/>
      <c r="T7" s="127"/>
      <c r="U7" s="125"/>
      <c r="V7" s="128"/>
      <c r="W7" s="123"/>
      <c r="X7" s="123"/>
      <c r="Y7" s="123"/>
      <c r="Z7" s="129" t="e">
        <f>U7/D7</f>
        <v>#DIV/0!</v>
      </c>
      <c r="AA7" s="130"/>
      <c r="AB7" s="123"/>
      <c r="AC7" s="123"/>
      <c r="AD7" s="123"/>
      <c r="AE7" s="131"/>
      <c r="AF7" s="131"/>
      <c r="AG7" s="131"/>
      <c r="AH7" s="131"/>
      <c r="AI7" s="131"/>
      <c r="AJ7" s="132"/>
    </row>
    <row r="8" spans="2:36" s="46" customFormat="1" ht="17.5" customHeight="1" x14ac:dyDescent="0.25">
      <c r="B8" s="257"/>
      <c r="C8" s="260"/>
      <c r="D8" s="271" t="s">
        <v>371</v>
      </c>
      <c r="E8" s="272"/>
      <c r="F8" s="273"/>
      <c r="G8" s="271" t="s">
        <v>370</v>
      </c>
      <c r="H8" s="272"/>
      <c r="I8" s="272"/>
      <c r="J8" s="272"/>
      <c r="K8" s="272"/>
      <c r="L8" s="272"/>
      <c r="M8" s="272"/>
      <c r="N8" s="272"/>
      <c r="O8" s="273"/>
      <c r="P8" s="271" t="s">
        <v>369</v>
      </c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3"/>
      <c r="AE8" s="284" t="s">
        <v>336</v>
      </c>
      <c r="AF8" s="272"/>
      <c r="AG8" s="272"/>
      <c r="AH8" s="272"/>
      <c r="AI8" s="272"/>
      <c r="AJ8" s="273"/>
    </row>
    <row r="9" spans="2:36" s="46" customFormat="1" ht="15" customHeight="1" x14ac:dyDescent="0.25">
      <c r="B9" s="257"/>
      <c r="C9" s="260"/>
      <c r="D9" s="285" t="s">
        <v>368</v>
      </c>
      <c r="E9" s="286" t="s">
        <v>367</v>
      </c>
      <c r="F9" s="287" t="s">
        <v>366</v>
      </c>
      <c r="G9" s="285" t="s">
        <v>365</v>
      </c>
      <c r="H9" s="278"/>
      <c r="I9" s="288" t="s">
        <v>364</v>
      </c>
      <c r="J9" s="288" t="s">
        <v>363</v>
      </c>
      <c r="K9" s="288" t="s">
        <v>362</v>
      </c>
      <c r="L9" s="288" t="s">
        <v>361</v>
      </c>
      <c r="M9" s="288" t="s">
        <v>360</v>
      </c>
      <c r="N9" s="288" t="s">
        <v>359</v>
      </c>
      <c r="O9" s="290" t="s">
        <v>358</v>
      </c>
      <c r="P9" s="285" t="s">
        <v>357</v>
      </c>
      <c r="Q9" s="278"/>
      <c r="R9" s="286" t="s">
        <v>356</v>
      </c>
      <c r="S9" s="278"/>
      <c r="T9" s="278"/>
      <c r="U9" s="286" t="s">
        <v>355</v>
      </c>
      <c r="V9" s="292" t="s">
        <v>354</v>
      </c>
      <c r="W9" s="278"/>
      <c r="X9" s="292" t="s">
        <v>353</v>
      </c>
      <c r="Y9" s="278"/>
      <c r="Z9" s="278"/>
      <c r="AA9" s="292" t="s">
        <v>352</v>
      </c>
      <c r="AB9" s="286" t="s">
        <v>351</v>
      </c>
      <c r="AC9" s="289" t="s">
        <v>350</v>
      </c>
      <c r="AD9" s="287" t="s">
        <v>349</v>
      </c>
      <c r="AE9" s="291" t="s">
        <v>348</v>
      </c>
      <c r="AF9" s="278"/>
      <c r="AG9" s="278"/>
      <c r="AH9" s="288" t="s">
        <v>332</v>
      </c>
      <c r="AI9" s="278"/>
      <c r="AJ9" s="281"/>
    </row>
    <row r="10" spans="2:36" s="46" customFormat="1" ht="15" customHeight="1" x14ac:dyDescent="0.25">
      <c r="B10" s="257"/>
      <c r="C10" s="260"/>
      <c r="D10" s="274"/>
      <c r="E10" s="278"/>
      <c r="F10" s="281"/>
      <c r="G10" s="75" t="s">
        <v>347</v>
      </c>
      <c r="H10" s="72" t="s">
        <v>346</v>
      </c>
      <c r="I10" s="278"/>
      <c r="J10" s="278"/>
      <c r="K10" s="278"/>
      <c r="L10" s="278"/>
      <c r="M10" s="278"/>
      <c r="N10" s="278"/>
      <c r="O10" s="281"/>
      <c r="P10" s="75" t="s">
        <v>345</v>
      </c>
      <c r="Q10" s="72" t="s">
        <v>344</v>
      </c>
      <c r="R10" s="72" t="s">
        <v>344</v>
      </c>
      <c r="S10" s="72" t="s">
        <v>343</v>
      </c>
      <c r="T10" s="71" t="s">
        <v>342</v>
      </c>
      <c r="U10" s="278"/>
      <c r="V10" s="71" t="s">
        <v>345</v>
      </c>
      <c r="W10" s="72" t="s">
        <v>344</v>
      </c>
      <c r="X10" s="71" t="s">
        <v>344</v>
      </c>
      <c r="Y10" s="72" t="s">
        <v>343</v>
      </c>
      <c r="Z10" s="71" t="s">
        <v>342</v>
      </c>
      <c r="AA10" s="278"/>
      <c r="AB10" s="278"/>
      <c r="AC10" s="278"/>
      <c r="AD10" s="281"/>
      <c r="AE10" s="77" t="s">
        <v>1</v>
      </c>
      <c r="AF10" s="74" t="s">
        <v>12</v>
      </c>
      <c r="AG10" s="74" t="s">
        <v>15</v>
      </c>
      <c r="AH10" s="52" t="s">
        <v>103</v>
      </c>
      <c r="AI10" s="74" t="s">
        <v>341</v>
      </c>
      <c r="AJ10" s="73" t="s">
        <v>340</v>
      </c>
    </row>
    <row r="11" spans="2:36" s="46" customFormat="1" ht="17.5" customHeight="1" x14ac:dyDescent="0.25">
      <c r="B11" s="257"/>
      <c r="C11" s="260"/>
      <c r="D11" s="75" t="s">
        <v>4</v>
      </c>
      <c r="E11" s="72" t="s">
        <v>4</v>
      </c>
      <c r="F11" s="73" t="s">
        <v>4</v>
      </c>
      <c r="G11" s="50" t="s">
        <v>299</v>
      </c>
      <c r="H11" s="49" t="s">
        <v>283</v>
      </c>
      <c r="I11" s="49" t="s">
        <v>339</v>
      </c>
      <c r="J11" s="49" t="s">
        <v>299</v>
      </c>
      <c r="K11" s="58" t="s">
        <v>302</v>
      </c>
      <c r="L11" s="49" t="s">
        <v>301</v>
      </c>
      <c r="M11" s="58" t="s">
        <v>302</v>
      </c>
      <c r="N11" s="58" t="s">
        <v>302</v>
      </c>
      <c r="O11" s="57" t="s">
        <v>301</v>
      </c>
      <c r="P11" s="50" t="s">
        <v>284</v>
      </c>
      <c r="Q11" s="48" t="s">
        <v>284</v>
      </c>
      <c r="R11" s="49" t="s">
        <v>284</v>
      </c>
      <c r="S11" s="48" t="s">
        <v>284</v>
      </c>
      <c r="T11" s="47" t="s">
        <v>4</v>
      </c>
      <c r="U11" s="48" t="s">
        <v>283</v>
      </c>
      <c r="V11" s="47" t="s">
        <v>284</v>
      </c>
      <c r="W11" s="48" t="s">
        <v>283</v>
      </c>
      <c r="X11" s="47" t="s">
        <v>283</v>
      </c>
      <c r="Y11" s="48" t="s">
        <v>283</v>
      </c>
      <c r="Z11" s="62" t="s">
        <v>4</v>
      </c>
      <c r="AA11" s="62" t="s">
        <v>339</v>
      </c>
      <c r="AB11" s="58" t="s">
        <v>338</v>
      </c>
      <c r="AC11" s="58" t="s">
        <v>338</v>
      </c>
      <c r="AD11" s="61" t="s">
        <v>4</v>
      </c>
      <c r="AE11" s="60" t="s">
        <v>301</v>
      </c>
      <c r="AF11" s="53" t="s">
        <v>302</v>
      </c>
      <c r="AG11" s="52" t="s">
        <v>284</v>
      </c>
      <c r="AH11" s="52" t="s">
        <v>303</v>
      </c>
      <c r="AI11" s="52" t="s">
        <v>303</v>
      </c>
      <c r="AJ11" s="51" t="s">
        <v>303</v>
      </c>
    </row>
    <row r="12" spans="2:36" s="133" customFormat="1" ht="24" customHeight="1" x14ac:dyDescent="0.25">
      <c r="B12" s="257"/>
      <c r="C12" s="260"/>
      <c r="D12" s="141">
        <v>0.53</v>
      </c>
      <c r="E12" s="134"/>
      <c r="F12" s="146" t="str">
        <f>IF(E12="","",IF(AND(E12&gt;=0.525,E12&lt;=0.53),"合格","不合格"))</f>
        <v/>
      </c>
      <c r="G12" s="122"/>
      <c r="H12" s="123"/>
      <c r="I12" s="123"/>
      <c r="J12" s="123"/>
      <c r="K12" s="123"/>
      <c r="L12" s="123"/>
      <c r="M12" s="123"/>
      <c r="N12" s="123"/>
      <c r="O12" s="129"/>
      <c r="P12" s="142">
        <v>29.1</v>
      </c>
      <c r="Q12" s="143" t="s">
        <v>337</v>
      </c>
      <c r="R12" s="123"/>
      <c r="S12" s="123">
        <f>R12-Q12</f>
        <v>-33.1</v>
      </c>
      <c r="T12" s="140" t="str">
        <f>IF(S12&gt;=0,"↑","↓")</f>
        <v>↓</v>
      </c>
      <c r="U12" s="131" t="s">
        <v>82</v>
      </c>
      <c r="V12" s="143">
        <v>1.6</v>
      </c>
      <c r="W12" s="143">
        <v>17.600000000000001</v>
      </c>
      <c r="X12" s="123"/>
      <c r="Y12" s="123">
        <f>X12-W12</f>
        <v>-17.600000000000001</v>
      </c>
      <c r="Z12" s="140" t="str">
        <f>IF(Y12&gt;=0,"↑","↓")</f>
        <v>↓</v>
      </c>
      <c r="AA12" s="143">
        <v>6.28</v>
      </c>
      <c r="AB12" s="123"/>
      <c r="AC12" s="123">
        <f>AB12-AA12</f>
        <v>-6.28</v>
      </c>
      <c r="AD12" s="140" t="str">
        <f>IF(AC12&gt;=0,"↑","↓")</f>
        <v>↓</v>
      </c>
      <c r="AE12" s="135"/>
      <c r="AF12" s="123"/>
      <c r="AG12" s="131"/>
      <c r="AH12" s="131"/>
      <c r="AI12" s="131"/>
      <c r="AJ12" s="132"/>
    </row>
    <row r="13" spans="2:36" s="46" customFormat="1" ht="15" customHeight="1" x14ac:dyDescent="0.25">
      <c r="B13" s="257"/>
      <c r="C13" s="260"/>
      <c r="D13" s="271" t="s">
        <v>336</v>
      </c>
      <c r="E13" s="273"/>
      <c r="F13" s="271" t="s">
        <v>335</v>
      </c>
      <c r="G13" s="272"/>
      <c r="H13" s="272"/>
      <c r="I13" s="272"/>
      <c r="J13" s="272"/>
      <c r="K13" s="272"/>
      <c r="L13" s="272"/>
      <c r="M13" s="273"/>
      <c r="N13" s="271" t="s">
        <v>334</v>
      </c>
      <c r="O13" s="272"/>
      <c r="P13" s="272"/>
      <c r="Q13" s="272"/>
      <c r="R13" s="272"/>
      <c r="S13" s="272"/>
      <c r="T13" s="272"/>
      <c r="U13" s="273"/>
      <c r="V13" s="284" t="s">
        <v>333</v>
      </c>
      <c r="W13" s="272"/>
      <c r="X13" s="272"/>
      <c r="Y13" s="272"/>
      <c r="Z13" s="272"/>
      <c r="AA13" s="272"/>
      <c r="AB13" s="272"/>
      <c r="AC13" s="272"/>
      <c r="AD13" s="272"/>
      <c r="AE13" s="272"/>
      <c r="AF13" s="272"/>
      <c r="AG13" s="272"/>
      <c r="AH13" s="272"/>
      <c r="AI13" s="272"/>
      <c r="AJ13" s="273"/>
    </row>
    <row r="14" spans="2:36" s="46" customFormat="1" ht="15" customHeight="1" x14ac:dyDescent="0.25">
      <c r="B14" s="257"/>
      <c r="C14" s="260"/>
      <c r="D14" s="285" t="s">
        <v>332</v>
      </c>
      <c r="E14" s="281"/>
      <c r="F14" s="285" t="s">
        <v>331</v>
      </c>
      <c r="G14" s="278"/>
      <c r="H14" s="278"/>
      <c r="I14" s="278"/>
      <c r="J14" s="278"/>
      <c r="K14" s="288" t="s">
        <v>330</v>
      </c>
      <c r="L14" s="278"/>
      <c r="M14" s="281"/>
      <c r="N14" s="285" t="s">
        <v>329</v>
      </c>
      <c r="O14" s="278"/>
      <c r="P14" s="278"/>
      <c r="Q14" s="278"/>
      <c r="R14" s="278"/>
      <c r="S14" s="286" t="s">
        <v>328</v>
      </c>
      <c r="T14" s="278"/>
      <c r="U14" s="281"/>
      <c r="V14" s="291" t="s">
        <v>327</v>
      </c>
      <c r="W14" s="278"/>
      <c r="X14" s="278"/>
      <c r="Y14" s="278"/>
      <c r="Z14" s="288" t="s">
        <v>326</v>
      </c>
      <c r="AA14" s="278"/>
      <c r="AB14" s="278"/>
      <c r="AC14" s="278"/>
      <c r="AD14" s="278"/>
      <c r="AE14" s="278"/>
      <c r="AF14" s="278"/>
      <c r="AG14" s="278"/>
      <c r="AH14" s="278"/>
      <c r="AI14" s="278"/>
      <c r="AJ14" s="281"/>
    </row>
    <row r="15" spans="2:36" s="46" customFormat="1" ht="25" customHeight="1" x14ac:dyDescent="0.25">
      <c r="B15" s="257"/>
      <c r="C15" s="260"/>
      <c r="D15" s="75" t="s">
        <v>325</v>
      </c>
      <c r="E15" s="73" t="s">
        <v>322</v>
      </c>
      <c r="F15" s="75" t="s">
        <v>324</v>
      </c>
      <c r="G15" s="72" t="s">
        <v>317</v>
      </c>
      <c r="H15" s="72" t="s">
        <v>323</v>
      </c>
      <c r="I15" s="74" t="s">
        <v>15</v>
      </c>
      <c r="J15" s="52" t="s">
        <v>322</v>
      </c>
      <c r="K15" s="74" t="s">
        <v>321</v>
      </c>
      <c r="L15" s="74" t="s">
        <v>320</v>
      </c>
      <c r="M15" s="73" t="s">
        <v>319</v>
      </c>
      <c r="N15" s="75" t="s">
        <v>324</v>
      </c>
      <c r="O15" s="72" t="s">
        <v>317</v>
      </c>
      <c r="P15" s="72" t="s">
        <v>323</v>
      </c>
      <c r="Q15" s="72" t="s">
        <v>15</v>
      </c>
      <c r="R15" s="71" t="s">
        <v>322</v>
      </c>
      <c r="S15" s="74" t="s">
        <v>321</v>
      </c>
      <c r="T15" s="74" t="s">
        <v>320</v>
      </c>
      <c r="U15" s="73" t="s">
        <v>319</v>
      </c>
      <c r="V15" s="77" t="s">
        <v>318</v>
      </c>
      <c r="W15" s="74" t="s">
        <v>317</v>
      </c>
      <c r="X15" s="74" t="s">
        <v>316</v>
      </c>
      <c r="Y15" s="74" t="s">
        <v>315</v>
      </c>
      <c r="Z15" s="74" t="s">
        <v>314</v>
      </c>
      <c r="AA15" s="74" t="s">
        <v>313</v>
      </c>
      <c r="AB15" s="74" t="s">
        <v>312</v>
      </c>
      <c r="AC15" s="74" t="s">
        <v>311</v>
      </c>
      <c r="AD15" s="74" t="s">
        <v>310</v>
      </c>
      <c r="AE15" s="74" t="s">
        <v>309</v>
      </c>
      <c r="AF15" s="74" t="s">
        <v>308</v>
      </c>
      <c r="AG15" s="74" t="s">
        <v>307</v>
      </c>
      <c r="AH15" s="74" t="s">
        <v>306</v>
      </c>
      <c r="AI15" s="74" t="s">
        <v>305</v>
      </c>
      <c r="AJ15" s="76" t="s">
        <v>304</v>
      </c>
    </row>
    <row r="16" spans="2:36" s="46" customFormat="1" ht="15" customHeight="1" x14ac:dyDescent="0.25">
      <c r="B16" s="257"/>
      <c r="C16" s="260"/>
      <c r="D16" s="60" t="s">
        <v>303</v>
      </c>
      <c r="E16" s="51" t="s">
        <v>4</v>
      </c>
      <c r="F16" s="54" t="s">
        <v>302</v>
      </c>
      <c r="G16" s="53" t="s">
        <v>302</v>
      </c>
      <c r="H16" s="53" t="s">
        <v>302</v>
      </c>
      <c r="I16" s="52" t="s">
        <v>284</v>
      </c>
      <c r="J16" s="52" t="s">
        <v>4</v>
      </c>
      <c r="K16" s="52" t="s">
        <v>284</v>
      </c>
      <c r="L16" s="52" t="s">
        <v>284</v>
      </c>
      <c r="M16" s="57" t="s">
        <v>284</v>
      </c>
      <c r="N16" s="59" t="s">
        <v>302</v>
      </c>
      <c r="O16" s="72" t="s">
        <v>302</v>
      </c>
      <c r="P16" s="58" t="s">
        <v>302</v>
      </c>
      <c r="Q16" s="49" t="s">
        <v>284</v>
      </c>
      <c r="R16" s="49" t="s">
        <v>4</v>
      </c>
      <c r="S16" s="52" t="s">
        <v>284</v>
      </c>
      <c r="T16" s="52" t="s">
        <v>284</v>
      </c>
      <c r="U16" s="57" t="s">
        <v>284</v>
      </c>
      <c r="V16" s="54" t="s">
        <v>302</v>
      </c>
      <c r="W16" s="53" t="s">
        <v>302</v>
      </c>
      <c r="X16" s="52" t="s">
        <v>301</v>
      </c>
      <c r="Y16" s="52" t="s">
        <v>284</v>
      </c>
      <c r="Z16" s="52" t="s">
        <v>300</v>
      </c>
      <c r="AA16" s="52" t="s">
        <v>299</v>
      </c>
      <c r="AB16" s="52" t="s">
        <v>300</v>
      </c>
      <c r="AC16" s="53" t="s">
        <v>299</v>
      </c>
      <c r="AD16" s="53" t="s">
        <v>283</v>
      </c>
      <c r="AE16" s="53" t="s">
        <v>4</v>
      </c>
      <c r="AF16" s="52" t="s">
        <v>282</v>
      </c>
      <c r="AG16" s="52" t="s">
        <v>298</v>
      </c>
      <c r="AH16" s="52" t="s">
        <v>297</v>
      </c>
      <c r="AI16" s="52" t="s">
        <v>297</v>
      </c>
      <c r="AJ16" s="51" t="s">
        <v>4</v>
      </c>
    </row>
    <row r="17" spans="2:36" s="133" customFormat="1" ht="24" customHeight="1" x14ac:dyDescent="0.25">
      <c r="B17" s="257"/>
      <c r="C17" s="260"/>
      <c r="D17" s="135"/>
      <c r="E17" s="129"/>
      <c r="F17" s="135"/>
      <c r="G17" s="131"/>
      <c r="H17" s="131"/>
      <c r="I17" s="123"/>
      <c r="J17" s="123"/>
      <c r="K17" s="123"/>
      <c r="L17" s="123"/>
      <c r="M17" s="129"/>
      <c r="N17" s="122"/>
      <c r="O17" s="123"/>
      <c r="P17" s="123"/>
      <c r="Q17" s="123"/>
      <c r="R17" s="123"/>
      <c r="S17" s="123"/>
      <c r="T17" s="123"/>
      <c r="U17" s="129"/>
      <c r="V17" s="122"/>
      <c r="W17" s="123"/>
      <c r="X17" s="123"/>
      <c r="Y17" s="123"/>
      <c r="Z17" s="123"/>
      <c r="AA17" s="123"/>
      <c r="AB17" s="123"/>
      <c r="AC17" s="123"/>
      <c r="AD17" s="123"/>
      <c r="AE17" s="123" t="e">
        <f>Z17/AB17</f>
        <v>#DIV/0!</v>
      </c>
      <c r="AF17" s="123"/>
      <c r="AG17" s="123"/>
      <c r="AH17" s="123" t="e">
        <f>AF17/(Z17-AB17)</f>
        <v>#DIV/0!</v>
      </c>
      <c r="AI17" s="143" t="s">
        <v>296</v>
      </c>
      <c r="AJ17" s="140" t="e">
        <f>IF((AH17-AI17)&gt;=0,"↑","↓")</f>
        <v>#DIV/0!</v>
      </c>
    </row>
    <row r="18" spans="2:36" s="46" customFormat="1" ht="15" customHeight="1" x14ac:dyDescent="0.25">
      <c r="B18" s="257"/>
      <c r="C18" s="260"/>
      <c r="D18" s="284" t="s">
        <v>295</v>
      </c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3"/>
      <c r="R18" s="78" t="s">
        <v>4</v>
      </c>
      <c r="S18" s="56" t="s">
        <v>4</v>
      </c>
      <c r="T18" s="56" t="s">
        <v>4</v>
      </c>
      <c r="U18" s="56" t="s">
        <v>4</v>
      </c>
      <c r="V18" s="56" t="s">
        <v>82</v>
      </c>
      <c r="W18" s="56" t="s">
        <v>82</v>
      </c>
      <c r="X18" s="56" t="s">
        <v>82</v>
      </c>
      <c r="Y18" s="56" t="s">
        <v>82</v>
      </c>
      <c r="Z18" s="56" t="s">
        <v>82</v>
      </c>
      <c r="AA18" s="56" t="s">
        <v>82</v>
      </c>
      <c r="AB18" s="56" t="s">
        <v>82</v>
      </c>
      <c r="AC18" s="56" t="s">
        <v>82</v>
      </c>
      <c r="AD18" s="56" t="s">
        <v>82</v>
      </c>
      <c r="AE18" s="56" t="s">
        <v>82</v>
      </c>
      <c r="AF18" s="55" t="s">
        <v>82</v>
      </c>
      <c r="AG18" s="55" t="s">
        <v>82</v>
      </c>
      <c r="AH18" s="55" t="s">
        <v>82</v>
      </c>
      <c r="AI18" s="55" t="s">
        <v>82</v>
      </c>
      <c r="AJ18" s="84" t="s">
        <v>82</v>
      </c>
    </row>
    <row r="19" spans="2:36" s="46" customFormat="1" ht="15" customHeight="1" x14ac:dyDescent="0.25">
      <c r="B19" s="257"/>
      <c r="C19" s="260"/>
      <c r="D19" s="291" t="s">
        <v>294</v>
      </c>
      <c r="E19" s="278"/>
      <c r="F19" s="278"/>
      <c r="G19" s="288" t="s">
        <v>293</v>
      </c>
      <c r="H19" s="278"/>
      <c r="I19" s="278"/>
      <c r="J19" s="288" t="s">
        <v>292</v>
      </c>
      <c r="K19" s="278"/>
      <c r="L19" s="278"/>
      <c r="M19" s="288" t="s">
        <v>291</v>
      </c>
      <c r="N19" s="288" t="s">
        <v>290</v>
      </c>
      <c r="O19" s="288" t="s">
        <v>289</v>
      </c>
      <c r="P19" s="288" t="s">
        <v>225</v>
      </c>
      <c r="Q19" s="290" t="s">
        <v>288</v>
      </c>
      <c r="R19" s="50" t="s">
        <v>4</v>
      </c>
      <c r="S19" s="49" t="s">
        <v>4</v>
      </c>
      <c r="T19" s="49" t="s">
        <v>4</v>
      </c>
      <c r="U19" s="49" t="s">
        <v>82</v>
      </c>
      <c r="V19" s="49" t="s">
        <v>82</v>
      </c>
      <c r="W19" s="49" t="s">
        <v>82</v>
      </c>
      <c r="X19" s="49" t="s">
        <v>82</v>
      </c>
      <c r="Y19" s="49" t="s">
        <v>82</v>
      </c>
      <c r="Z19" s="49" t="s">
        <v>82</v>
      </c>
      <c r="AA19" s="49" t="s">
        <v>82</v>
      </c>
      <c r="AB19" s="49" t="s">
        <v>82</v>
      </c>
      <c r="AC19" s="49" t="s">
        <v>412</v>
      </c>
      <c r="AD19" s="49" t="s">
        <v>82</v>
      </c>
      <c r="AE19" s="49" t="s">
        <v>82</v>
      </c>
      <c r="AF19" s="47" t="s">
        <v>82</v>
      </c>
      <c r="AG19" s="47" t="s">
        <v>82</v>
      </c>
      <c r="AH19" s="47" t="s">
        <v>82</v>
      </c>
      <c r="AI19" s="47" t="s">
        <v>82</v>
      </c>
      <c r="AJ19" s="61" t="s">
        <v>82</v>
      </c>
    </row>
    <row r="20" spans="2:36" s="46" customFormat="1" ht="25" customHeight="1" x14ac:dyDescent="0.25">
      <c r="B20" s="257"/>
      <c r="C20" s="260"/>
      <c r="D20" s="77" t="s">
        <v>287</v>
      </c>
      <c r="E20" s="74" t="s">
        <v>286</v>
      </c>
      <c r="F20" s="74" t="s">
        <v>285</v>
      </c>
      <c r="G20" s="74" t="s">
        <v>287</v>
      </c>
      <c r="H20" s="74" t="s">
        <v>286</v>
      </c>
      <c r="I20" s="74" t="s">
        <v>285</v>
      </c>
      <c r="J20" s="74" t="s">
        <v>287</v>
      </c>
      <c r="K20" s="74" t="s">
        <v>286</v>
      </c>
      <c r="L20" s="74" t="s">
        <v>285</v>
      </c>
      <c r="M20" s="278"/>
      <c r="N20" s="278"/>
      <c r="O20" s="278"/>
      <c r="P20" s="278"/>
      <c r="Q20" s="281"/>
      <c r="R20" s="75" t="s">
        <v>4</v>
      </c>
      <c r="S20" s="72" t="s">
        <v>4</v>
      </c>
      <c r="T20" s="72" t="s">
        <v>4</v>
      </c>
      <c r="U20" s="72" t="s">
        <v>82</v>
      </c>
      <c r="V20" s="72" t="s">
        <v>82</v>
      </c>
      <c r="W20" s="74" t="s">
        <v>82</v>
      </c>
      <c r="X20" s="72" t="s">
        <v>82</v>
      </c>
      <c r="Y20" s="72" t="s">
        <v>82</v>
      </c>
      <c r="Z20" s="74" t="s">
        <v>82</v>
      </c>
      <c r="AA20" s="49" t="s">
        <v>82</v>
      </c>
      <c r="AB20" s="49" t="s">
        <v>82</v>
      </c>
      <c r="AC20" s="49" t="s">
        <v>82</v>
      </c>
      <c r="AD20" s="49" t="s">
        <v>82</v>
      </c>
      <c r="AE20" s="49" t="s">
        <v>82</v>
      </c>
      <c r="AF20" s="47" t="s">
        <v>82</v>
      </c>
      <c r="AG20" s="47" t="s">
        <v>82</v>
      </c>
      <c r="AH20" s="47" t="s">
        <v>82</v>
      </c>
      <c r="AI20" s="47" t="s">
        <v>82</v>
      </c>
      <c r="AJ20" s="61" t="s">
        <v>82</v>
      </c>
    </row>
    <row r="21" spans="2:36" s="46" customFormat="1" ht="15" customHeight="1" x14ac:dyDescent="0.25">
      <c r="B21" s="257"/>
      <c r="C21" s="260"/>
      <c r="D21" s="54" t="s">
        <v>284</v>
      </c>
      <c r="E21" s="53" t="s">
        <v>284</v>
      </c>
      <c r="F21" s="52" t="s">
        <v>284</v>
      </c>
      <c r="G21" s="52" t="s">
        <v>283</v>
      </c>
      <c r="H21" s="49" t="s">
        <v>283</v>
      </c>
      <c r="I21" s="49" t="s">
        <v>283</v>
      </c>
      <c r="J21" s="52" t="s">
        <v>283</v>
      </c>
      <c r="K21" s="49" t="s">
        <v>283</v>
      </c>
      <c r="L21" s="49" t="s">
        <v>283</v>
      </c>
      <c r="M21" s="49" t="s">
        <v>282</v>
      </c>
      <c r="N21" s="49" t="s">
        <v>281</v>
      </c>
      <c r="O21" s="52" t="s">
        <v>280</v>
      </c>
      <c r="P21" s="52" t="s">
        <v>4</v>
      </c>
      <c r="Q21" s="51" t="s">
        <v>4</v>
      </c>
      <c r="R21" s="50" t="s">
        <v>4</v>
      </c>
      <c r="S21" s="49" t="s">
        <v>4</v>
      </c>
      <c r="T21" s="49" t="s">
        <v>4</v>
      </c>
      <c r="U21" s="49" t="s">
        <v>82</v>
      </c>
      <c r="V21" s="49" t="s">
        <v>82</v>
      </c>
      <c r="W21" s="49" t="s">
        <v>82</v>
      </c>
      <c r="X21" s="49" t="s">
        <v>82</v>
      </c>
      <c r="Y21" s="49" t="s">
        <v>82</v>
      </c>
      <c r="Z21" s="49" t="s">
        <v>82</v>
      </c>
      <c r="AA21" s="49" t="s">
        <v>82</v>
      </c>
      <c r="AB21" s="49" t="s">
        <v>82</v>
      </c>
      <c r="AC21" s="49" t="s">
        <v>82</v>
      </c>
      <c r="AD21" s="49" t="s">
        <v>82</v>
      </c>
      <c r="AE21" s="48" t="s">
        <v>82</v>
      </c>
      <c r="AF21" s="47" t="s">
        <v>82</v>
      </c>
      <c r="AG21" s="47" t="s">
        <v>82</v>
      </c>
      <c r="AH21" s="47" t="s">
        <v>82</v>
      </c>
      <c r="AI21" s="47" t="s">
        <v>82</v>
      </c>
      <c r="AJ21" s="61" t="s">
        <v>82</v>
      </c>
    </row>
    <row r="22" spans="2:36" s="133" customFormat="1" ht="24" customHeight="1" x14ac:dyDescent="0.25">
      <c r="B22" s="257"/>
      <c r="C22" s="260"/>
      <c r="D22" s="136"/>
      <c r="E22" s="137"/>
      <c r="F22" s="137">
        <f>D22-E22</f>
        <v>0</v>
      </c>
      <c r="G22" s="137"/>
      <c r="H22" s="137"/>
      <c r="I22" s="137">
        <f>G22-H22</f>
        <v>0</v>
      </c>
      <c r="J22" s="137"/>
      <c r="K22" s="137"/>
      <c r="L22" s="137">
        <f>J22-K22</f>
        <v>0</v>
      </c>
      <c r="M22" s="137"/>
      <c r="N22" s="137"/>
      <c r="O22" s="137" t="e">
        <f>N22/M22</f>
        <v>#DIV/0!</v>
      </c>
      <c r="P22" s="137"/>
      <c r="Q22" s="144">
        <v>301</v>
      </c>
      <c r="R22" s="136" t="s">
        <v>4</v>
      </c>
      <c r="S22" s="137" t="s">
        <v>4</v>
      </c>
      <c r="T22" s="137" t="s">
        <v>4</v>
      </c>
      <c r="U22" s="137" t="s">
        <v>82</v>
      </c>
      <c r="V22" s="137" t="s">
        <v>82</v>
      </c>
      <c r="W22" s="137" t="s">
        <v>82</v>
      </c>
      <c r="X22" s="137" t="s">
        <v>82</v>
      </c>
      <c r="Y22" s="137" t="s">
        <v>82</v>
      </c>
      <c r="Z22" s="137" t="s">
        <v>82</v>
      </c>
      <c r="AA22" s="137" t="s">
        <v>82</v>
      </c>
      <c r="AB22" s="137" t="s">
        <v>82</v>
      </c>
      <c r="AC22" s="137" t="s">
        <v>82</v>
      </c>
      <c r="AD22" s="137" t="s">
        <v>82</v>
      </c>
      <c r="AE22" s="138" t="s">
        <v>82</v>
      </c>
      <c r="AF22" s="138" t="s">
        <v>82</v>
      </c>
      <c r="AG22" s="138" t="s">
        <v>82</v>
      </c>
      <c r="AH22" s="138" t="s">
        <v>82</v>
      </c>
      <c r="AI22" s="138" t="s">
        <v>82</v>
      </c>
      <c r="AJ22" s="139" t="s">
        <v>82</v>
      </c>
    </row>
    <row r="23" spans="2:36" s="46" customFormat="1" ht="7.5" customHeight="1" x14ac:dyDescent="0.25">
      <c r="B23" s="85"/>
      <c r="C23" s="70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8"/>
      <c r="AF23" s="67"/>
      <c r="AG23" s="68"/>
      <c r="AH23" s="67"/>
      <c r="AI23" s="67"/>
      <c r="AJ23" s="86"/>
    </row>
    <row r="24" spans="2:36" s="46" customFormat="1" ht="17.5" customHeight="1" x14ac:dyDescent="0.25">
      <c r="B24" s="293" t="s">
        <v>406</v>
      </c>
      <c r="C24" s="294" t="s">
        <v>405</v>
      </c>
      <c r="D24" s="295" t="s">
        <v>404</v>
      </c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7"/>
      <c r="AA24" s="298" t="s">
        <v>403</v>
      </c>
      <c r="AB24" s="299"/>
      <c r="AC24" s="299"/>
      <c r="AD24" s="299"/>
      <c r="AE24" s="299"/>
      <c r="AF24" s="299"/>
      <c r="AG24" s="299"/>
      <c r="AH24" s="299"/>
      <c r="AI24" s="299"/>
      <c r="AJ24" s="300"/>
    </row>
    <row r="25" spans="2:36" s="46" customFormat="1" ht="17.5" customHeight="1" x14ac:dyDescent="0.25">
      <c r="B25" s="257"/>
      <c r="C25" s="260"/>
      <c r="D25" s="266" t="s">
        <v>402</v>
      </c>
      <c r="E25" s="267"/>
      <c r="F25" s="267"/>
      <c r="G25" s="267"/>
      <c r="H25" s="267"/>
      <c r="I25" s="267"/>
      <c r="J25" s="268" t="s">
        <v>401</v>
      </c>
      <c r="K25" s="269"/>
      <c r="L25" s="269"/>
      <c r="M25" s="269"/>
      <c r="N25" s="269"/>
      <c r="O25" s="269"/>
      <c r="P25" s="269"/>
      <c r="Q25" s="269"/>
      <c r="R25" s="269"/>
      <c r="S25" s="269"/>
      <c r="T25" s="270"/>
      <c r="U25" s="271" t="s">
        <v>400</v>
      </c>
      <c r="V25" s="272"/>
      <c r="W25" s="272"/>
      <c r="X25" s="272"/>
      <c r="Y25" s="272"/>
      <c r="Z25" s="273"/>
      <c r="AA25" s="271" t="s">
        <v>399</v>
      </c>
      <c r="AB25" s="275" t="s">
        <v>398</v>
      </c>
      <c r="AC25" s="277" t="s">
        <v>397</v>
      </c>
      <c r="AD25" s="277" t="s">
        <v>306</v>
      </c>
      <c r="AE25" s="277" t="s">
        <v>396</v>
      </c>
      <c r="AF25" s="279" t="s">
        <v>395</v>
      </c>
      <c r="AG25" s="277" t="s">
        <v>394</v>
      </c>
      <c r="AH25" s="279" t="s">
        <v>393</v>
      </c>
      <c r="AI25" s="277" t="s">
        <v>392</v>
      </c>
      <c r="AJ25" s="280" t="s">
        <v>391</v>
      </c>
    </row>
    <row r="26" spans="2:36" s="46" customFormat="1" ht="37.5" customHeight="1" x14ac:dyDescent="0.25">
      <c r="B26" s="258"/>
      <c r="C26" s="261"/>
      <c r="D26" s="77" t="s">
        <v>390</v>
      </c>
      <c r="E26" s="74" t="s">
        <v>389</v>
      </c>
      <c r="F26" s="74" t="s">
        <v>388</v>
      </c>
      <c r="G26" s="74" t="s">
        <v>387</v>
      </c>
      <c r="H26" s="74" t="s">
        <v>378</v>
      </c>
      <c r="I26" s="66" t="s">
        <v>377</v>
      </c>
      <c r="J26" s="77" t="s">
        <v>381</v>
      </c>
      <c r="K26" s="74" t="s">
        <v>380</v>
      </c>
      <c r="L26" s="74" t="s">
        <v>379</v>
      </c>
      <c r="M26" s="74" t="s">
        <v>386</v>
      </c>
      <c r="N26" s="74" t="s">
        <v>386</v>
      </c>
      <c r="O26" s="74" t="s">
        <v>378</v>
      </c>
      <c r="P26" s="74" t="s">
        <v>385</v>
      </c>
      <c r="Q26" s="74" t="s">
        <v>384</v>
      </c>
      <c r="R26" s="74" t="s">
        <v>377</v>
      </c>
      <c r="S26" s="74" t="s">
        <v>383</v>
      </c>
      <c r="T26" s="76" t="s">
        <v>382</v>
      </c>
      <c r="U26" s="77" t="s">
        <v>381</v>
      </c>
      <c r="V26" s="65" t="s">
        <v>380</v>
      </c>
      <c r="W26" s="74" t="s">
        <v>379</v>
      </c>
      <c r="X26" s="74" t="s">
        <v>378</v>
      </c>
      <c r="Y26" s="74" t="s">
        <v>377</v>
      </c>
      <c r="Z26" s="76" t="s">
        <v>376</v>
      </c>
      <c r="AA26" s="274"/>
      <c r="AB26" s="276"/>
      <c r="AC26" s="278"/>
      <c r="AD26" s="278"/>
      <c r="AE26" s="278"/>
      <c r="AF26" s="278"/>
      <c r="AG26" s="278"/>
      <c r="AH26" s="278"/>
      <c r="AI26" s="278"/>
      <c r="AJ26" s="281"/>
    </row>
    <row r="27" spans="2:36" s="46" customFormat="1" ht="17.5" customHeight="1" x14ac:dyDescent="0.25">
      <c r="B27" s="282"/>
      <c r="C27" s="283" t="s">
        <v>375</v>
      </c>
      <c r="D27" s="50" t="s">
        <v>281</v>
      </c>
      <c r="E27" s="49" t="s">
        <v>281</v>
      </c>
      <c r="F27" s="49" t="s">
        <v>4</v>
      </c>
      <c r="G27" s="49" t="s">
        <v>281</v>
      </c>
      <c r="H27" s="49" t="s">
        <v>284</v>
      </c>
      <c r="I27" s="64" t="s">
        <v>284</v>
      </c>
      <c r="J27" s="50" t="s">
        <v>281</v>
      </c>
      <c r="K27" s="49" t="s">
        <v>281</v>
      </c>
      <c r="L27" s="49" t="s">
        <v>284</v>
      </c>
      <c r="M27" s="49" t="s">
        <v>284</v>
      </c>
      <c r="N27" s="49" t="s">
        <v>284</v>
      </c>
      <c r="O27" s="49" t="s">
        <v>284</v>
      </c>
      <c r="P27" s="49" t="s">
        <v>284</v>
      </c>
      <c r="Q27" s="49" t="s">
        <v>284</v>
      </c>
      <c r="R27" s="49" t="s">
        <v>284</v>
      </c>
      <c r="S27" s="49" t="s">
        <v>284</v>
      </c>
      <c r="T27" s="57" t="s">
        <v>284</v>
      </c>
      <c r="U27" s="50" t="s">
        <v>281</v>
      </c>
      <c r="V27" s="63" t="s">
        <v>281</v>
      </c>
      <c r="W27" s="49" t="s">
        <v>284</v>
      </c>
      <c r="X27" s="49" t="s">
        <v>284</v>
      </c>
      <c r="Y27" s="49" t="s">
        <v>284</v>
      </c>
      <c r="Z27" s="57" t="s">
        <v>284</v>
      </c>
      <c r="AA27" s="50" t="s">
        <v>297</v>
      </c>
      <c r="AB27" s="49" t="s">
        <v>297</v>
      </c>
      <c r="AC27" s="49" t="s">
        <v>372</v>
      </c>
      <c r="AD27" s="49" t="s">
        <v>297</v>
      </c>
      <c r="AE27" s="48" t="s">
        <v>372</v>
      </c>
      <c r="AF27" s="47" t="s">
        <v>374</v>
      </c>
      <c r="AG27" s="49" t="s">
        <v>297</v>
      </c>
      <c r="AH27" s="47" t="s">
        <v>373</v>
      </c>
      <c r="AI27" s="48" t="s">
        <v>372</v>
      </c>
      <c r="AJ27" s="61" t="s">
        <v>372</v>
      </c>
    </row>
    <row r="28" spans="2:36" s="133" customFormat="1" ht="24" customHeight="1" x14ac:dyDescent="0.25">
      <c r="B28" s="257"/>
      <c r="C28" s="260"/>
      <c r="D28" s="122"/>
      <c r="E28" s="123">
        <f>K28+V28</f>
        <v>0</v>
      </c>
      <c r="F28" s="140" t="str">
        <f>IF(D28="","",IF(D7="","",IF(D28=(D7+D28)/2,"--",IF(D28&gt;=(D7+D28)/2,"↑","↓"))))</f>
        <v/>
      </c>
      <c r="G28" s="123"/>
      <c r="H28" s="123"/>
      <c r="I28" s="124"/>
      <c r="J28" s="125"/>
      <c r="K28" s="126"/>
      <c r="L28" s="126"/>
      <c r="M28" s="126"/>
      <c r="N28" s="126"/>
      <c r="O28" s="126"/>
      <c r="P28" s="126"/>
      <c r="Q28" s="126"/>
      <c r="R28" s="126"/>
      <c r="S28" s="126"/>
      <c r="T28" s="127"/>
      <c r="U28" s="125"/>
      <c r="V28" s="128"/>
      <c r="W28" s="123"/>
      <c r="X28" s="123"/>
      <c r="Y28" s="123"/>
      <c r="Z28" s="129" t="e">
        <f>U28/D28</f>
        <v>#DIV/0!</v>
      </c>
      <c r="AA28" s="130"/>
      <c r="AB28" s="123"/>
      <c r="AC28" s="123"/>
      <c r="AD28" s="123"/>
      <c r="AE28" s="131"/>
      <c r="AF28" s="131"/>
      <c r="AG28" s="131"/>
      <c r="AH28" s="131"/>
      <c r="AI28" s="131"/>
      <c r="AJ28" s="132"/>
    </row>
    <row r="29" spans="2:36" s="46" customFormat="1" ht="17.5" customHeight="1" x14ac:dyDescent="0.25">
      <c r="B29" s="257"/>
      <c r="C29" s="260"/>
      <c r="D29" s="271" t="s">
        <v>371</v>
      </c>
      <c r="E29" s="272"/>
      <c r="F29" s="273"/>
      <c r="G29" s="271" t="s">
        <v>370</v>
      </c>
      <c r="H29" s="272"/>
      <c r="I29" s="272"/>
      <c r="J29" s="272"/>
      <c r="K29" s="272"/>
      <c r="L29" s="272"/>
      <c r="M29" s="272"/>
      <c r="N29" s="272"/>
      <c r="O29" s="273"/>
      <c r="P29" s="271" t="s">
        <v>369</v>
      </c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  <c r="AB29" s="272"/>
      <c r="AC29" s="272"/>
      <c r="AD29" s="273"/>
      <c r="AE29" s="284" t="s">
        <v>336</v>
      </c>
      <c r="AF29" s="272"/>
      <c r="AG29" s="272"/>
      <c r="AH29" s="272"/>
      <c r="AI29" s="272"/>
      <c r="AJ29" s="273"/>
    </row>
    <row r="30" spans="2:36" s="46" customFormat="1" ht="15" customHeight="1" x14ac:dyDescent="0.25">
      <c r="B30" s="257"/>
      <c r="C30" s="260"/>
      <c r="D30" s="285" t="s">
        <v>368</v>
      </c>
      <c r="E30" s="286" t="s">
        <v>367</v>
      </c>
      <c r="F30" s="287" t="s">
        <v>366</v>
      </c>
      <c r="G30" s="285" t="s">
        <v>365</v>
      </c>
      <c r="H30" s="278"/>
      <c r="I30" s="288" t="s">
        <v>364</v>
      </c>
      <c r="J30" s="288" t="s">
        <v>363</v>
      </c>
      <c r="K30" s="288" t="s">
        <v>362</v>
      </c>
      <c r="L30" s="288" t="s">
        <v>361</v>
      </c>
      <c r="M30" s="288" t="s">
        <v>360</v>
      </c>
      <c r="N30" s="288" t="s">
        <v>359</v>
      </c>
      <c r="O30" s="290" t="s">
        <v>358</v>
      </c>
      <c r="P30" s="285" t="s">
        <v>357</v>
      </c>
      <c r="Q30" s="278"/>
      <c r="R30" s="286" t="s">
        <v>356</v>
      </c>
      <c r="S30" s="278"/>
      <c r="T30" s="278"/>
      <c r="U30" s="286" t="s">
        <v>355</v>
      </c>
      <c r="V30" s="292" t="s">
        <v>354</v>
      </c>
      <c r="W30" s="278"/>
      <c r="X30" s="292" t="s">
        <v>353</v>
      </c>
      <c r="Y30" s="278"/>
      <c r="Z30" s="278"/>
      <c r="AA30" s="292" t="s">
        <v>352</v>
      </c>
      <c r="AB30" s="286" t="s">
        <v>351</v>
      </c>
      <c r="AC30" s="289" t="s">
        <v>350</v>
      </c>
      <c r="AD30" s="287" t="s">
        <v>349</v>
      </c>
      <c r="AE30" s="291" t="s">
        <v>348</v>
      </c>
      <c r="AF30" s="278"/>
      <c r="AG30" s="278"/>
      <c r="AH30" s="288" t="s">
        <v>332</v>
      </c>
      <c r="AI30" s="278"/>
      <c r="AJ30" s="281"/>
    </row>
    <row r="31" spans="2:36" s="46" customFormat="1" ht="15" customHeight="1" x14ac:dyDescent="0.25">
      <c r="B31" s="257"/>
      <c r="C31" s="260"/>
      <c r="D31" s="274"/>
      <c r="E31" s="278"/>
      <c r="F31" s="281"/>
      <c r="G31" s="75" t="s">
        <v>347</v>
      </c>
      <c r="H31" s="72" t="s">
        <v>346</v>
      </c>
      <c r="I31" s="278"/>
      <c r="J31" s="278"/>
      <c r="K31" s="278"/>
      <c r="L31" s="278"/>
      <c r="M31" s="278"/>
      <c r="N31" s="278"/>
      <c r="O31" s="281"/>
      <c r="P31" s="75" t="s">
        <v>345</v>
      </c>
      <c r="Q31" s="72" t="s">
        <v>344</v>
      </c>
      <c r="R31" s="72" t="s">
        <v>344</v>
      </c>
      <c r="S31" s="72" t="s">
        <v>343</v>
      </c>
      <c r="T31" s="71" t="s">
        <v>342</v>
      </c>
      <c r="U31" s="278"/>
      <c r="V31" s="71" t="s">
        <v>345</v>
      </c>
      <c r="W31" s="72" t="s">
        <v>344</v>
      </c>
      <c r="X31" s="71" t="s">
        <v>344</v>
      </c>
      <c r="Y31" s="72" t="s">
        <v>343</v>
      </c>
      <c r="Z31" s="71" t="s">
        <v>342</v>
      </c>
      <c r="AA31" s="278"/>
      <c r="AB31" s="278"/>
      <c r="AC31" s="278"/>
      <c r="AD31" s="281"/>
      <c r="AE31" s="77" t="s">
        <v>1</v>
      </c>
      <c r="AF31" s="74" t="s">
        <v>12</v>
      </c>
      <c r="AG31" s="74" t="s">
        <v>15</v>
      </c>
      <c r="AH31" s="52" t="s">
        <v>103</v>
      </c>
      <c r="AI31" s="74" t="s">
        <v>341</v>
      </c>
      <c r="AJ31" s="73" t="s">
        <v>340</v>
      </c>
    </row>
    <row r="32" spans="2:36" s="46" customFormat="1" ht="17.5" customHeight="1" x14ac:dyDescent="0.25">
      <c r="B32" s="257"/>
      <c r="C32" s="260"/>
      <c r="D32" s="75" t="s">
        <v>4</v>
      </c>
      <c r="E32" s="72" t="s">
        <v>4</v>
      </c>
      <c r="F32" s="73" t="s">
        <v>4</v>
      </c>
      <c r="G32" s="50" t="s">
        <v>299</v>
      </c>
      <c r="H32" s="49" t="s">
        <v>283</v>
      </c>
      <c r="I32" s="49" t="s">
        <v>339</v>
      </c>
      <c r="J32" s="49" t="s">
        <v>299</v>
      </c>
      <c r="K32" s="58" t="s">
        <v>302</v>
      </c>
      <c r="L32" s="49" t="s">
        <v>301</v>
      </c>
      <c r="M32" s="58" t="s">
        <v>302</v>
      </c>
      <c r="N32" s="58" t="s">
        <v>302</v>
      </c>
      <c r="O32" s="57" t="s">
        <v>301</v>
      </c>
      <c r="P32" s="50" t="s">
        <v>284</v>
      </c>
      <c r="Q32" s="48" t="s">
        <v>284</v>
      </c>
      <c r="R32" s="49" t="s">
        <v>284</v>
      </c>
      <c r="S32" s="48" t="s">
        <v>284</v>
      </c>
      <c r="T32" s="47" t="s">
        <v>4</v>
      </c>
      <c r="U32" s="48" t="s">
        <v>283</v>
      </c>
      <c r="V32" s="47" t="s">
        <v>284</v>
      </c>
      <c r="W32" s="48" t="s">
        <v>283</v>
      </c>
      <c r="X32" s="47" t="s">
        <v>283</v>
      </c>
      <c r="Y32" s="48" t="s">
        <v>283</v>
      </c>
      <c r="Z32" s="62" t="s">
        <v>4</v>
      </c>
      <c r="AA32" s="62" t="s">
        <v>339</v>
      </c>
      <c r="AB32" s="58" t="s">
        <v>338</v>
      </c>
      <c r="AC32" s="58" t="s">
        <v>338</v>
      </c>
      <c r="AD32" s="61" t="s">
        <v>4</v>
      </c>
      <c r="AE32" s="60" t="s">
        <v>301</v>
      </c>
      <c r="AF32" s="53" t="s">
        <v>302</v>
      </c>
      <c r="AG32" s="52" t="s">
        <v>284</v>
      </c>
      <c r="AH32" s="52" t="s">
        <v>303</v>
      </c>
      <c r="AI32" s="52" t="s">
        <v>303</v>
      </c>
      <c r="AJ32" s="51" t="s">
        <v>303</v>
      </c>
    </row>
    <row r="33" spans="2:36" s="133" customFormat="1" ht="24" customHeight="1" x14ac:dyDescent="0.25">
      <c r="B33" s="257"/>
      <c r="C33" s="260"/>
      <c r="D33" s="141">
        <v>0.53</v>
      </c>
      <c r="E33" s="134"/>
      <c r="F33" s="146" t="str">
        <f>IF(E33="","",IF(AND(E33&gt;=0.525,E33&lt;=0.53),"合格","不合格"))</f>
        <v/>
      </c>
      <c r="G33" s="122"/>
      <c r="H33" s="123"/>
      <c r="I33" s="123"/>
      <c r="J33" s="123"/>
      <c r="K33" s="123"/>
      <c r="L33" s="123"/>
      <c r="M33" s="123"/>
      <c r="N33" s="123"/>
      <c r="O33" s="129"/>
      <c r="P33" s="142">
        <v>29.1</v>
      </c>
      <c r="Q33" s="143" t="s">
        <v>337</v>
      </c>
      <c r="R33" s="123"/>
      <c r="S33" s="123">
        <f>R33-33.1</f>
        <v>-33.1</v>
      </c>
      <c r="T33" s="140" t="str">
        <f>IF(S33&gt;=0,"↑","↓")</f>
        <v>↓</v>
      </c>
      <c r="U33" s="131" t="s">
        <v>82</v>
      </c>
      <c r="V33" s="143">
        <v>1.6</v>
      </c>
      <c r="W33" s="143">
        <v>17.600000000000001</v>
      </c>
      <c r="X33" s="123"/>
      <c r="Y33" s="123">
        <f>X33-W33</f>
        <v>-17.600000000000001</v>
      </c>
      <c r="Z33" s="140" t="str">
        <f>IF(Y33&gt;=0,"↑","↓")</f>
        <v>↓</v>
      </c>
      <c r="AA33" s="143">
        <v>6.28</v>
      </c>
      <c r="AB33" s="123"/>
      <c r="AC33" s="123">
        <f>AB33-AA33</f>
        <v>-6.28</v>
      </c>
      <c r="AD33" s="140" t="str">
        <f>IF(AC33&gt;=0,"↑","↓")</f>
        <v>↓</v>
      </c>
      <c r="AE33" s="135"/>
      <c r="AF33" s="123"/>
      <c r="AG33" s="131"/>
      <c r="AH33" s="131"/>
      <c r="AI33" s="131"/>
      <c r="AJ33" s="132"/>
    </row>
    <row r="34" spans="2:36" s="46" customFormat="1" ht="15" customHeight="1" x14ac:dyDescent="0.25">
      <c r="B34" s="257"/>
      <c r="C34" s="260"/>
      <c r="D34" s="271" t="s">
        <v>336</v>
      </c>
      <c r="E34" s="273"/>
      <c r="F34" s="271" t="s">
        <v>335</v>
      </c>
      <c r="G34" s="272"/>
      <c r="H34" s="272"/>
      <c r="I34" s="272"/>
      <c r="J34" s="272"/>
      <c r="K34" s="272"/>
      <c r="L34" s="272"/>
      <c r="M34" s="273"/>
      <c r="N34" s="271" t="s">
        <v>334</v>
      </c>
      <c r="O34" s="272"/>
      <c r="P34" s="272"/>
      <c r="Q34" s="272"/>
      <c r="R34" s="272"/>
      <c r="S34" s="272"/>
      <c r="T34" s="272"/>
      <c r="U34" s="273"/>
      <c r="V34" s="284" t="s">
        <v>333</v>
      </c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  <c r="AJ34" s="273"/>
    </row>
    <row r="35" spans="2:36" s="46" customFormat="1" ht="15" customHeight="1" x14ac:dyDescent="0.25">
      <c r="B35" s="257"/>
      <c r="C35" s="260"/>
      <c r="D35" s="285" t="s">
        <v>332</v>
      </c>
      <c r="E35" s="281"/>
      <c r="F35" s="285" t="s">
        <v>331</v>
      </c>
      <c r="G35" s="278"/>
      <c r="H35" s="278"/>
      <c r="I35" s="278"/>
      <c r="J35" s="278"/>
      <c r="K35" s="288" t="s">
        <v>330</v>
      </c>
      <c r="L35" s="278"/>
      <c r="M35" s="281"/>
      <c r="N35" s="285" t="s">
        <v>329</v>
      </c>
      <c r="O35" s="278"/>
      <c r="P35" s="278"/>
      <c r="Q35" s="278"/>
      <c r="R35" s="278"/>
      <c r="S35" s="286" t="s">
        <v>328</v>
      </c>
      <c r="T35" s="278"/>
      <c r="U35" s="281"/>
      <c r="V35" s="291" t="s">
        <v>327</v>
      </c>
      <c r="W35" s="278"/>
      <c r="X35" s="278"/>
      <c r="Y35" s="278"/>
      <c r="Z35" s="288" t="s">
        <v>326</v>
      </c>
      <c r="AA35" s="278"/>
      <c r="AB35" s="278"/>
      <c r="AC35" s="278"/>
      <c r="AD35" s="278"/>
      <c r="AE35" s="278"/>
      <c r="AF35" s="278"/>
      <c r="AG35" s="278"/>
      <c r="AH35" s="278"/>
      <c r="AI35" s="278"/>
      <c r="AJ35" s="281"/>
    </row>
    <row r="36" spans="2:36" s="46" customFormat="1" ht="25" customHeight="1" x14ac:dyDescent="0.25">
      <c r="B36" s="257"/>
      <c r="C36" s="260"/>
      <c r="D36" s="75" t="s">
        <v>325</v>
      </c>
      <c r="E36" s="73" t="s">
        <v>322</v>
      </c>
      <c r="F36" s="75" t="s">
        <v>324</v>
      </c>
      <c r="G36" s="72" t="s">
        <v>317</v>
      </c>
      <c r="H36" s="72" t="s">
        <v>323</v>
      </c>
      <c r="I36" s="74" t="s">
        <v>15</v>
      </c>
      <c r="J36" s="52" t="s">
        <v>322</v>
      </c>
      <c r="K36" s="74" t="s">
        <v>321</v>
      </c>
      <c r="L36" s="74" t="s">
        <v>320</v>
      </c>
      <c r="M36" s="73" t="s">
        <v>319</v>
      </c>
      <c r="N36" s="75" t="s">
        <v>324</v>
      </c>
      <c r="O36" s="72" t="s">
        <v>317</v>
      </c>
      <c r="P36" s="72" t="s">
        <v>323</v>
      </c>
      <c r="Q36" s="72" t="s">
        <v>15</v>
      </c>
      <c r="R36" s="71" t="s">
        <v>322</v>
      </c>
      <c r="S36" s="74" t="s">
        <v>321</v>
      </c>
      <c r="T36" s="74" t="s">
        <v>320</v>
      </c>
      <c r="U36" s="73" t="s">
        <v>319</v>
      </c>
      <c r="V36" s="77" t="s">
        <v>318</v>
      </c>
      <c r="W36" s="74" t="s">
        <v>317</v>
      </c>
      <c r="X36" s="74" t="s">
        <v>316</v>
      </c>
      <c r="Y36" s="74" t="s">
        <v>315</v>
      </c>
      <c r="Z36" s="74" t="s">
        <v>314</v>
      </c>
      <c r="AA36" s="74" t="s">
        <v>313</v>
      </c>
      <c r="AB36" s="74" t="s">
        <v>312</v>
      </c>
      <c r="AC36" s="74" t="s">
        <v>311</v>
      </c>
      <c r="AD36" s="74" t="s">
        <v>310</v>
      </c>
      <c r="AE36" s="74" t="s">
        <v>309</v>
      </c>
      <c r="AF36" s="74" t="s">
        <v>308</v>
      </c>
      <c r="AG36" s="74" t="s">
        <v>307</v>
      </c>
      <c r="AH36" s="74" t="s">
        <v>306</v>
      </c>
      <c r="AI36" s="74" t="s">
        <v>305</v>
      </c>
      <c r="AJ36" s="76" t="s">
        <v>304</v>
      </c>
    </row>
    <row r="37" spans="2:36" s="46" customFormat="1" ht="15" customHeight="1" x14ac:dyDescent="0.25">
      <c r="B37" s="257"/>
      <c r="C37" s="260"/>
      <c r="D37" s="60" t="s">
        <v>303</v>
      </c>
      <c r="E37" s="51" t="s">
        <v>4</v>
      </c>
      <c r="F37" s="54" t="s">
        <v>302</v>
      </c>
      <c r="G37" s="53" t="s">
        <v>302</v>
      </c>
      <c r="H37" s="53" t="s">
        <v>302</v>
      </c>
      <c r="I37" s="52" t="s">
        <v>284</v>
      </c>
      <c r="J37" s="52" t="s">
        <v>4</v>
      </c>
      <c r="K37" s="52" t="s">
        <v>284</v>
      </c>
      <c r="L37" s="52" t="s">
        <v>284</v>
      </c>
      <c r="M37" s="57" t="s">
        <v>284</v>
      </c>
      <c r="N37" s="59" t="s">
        <v>302</v>
      </c>
      <c r="O37" s="72" t="s">
        <v>302</v>
      </c>
      <c r="P37" s="58" t="s">
        <v>302</v>
      </c>
      <c r="Q37" s="49" t="s">
        <v>284</v>
      </c>
      <c r="R37" s="49" t="s">
        <v>4</v>
      </c>
      <c r="S37" s="52" t="s">
        <v>284</v>
      </c>
      <c r="T37" s="52" t="s">
        <v>284</v>
      </c>
      <c r="U37" s="57" t="s">
        <v>284</v>
      </c>
      <c r="V37" s="54" t="s">
        <v>302</v>
      </c>
      <c r="W37" s="53" t="s">
        <v>302</v>
      </c>
      <c r="X37" s="52" t="s">
        <v>301</v>
      </c>
      <c r="Y37" s="52" t="s">
        <v>284</v>
      </c>
      <c r="Z37" s="52" t="s">
        <v>300</v>
      </c>
      <c r="AA37" s="52" t="s">
        <v>299</v>
      </c>
      <c r="AB37" s="52" t="s">
        <v>300</v>
      </c>
      <c r="AC37" s="53" t="s">
        <v>299</v>
      </c>
      <c r="AD37" s="53" t="s">
        <v>283</v>
      </c>
      <c r="AE37" s="53" t="s">
        <v>4</v>
      </c>
      <c r="AF37" s="52" t="s">
        <v>282</v>
      </c>
      <c r="AG37" s="52" t="s">
        <v>298</v>
      </c>
      <c r="AH37" s="52" t="s">
        <v>297</v>
      </c>
      <c r="AI37" s="52" t="s">
        <v>297</v>
      </c>
      <c r="AJ37" s="51" t="s">
        <v>4</v>
      </c>
    </row>
    <row r="38" spans="2:36" s="133" customFormat="1" ht="24" customHeight="1" x14ac:dyDescent="0.25">
      <c r="B38" s="257"/>
      <c r="C38" s="260"/>
      <c r="D38" s="135"/>
      <c r="E38" s="129"/>
      <c r="F38" s="135"/>
      <c r="G38" s="131"/>
      <c r="H38" s="131"/>
      <c r="I38" s="123"/>
      <c r="J38" s="123"/>
      <c r="K38" s="123"/>
      <c r="L38" s="123"/>
      <c r="M38" s="129"/>
      <c r="N38" s="122"/>
      <c r="O38" s="123"/>
      <c r="P38" s="123"/>
      <c r="Q38" s="123"/>
      <c r="R38" s="123"/>
      <c r="S38" s="123"/>
      <c r="T38" s="123"/>
      <c r="U38" s="129"/>
      <c r="V38" s="122"/>
      <c r="W38" s="123"/>
      <c r="X38" s="123"/>
      <c r="Y38" s="123"/>
      <c r="Z38" s="123"/>
      <c r="AA38" s="123"/>
      <c r="AB38" s="123"/>
      <c r="AC38" s="123"/>
      <c r="AD38" s="123"/>
      <c r="AE38" s="123" t="e">
        <f>Z38/AB38</f>
        <v>#DIV/0!</v>
      </c>
      <c r="AF38" s="123"/>
      <c r="AG38" s="123"/>
      <c r="AH38" s="123" t="e">
        <f>AF38/(Z38-AB38)</f>
        <v>#DIV/0!</v>
      </c>
      <c r="AI38" s="143" t="s">
        <v>296</v>
      </c>
      <c r="AJ38" s="140" t="e">
        <f>IF((AH38-AI38)&gt;=0,"↑","↓")</f>
        <v>#DIV/0!</v>
      </c>
    </row>
    <row r="39" spans="2:36" s="46" customFormat="1" ht="15" customHeight="1" x14ac:dyDescent="0.25">
      <c r="B39" s="257"/>
      <c r="C39" s="260"/>
      <c r="D39" s="284" t="s">
        <v>295</v>
      </c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3"/>
      <c r="R39" s="78" t="s">
        <v>4</v>
      </c>
      <c r="S39" s="56" t="s">
        <v>4</v>
      </c>
      <c r="T39" s="56" t="s">
        <v>4</v>
      </c>
      <c r="U39" s="56" t="s">
        <v>82</v>
      </c>
      <c r="V39" s="56" t="s">
        <v>82</v>
      </c>
      <c r="W39" s="56" t="s">
        <v>82</v>
      </c>
      <c r="X39" s="56" t="s">
        <v>82</v>
      </c>
      <c r="Y39" s="56" t="s">
        <v>82</v>
      </c>
      <c r="Z39" s="56" t="s">
        <v>82</v>
      </c>
      <c r="AA39" s="56" t="s">
        <v>82</v>
      </c>
      <c r="AB39" s="56" t="s">
        <v>82</v>
      </c>
      <c r="AC39" s="56" t="s">
        <v>82</v>
      </c>
      <c r="AD39" s="56" t="s">
        <v>82</v>
      </c>
      <c r="AE39" s="56" t="s">
        <v>82</v>
      </c>
      <c r="AF39" s="55" t="s">
        <v>82</v>
      </c>
      <c r="AG39" s="55" t="s">
        <v>82</v>
      </c>
      <c r="AH39" s="55" t="s">
        <v>82</v>
      </c>
      <c r="AI39" s="55" t="s">
        <v>82</v>
      </c>
      <c r="AJ39" s="84" t="s">
        <v>82</v>
      </c>
    </row>
    <row r="40" spans="2:36" s="46" customFormat="1" ht="15" customHeight="1" x14ac:dyDescent="0.25">
      <c r="B40" s="257"/>
      <c r="C40" s="260"/>
      <c r="D40" s="291" t="s">
        <v>294</v>
      </c>
      <c r="E40" s="278"/>
      <c r="F40" s="278"/>
      <c r="G40" s="288" t="s">
        <v>293</v>
      </c>
      <c r="H40" s="278"/>
      <c r="I40" s="278"/>
      <c r="J40" s="288" t="s">
        <v>292</v>
      </c>
      <c r="K40" s="278"/>
      <c r="L40" s="278"/>
      <c r="M40" s="288" t="s">
        <v>291</v>
      </c>
      <c r="N40" s="288" t="s">
        <v>290</v>
      </c>
      <c r="O40" s="288" t="s">
        <v>289</v>
      </c>
      <c r="P40" s="288" t="s">
        <v>225</v>
      </c>
      <c r="Q40" s="290" t="s">
        <v>288</v>
      </c>
      <c r="R40" s="50" t="s">
        <v>4</v>
      </c>
      <c r="S40" s="49" t="s">
        <v>4</v>
      </c>
      <c r="T40" s="49" t="s">
        <v>4</v>
      </c>
      <c r="U40" s="49" t="s">
        <v>82</v>
      </c>
      <c r="V40" s="49" t="s">
        <v>82</v>
      </c>
      <c r="W40" s="49" t="s">
        <v>82</v>
      </c>
      <c r="X40" s="49" t="s">
        <v>82</v>
      </c>
      <c r="Y40" s="49" t="s">
        <v>82</v>
      </c>
      <c r="Z40" s="49" t="s">
        <v>82</v>
      </c>
      <c r="AA40" s="49" t="s">
        <v>82</v>
      </c>
      <c r="AB40" s="49" t="s">
        <v>82</v>
      </c>
      <c r="AC40" s="49" t="s">
        <v>82</v>
      </c>
      <c r="AD40" s="49" t="s">
        <v>82</v>
      </c>
      <c r="AE40" s="49" t="s">
        <v>82</v>
      </c>
      <c r="AF40" s="47" t="s">
        <v>82</v>
      </c>
      <c r="AG40" s="47" t="s">
        <v>82</v>
      </c>
      <c r="AH40" s="47" t="s">
        <v>82</v>
      </c>
      <c r="AI40" s="47" t="s">
        <v>82</v>
      </c>
      <c r="AJ40" s="61" t="s">
        <v>82</v>
      </c>
    </row>
    <row r="41" spans="2:36" s="46" customFormat="1" ht="25" customHeight="1" x14ac:dyDescent="0.25">
      <c r="B41" s="257"/>
      <c r="C41" s="260"/>
      <c r="D41" s="77" t="s">
        <v>287</v>
      </c>
      <c r="E41" s="74" t="s">
        <v>286</v>
      </c>
      <c r="F41" s="74" t="s">
        <v>285</v>
      </c>
      <c r="G41" s="74" t="s">
        <v>287</v>
      </c>
      <c r="H41" s="74" t="s">
        <v>286</v>
      </c>
      <c r="I41" s="74" t="s">
        <v>285</v>
      </c>
      <c r="J41" s="74" t="s">
        <v>287</v>
      </c>
      <c r="K41" s="74" t="s">
        <v>286</v>
      </c>
      <c r="L41" s="74" t="s">
        <v>285</v>
      </c>
      <c r="M41" s="278"/>
      <c r="N41" s="278"/>
      <c r="O41" s="278"/>
      <c r="P41" s="278"/>
      <c r="Q41" s="281"/>
      <c r="R41" s="75" t="s">
        <v>4</v>
      </c>
      <c r="S41" s="72" t="s">
        <v>4</v>
      </c>
      <c r="T41" s="72" t="s">
        <v>4</v>
      </c>
      <c r="U41" s="72" t="s">
        <v>82</v>
      </c>
      <c r="V41" s="72" t="s">
        <v>82</v>
      </c>
      <c r="W41" s="74" t="s">
        <v>82</v>
      </c>
      <c r="X41" s="72" t="s">
        <v>82</v>
      </c>
      <c r="Y41" s="72" t="s">
        <v>82</v>
      </c>
      <c r="Z41" s="74" t="s">
        <v>82</v>
      </c>
      <c r="AA41" s="49" t="s">
        <v>82</v>
      </c>
      <c r="AB41" s="49" t="s">
        <v>82</v>
      </c>
      <c r="AC41" s="49" t="s">
        <v>82</v>
      </c>
      <c r="AD41" s="49" t="s">
        <v>82</v>
      </c>
      <c r="AE41" s="49" t="s">
        <v>82</v>
      </c>
      <c r="AF41" s="47" t="s">
        <v>82</v>
      </c>
      <c r="AG41" s="47" t="s">
        <v>82</v>
      </c>
      <c r="AH41" s="47" t="s">
        <v>82</v>
      </c>
      <c r="AI41" s="47" t="s">
        <v>82</v>
      </c>
      <c r="AJ41" s="61" t="s">
        <v>82</v>
      </c>
    </row>
    <row r="42" spans="2:36" s="46" customFormat="1" ht="22.5" customHeight="1" x14ac:dyDescent="0.25">
      <c r="B42" s="257"/>
      <c r="C42" s="260"/>
      <c r="D42" s="54" t="s">
        <v>284</v>
      </c>
      <c r="E42" s="53" t="s">
        <v>284</v>
      </c>
      <c r="F42" s="52" t="s">
        <v>284</v>
      </c>
      <c r="G42" s="52" t="s">
        <v>283</v>
      </c>
      <c r="H42" s="49" t="s">
        <v>283</v>
      </c>
      <c r="I42" s="49" t="s">
        <v>283</v>
      </c>
      <c r="J42" s="52" t="s">
        <v>283</v>
      </c>
      <c r="K42" s="49" t="s">
        <v>283</v>
      </c>
      <c r="L42" s="49" t="s">
        <v>283</v>
      </c>
      <c r="M42" s="49" t="s">
        <v>282</v>
      </c>
      <c r="N42" s="49" t="s">
        <v>281</v>
      </c>
      <c r="O42" s="52" t="s">
        <v>280</v>
      </c>
      <c r="P42" s="52" t="s">
        <v>4</v>
      </c>
      <c r="Q42" s="51" t="s">
        <v>4</v>
      </c>
      <c r="R42" s="50" t="s">
        <v>4</v>
      </c>
      <c r="S42" s="49" t="s">
        <v>4</v>
      </c>
      <c r="T42" s="49" t="s">
        <v>4</v>
      </c>
      <c r="U42" s="49" t="s">
        <v>82</v>
      </c>
      <c r="V42" s="49" t="s">
        <v>82</v>
      </c>
      <c r="W42" s="49" t="s">
        <v>82</v>
      </c>
      <c r="X42" s="49" t="s">
        <v>82</v>
      </c>
      <c r="Y42" s="49" t="s">
        <v>82</v>
      </c>
      <c r="Z42" s="49" t="s">
        <v>82</v>
      </c>
      <c r="AA42" s="49" t="s">
        <v>82</v>
      </c>
      <c r="AB42" s="49" t="s">
        <v>82</v>
      </c>
      <c r="AC42" s="49" t="s">
        <v>82</v>
      </c>
      <c r="AD42" s="49" t="s">
        <v>82</v>
      </c>
      <c r="AE42" s="48" t="s">
        <v>82</v>
      </c>
      <c r="AF42" s="47" t="s">
        <v>82</v>
      </c>
      <c r="AG42" s="47" t="s">
        <v>82</v>
      </c>
      <c r="AH42" s="47" t="s">
        <v>82</v>
      </c>
      <c r="AI42" s="47" t="s">
        <v>82</v>
      </c>
      <c r="AJ42" s="61" t="s">
        <v>82</v>
      </c>
    </row>
    <row r="43" spans="2:36" s="133" customFormat="1" ht="24" customHeight="1" x14ac:dyDescent="0.25">
      <c r="B43" s="301"/>
      <c r="C43" s="302"/>
      <c r="D43" s="122"/>
      <c r="E43" s="123"/>
      <c r="F43" s="123">
        <f>D43-E43</f>
        <v>0</v>
      </c>
      <c r="G43" s="123"/>
      <c r="H43" s="123"/>
      <c r="I43" s="123">
        <f>G43-H43</f>
        <v>0</v>
      </c>
      <c r="J43" s="123"/>
      <c r="K43" s="123"/>
      <c r="L43" s="123">
        <f>J43-K43</f>
        <v>0</v>
      </c>
      <c r="M43" s="123"/>
      <c r="N43" s="123"/>
      <c r="O43" s="123" t="e">
        <f>N43/M43</f>
        <v>#DIV/0!</v>
      </c>
      <c r="P43" s="123"/>
      <c r="Q43" s="145">
        <v>301</v>
      </c>
      <c r="R43" s="122" t="s">
        <v>4</v>
      </c>
      <c r="S43" s="123" t="s">
        <v>4</v>
      </c>
      <c r="T43" s="123" t="s">
        <v>4</v>
      </c>
      <c r="U43" s="123" t="s">
        <v>82</v>
      </c>
      <c r="V43" s="123" t="s">
        <v>82</v>
      </c>
      <c r="W43" s="123" t="s">
        <v>82</v>
      </c>
      <c r="X43" s="123" t="s">
        <v>82</v>
      </c>
      <c r="Y43" s="123" t="s">
        <v>82</v>
      </c>
      <c r="Z43" s="123" t="s">
        <v>82</v>
      </c>
      <c r="AA43" s="123" t="s">
        <v>82</v>
      </c>
      <c r="AB43" s="123" t="s">
        <v>82</v>
      </c>
      <c r="AC43" s="123" t="s">
        <v>82</v>
      </c>
      <c r="AD43" s="123" t="s">
        <v>82</v>
      </c>
      <c r="AE43" s="131" t="s">
        <v>82</v>
      </c>
      <c r="AF43" s="131" t="s">
        <v>82</v>
      </c>
      <c r="AG43" s="131" t="s">
        <v>82</v>
      </c>
      <c r="AH43" s="131" t="s">
        <v>82</v>
      </c>
      <c r="AI43" s="131" t="s">
        <v>82</v>
      </c>
      <c r="AJ43" s="132" t="s">
        <v>82</v>
      </c>
    </row>
    <row r="44" spans="2:36" ht="15" customHeight="1" x14ac:dyDescent="0.25"/>
    <row r="45" spans="2:36" ht="18" customHeight="1" x14ac:dyDescent="0.25"/>
    <row r="46" spans="2:36" ht="18" customHeight="1" x14ac:dyDescent="0.25"/>
    <row r="47" spans="2:36" ht="18" customHeight="1" x14ac:dyDescent="0.25"/>
    <row r="48" spans="2:36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</sheetData>
  <mergeCells count="131"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</mergeCells>
  <phoneticPr fontId="1" type="noConversion"/>
  <conditionalFormatting sqref="F7">
    <cfRule type="cellIs" dxfId="39" priority="25" aboveAverage="1" operator="equal">
      <formula>"↓"</formula>
    </cfRule>
    <cfRule type="cellIs" dxfId="38" priority="26" aboveAverage="1" operator="equal">
      <formula>"↑"</formula>
    </cfRule>
  </conditionalFormatting>
  <conditionalFormatting sqref="F12">
    <cfRule type="cellIs" dxfId="37" priority="5" aboveAverage="1" operator="equal">
      <formula>"↓"</formula>
    </cfRule>
    <cfRule type="cellIs" dxfId="36" priority="6" aboveAverage="1" operator="equal">
      <formula>"↑"</formula>
    </cfRule>
  </conditionalFormatting>
  <conditionalFormatting sqref="F28">
    <cfRule type="cellIs" dxfId="35" priority="23" aboveAverage="1" operator="equal">
      <formula>"↓"</formula>
    </cfRule>
    <cfRule type="cellIs" dxfId="34" priority="24" aboveAverage="1" operator="equal">
      <formula>"↑"</formula>
    </cfRule>
  </conditionalFormatting>
  <conditionalFormatting sqref="F33">
    <cfRule type="cellIs" dxfId="33" priority="1" aboveAverage="1" operator="equal">
      <formula>"↓"</formula>
    </cfRule>
    <cfRule type="cellIs" dxfId="32" priority="2" aboveAverage="1" operator="equal">
      <formula>"↑"</formula>
    </cfRule>
  </conditionalFormatting>
  <conditionalFormatting sqref="T12">
    <cfRule type="cellIs" dxfId="31" priority="21" aboveAverage="1" operator="equal">
      <formula>"↓"</formula>
    </cfRule>
    <cfRule type="cellIs" dxfId="30" priority="22" aboveAverage="1" operator="equal">
      <formula>"↑"</formula>
    </cfRule>
  </conditionalFormatting>
  <conditionalFormatting sqref="T33">
    <cfRule type="cellIs" dxfId="29" priority="19" aboveAverage="1" operator="equal">
      <formula>"↓"</formula>
    </cfRule>
    <cfRule type="cellIs" dxfId="28" priority="20" aboveAverage="1" operator="equal">
      <formula>"↑"</formula>
    </cfRule>
  </conditionalFormatting>
  <conditionalFormatting sqref="Z12">
    <cfRule type="cellIs" dxfId="27" priority="17" aboveAverage="1" operator="equal">
      <formula>"↓"</formula>
    </cfRule>
    <cfRule type="cellIs" dxfId="26" priority="18" aboveAverage="1" operator="equal">
      <formula>"↑"</formula>
    </cfRule>
  </conditionalFormatting>
  <conditionalFormatting sqref="Z33">
    <cfRule type="cellIs" dxfId="25" priority="15" aboveAverage="1" operator="equal">
      <formula>"↓"</formula>
    </cfRule>
    <cfRule type="cellIs" dxfId="24" priority="16" aboveAverage="1" operator="equal">
      <formula>"↑"</formula>
    </cfRule>
  </conditionalFormatting>
  <conditionalFormatting sqref="AD12">
    <cfRule type="cellIs" dxfId="23" priority="13" aboveAverage="1" operator="equal">
      <formula>"↓"</formula>
    </cfRule>
    <cfRule type="cellIs" dxfId="22" priority="14" aboveAverage="1" operator="equal">
      <formula>"↑"</formula>
    </cfRule>
  </conditionalFormatting>
  <conditionalFormatting sqref="AD33">
    <cfRule type="cellIs" dxfId="21" priority="11" aboveAverage="1" operator="equal">
      <formula>"↓"</formula>
    </cfRule>
    <cfRule type="cellIs" dxfId="20" priority="12" aboveAverage="1" operator="equal">
      <formula>"↑"</formula>
    </cfRule>
  </conditionalFormatting>
  <conditionalFormatting sqref="AJ17">
    <cfRule type="cellIs" dxfId="19" priority="9" aboveAverage="1" operator="equal">
      <formula>"↓"</formula>
    </cfRule>
    <cfRule type="cellIs" dxfId="18" priority="10" aboveAverage="1" operator="equal">
      <formula>"↑"</formula>
    </cfRule>
  </conditionalFormatting>
  <conditionalFormatting sqref="AJ38">
    <cfRule type="cellIs" dxfId="17" priority="7" aboveAverage="1" operator="equal">
      <formula>"↓"</formula>
    </cfRule>
    <cfRule type="cellIs" dxfId="16" priority="8" aboveAverage="1" operator="equal">
      <formula>"↑"</formula>
    </cfRule>
  </conditionalFormatting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zoomScaleNormal="100" workbookViewId="0">
      <selection activeCell="N6" sqref="N6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303" t="s">
        <v>470</v>
      </c>
      <c r="C2" s="304"/>
      <c r="D2" s="304"/>
      <c r="E2" s="304"/>
      <c r="F2" s="304"/>
      <c r="G2" s="304"/>
      <c r="H2" s="304"/>
      <c r="I2" s="304"/>
      <c r="J2" s="305"/>
    </row>
    <row r="3" spans="2:10" ht="20.15" customHeight="1" x14ac:dyDescent="0.25">
      <c r="B3" s="306"/>
      <c r="C3" s="307"/>
      <c r="D3" s="307"/>
      <c r="E3" s="307"/>
      <c r="F3" s="307"/>
      <c r="G3" s="308"/>
      <c r="H3" s="309"/>
      <c r="I3" s="309"/>
      <c r="J3" s="310"/>
    </row>
    <row r="4" spans="2:10" ht="21" x14ac:dyDescent="0.25">
      <c r="B4" s="311" t="s">
        <v>413</v>
      </c>
      <c r="C4" s="312"/>
      <c r="D4" s="313"/>
      <c r="E4" s="314" t="s">
        <v>414</v>
      </c>
      <c r="F4" s="314" t="s">
        <v>415</v>
      </c>
      <c r="G4" s="314" t="s">
        <v>416</v>
      </c>
      <c r="H4" s="315" t="s">
        <v>417</v>
      </c>
      <c r="I4" s="313"/>
      <c r="J4" s="316" t="s">
        <v>418</v>
      </c>
    </row>
    <row r="5" spans="2:10" x14ac:dyDescent="0.25">
      <c r="B5" s="317" t="s">
        <v>419</v>
      </c>
      <c r="C5" s="318" t="s">
        <v>420</v>
      </c>
      <c r="D5" s="318"/>
      <c r="E5" s="319" t="s">
        <v>284</v>
      </c>
      <c r="F5" s="320">
        <v>90</v>
      </c>
      <c r="G5" s="321">
        <v>0</v>
      </c>
      <c r="H5" s="322">
        <f>(G5-F5)/F5*100</f>
        <v>-100</v>
      </c>
      <c r="I5" s="323" t="s">
        <v>284</v>
      </c>
      <c r="J5" s="324"/>
    </row>
    <row r="6" spans="2:10" x14ac:dyDescent="0.25">
      <c r="B6" s="325" t="s">
        <v>421</v>
      </c>
      <c r="C6" s="318" t="s">
        <v>422</v>
      </c>
      <c r="D6" s="318"/>
      <c r="E6" s="319" t="s">
        <v>280</v>
      </c>
      <c r="F6" s="320" t="s">
        <v>423</v>
      </c>
      <c r="G6" s="321">
        <v>0</v>
      </c>
      <c r="H6" s="326" t="str">
        <f>IF($G6="","",IF(AND($G6&gt;=0,$G6&lt;=1427),"合格","不合格"))</f>
        <v/>
      </c>
      <c r="I6" s="327" t="s">
        <v>4</v>
      </c>
      <c r="J6" s="324"/>
    </row>
    <row r="7" spans="2:10" x14ac:dyDescent="0.25">
      <c r="B7" s="328"/>
      <c r="C7" s="318" t="s">
        <v>424</v>
      </c>
      <c r="D7" s="318"/>
      <c r="E7" s="319" t="s">
        <v>280</v>
      </c>
      <c r="F7" s="320" t="s">
        <v>425</v>
      </c>
      <c r="G7" s="321">
        <v>0</v>
      </c>
      <c r="H7" s="326" t="str">
        <f>IF($G7="","",IF(AND($G7&gt;=210,$G7&lt;=220),"合格","不合格"))</f>
        <v/>
      </c>
      <c r="I7" s="327" t="s">
        <v>4</v>
      </c>
      <c r="J7" s="324"/>
    </row>
    <row r="8" spans="2:10" x14ac:dyDescent="0.25">
      <c r="B8" s="329"/>
      <c r="C8" s="318" t="s">
        <v>426</v>
      </c>
      <c r="D8" s="318"/>
      <c r="E8" s="319" t="s">
        <v>280</v>
      </c>
      <c r="F8" s="320" t="s">
        <v>427</v>
      </c>
      <c r="G8" s="321">
        <v>0</v>
      </c>
      <c r="H8" s="326" t="str">
        <f>IF($G8="","",IF(AND($G8&gt;=190,$G8&lt;=210),"合格","不合格"))</f>
        <v/>
      </c>
      <c r="I8" s="327" t="s">
        <v>4</v>
      </c>
      <c r="J8" s="324"/>
    </row>
    <row r="9" spans="2:10" x14ac:dyDescent="0.25">
      <c r="B9" s="325" t="s">
        <v>428</v>
      </c>
      <c r="C9" s="319" t="s">
        <v>429</v>
      </c>
      <c r="D9" s="319" t="s">
        <v>430</v>
      </c>
      <c r="E9" s="319" t="s">
        <v>431</v>
      </c>
      <c r="F9" s="320" t="s">
        <v>432</v>
      </c>
      <c r="G9" s="321">
        <v>664.6331176757812</v>
      </c>
      <c r="H9" s="326" t="str">
        <f>IF($G9="","",IF(AND($G9&gt;=412,$G9&lt;=422),"合格","不合格"))</f>
        <v/>
      </c>
      <c r="I9" s="327" t="s">
        <v>4</v>
      </c>
      <c r="J9" s="324"/>
    </row>
    <row r="10" spans="2:10" x14ac:dyDescent="0.25">
      <c r="B10" s="328"/>
      <c r="C10" s="318" t="s">
        <v>433</v>
      </c>
      <c r="D10" s="319" t="s">
        <v>434</v>
      </c>
      <c r="E10" s="327" t="s">
        <v>4</v>
      </c>
      <c r="F10" s="320" t="s">
        <v>435</v>
      </c>
      <c r="G10" s="321">
        <v>0.5467851161956787</v>
      </c>
      <c r="H10" s="326" t="str">
        <f>IF($G10="","",IF(AND($G10&gt;=0.525,$G10&lt;=0.5357),"合格","不合格"))</f>
        <v/>
      </c>
      <c r="I10" s="327" t="s">
        <v>4</v>
      </c>
      <c r="J10" s="324"/>
    </row>
    <row r="11" spans="2:10" x14ac:dyDescent="0.25">
      <c r="B11" s="328"/>
      <c r="C11" s="318"/>
      <c r="D11" s="319" t="s">
        <v>436</v>
      </c>
      <c r="E11" s="319" t="s">
        <v>437</v>
      </c>
      <c r="F11" s="320">
        <v>46.63</v>
      </c>
      <c r="G11" s="321">
        <v>46.65299987792969</v>
      </c>
      <c r="H11" s="326" t="s">
        <v>438</v>
      </c>
      <c r="I11" s="327" t="s">
        <v>4</v>
      </c>
      <c r="J11" s="324"/>
    </row>
    <row r="12" spans="2:10" x14ac:dyDescent="0.25">
      <c r="B12" s="328"/>
      <c r="C12" s="318"/>
      <c r="D12" s="319" t="s">
        <v>439</v>
      </c>
      <c r="E12" s="319" t="s">
        <v>301</v>
      </c>
      <c r="F12" s="320" t="s">
        <v>440</v>
      </c>
      <c r="G12" s="321">
        <v>-0.00495370477437973</v>
      </c>
      <c r="H12" s="326" t="str">
        <f>IF($G12="","",IF(AND($G12&gt;=0.745,$G12&lt;=0.755),"合格","不合格"))</f>
        <v/>
      </c>
      <c r="I12" s="327" t="s">
        <v>4</v>
      </c>
      <c r="J12" s="324"/>
    </row>
    <row r="13" spans="2:10" x14ac:dyDescent="0.25">
      <c r="B13" s="328"/>
      <c r="C13" s="318"/>
      <c r="D13" s="319" t="s">
        <v>441</v>
      </c>
      <c r="E13" s="319" t="s">
        <v>302</v>
      </c>
      <c r="F13" s="320" t="s">
        <v>442</v>
      </c>
      <c r="G13" s="321">
        <v>12.82725715637207</v>
      </c>
      <c r="H13" s="326" t="str">
        <f>IF($G13="","",IF(AND($G13&gt;=88,$G13&lt;=92),"合格","不合格"))</f>
        <v/>
      </c>
      <c r="I13" s="327" t="s">
        <v>4</v>
      </c>
      <c r="J13" s="324"/>
    </row>
    <row r="14" spans="2:10" x14ac:dyDescent="0.25">
      <c r="B14" s="328"/>
      <c r="C14" s="318"/>
      <c r="D14" s="319" t="s">
        <v>443</v>
      </c>
      <c r="E14" s="319" t="s">
        <v>302</v>
      </c>
      <c r="F14" s="320" t="s">
        <v>444</v>
      </c>
      <c r="G14" s="321">
        <v>12.384839057922363</v>
      </c>
      <c r="H14" s="326" t="str">
        <f>IF($G14="","",IF(AND($G14&gt;=143,$G14&lt;=147),"合格","不合格"))</f>
        <v/>
      </c>
      <c r="I14" s="327" t="s">
        <v>4</v>
      </c>
      <c r="J14" s="324"/>
    </row>
    <row r="15" spans="2:10" x14ac:dyDescent="0.25">
      <c r="B15" s="328"/>
      <c r="C15" s="318"/>
      <c r="D15" s="319" t="s">
        <v>445</v>
      </c>
      <c r="E15" s="319" t="s">
        <v>302</v>
      </c>
      <c r="F15" s="320" t="s">
        <v>446</v>
      </c>
      <c r="G15" s="321">
        <v>13.508681297302246</v>
      </c>
      <c r="H15" s="326" t="str">
        <f>IF($G15="","",IF(AND($G15&gt;=166,$G15&lt;=170),"合格","不合格"))</f>
        <v/>
      </c>
      <c r="I15" s="327" t="s">
        <v>4</v>
      </c>
      <c r="J15" s="324"/>
    </row>
    <row r="16" spans="2:10" x14ac:dyDescent="0.25">
      <c r="B16" s="328"/>
      <c r="C16" s="318" t="s">
        <v>447</v>
      </c>
      <c r="D16" s="319" t="s">
        <v>448</v>
      </c>
      <c r="E16" s="319" t="s">
        <v>302</v>
      </c>
      <c r="F16" s="320" t="s">
        <v>449</v>
      </c>
      <c r="G16" s="321">
        <v>19.83173942565918</v>
      </c>
      <c r="H16" s="326" t="str">
        <f>IF($G16="","",IF(AND($G16&gt;=0,$G16&lt;=45),"合格","不合格"))</f>
        <v/>
      </c>
      <c r="I16" s="327" t="s">
        <v>4</v>
      </c>
      <c r="J16" s="324"/>
    </row>
    <row r="17" spans="2:10" x14ac:dyDescent="0.25">
      <c r="B17" s="328"/>
      <c r="C17" s="318"/>
      <c r="D17" s="319" t="s">
        <v>450</v>
      </c>
      <c r="E17" s="319" t="s">
        <v>302</v>
      </c>
      <c r="F17" s="320" t="s">
        <v>451</v>
      </c>
      <c r="G17" s="321">
        <v>16.874998092651367</v>
      </c>
      <c r="H17" s="326" t="str">
        <f>IF($G17="","",IF(AND($G17&gt;=0,$G17&lt;=20),"合格","不合格"))</f>
        <v/>
      </c>
      <c r="I17" s="327" t="s">
        <v>4</v>
      </c>
      <c r="J17" s="324"/>
    </row>
    <row r="18" spans="2:10" x14ac:dyDescent="0.25">
      <c r="B18" s="328"/>
      <c r="C18" s="318"/>
      <c r="D18" s="319" t="s">
        <v>452</v>
      </c>
      <c r="E18" s="319" t="s">
        <v>302</v>
      </c>
      <c r="F18" s="320" t="s">
        <v>453</v>
      </c>
      <c r="G18" s="321">
        <v>0</v>
      </c>
      <c r="H18" s="326" t="str">
        <f>IF($G18="","",IF(AND($G18&gt;=46,$G18&lt;=50),"合格","不合格"))</f>
        <v/>
      </c>
      <c r="I18" s="327" t="s">
        <v>4</v>
      </c>
      <c r="J18" s="324"/>
    </row>
    <row r="19" spans="2:10" x14ac:dyDescent="0.25">
      <c r="B19" s="328"/>
      <c r="C19" s="318"/>
      <c r="D19" s="319" t="s">
        <v>454</v>
      </c>
      <c r="E19" s="319" t="s">
        <v>302</v>
      </c>
      <c r="F19" s="320" t="s">
        <v>455</v>
      </c>
      <c r="G19" s="321">
        <v>21.905380249023438</v>
      </c>
      <c r="H19" s="326" t="str">
        <f>IF($G19="","",IF(AND($G19&gt;=0,$G19&lt;=20),"合格","不合格"))</f>
        <v/>
      </c>
      <c r="I19" s="327" t="s">
        <v>4</v>
      </c>
      <c r="J19" s="324"/>
    </row>
    <row r="20" spans="2:10" x14ac:dyDescent="0.25">
      <c r="B20" s="328"/>
      <c r="C20" s="318" t="s">
        <v>456</v>
      </c>
      <c r="D20" s="319" t="s">
        <v>89</v>
      </c>
      <c r="E20" s="319" t="s">
        <v>284</v>
      </c>
      <c r="F20" s="330" t="s">
        <v>82</v>
      </c>
      <c r="G20" s="321"/>
      <c r="H20" s="331" t="s">
        <v>457</v>
      </c>
      <c r="I20" s="327" t="s">
        <v>4</v>
      </c>
      <c r="J20" s="324"/>
    </row>
    <row r="21" spans="2:10" x14ac:dyDescent="0.25">
      <c r="B21" s="328"/>
      <c r="C21" s="318"/>
      <c r="D21" s="319" t="s">
        <v>92</v>
      </c>
      <c r="E21" s="319" t="s">
        <v>284</v>
      </c>
      <c r="F21" s="330" t="s">
        <v>82</v>
      </c>
      <c r="G21" s="321"/>
      <c r="H21" s="331" t="s">
        <v>457</v>
      </c>
      <c r="I21" s="327" t="s">
        <v>4</v>
      </c>
      <c r="J21" s="324"/>
    </row>
    <row r="22" spans="2:10" x14ac:dyDescent="0.25">
      <c r="B22" s="328"/>
      <c r="C22" s="318"/>
      <c r="D22" s="319" t="s">
        <v>458</v>
      </c>
      <c r="E22" s="327" t="s">
        <v>4</v>
      </c>
      <c r="F22" s="330" t="s">
        <v>82</v>
      </c>
      <c r="G22" s="321"/>
      <c r="H22" s="331" t="s">
        <v>457</v>
      </c>
      <c r="I22" s="327" t="s">
        <v>4</v>
      </c>
      <c r="J22" s="324"/>
    </row>
    <row r="23" spans="2:10" x14ac:dyDescent="0.25">
      <c r="B23" s="328"/>
      <c r="C23" s="318"/>
      <c r="D23" s="319" t="s">
        <v>166</v>
      </c>
      <c r="E23" s="319" t="s">
        <v>431</v>
      </c>
      <c r="F23" s="330" t="s">
        <v>82</v>
      </c>
      <c r="G23" s="321"/>
      <c r="H23" s="331" t="s">
        <v>457</v>
      </c>
      <c r="I23" s="327" t="s">
        <v>4</v>
      </c>
      <c r="J23" s="324"/>
    </row>
    <row r="24" spans="2:10" x14ac:dyDescent="0.25">
      <c r="B24" s="329"/>
      <c r="C24" s="318"/>
      <c r="D24" s="319" t="s">
        <v>167</v>
      </c>
      <c r="E24" s="319" t="s">
        <v>431</v>
      </c>
      <c r="F24" s="330" t="s">
        <v>82</v>
      </c>
      <c r="G24" s="321"/>
      <c r="H24" s="331" t="s">
        <v>457</v>
      </c>
      <c r="I24" s="327" t="s">
        <v>4</v>
      </c>
      <c r="J24" s="324"/>
    </row>
    <row r="25" spans="2:10" x14ac:dyDescent="0.25">
      <c r="B25" s="332" t="s">
        <v>459</v>
      </c>
      <c r="C25" s="319" t="s">
        <v>460</v>
      </c>
      <c r="D25" s="319" t="s">
        <v>461</v>
      </c>
      <c r="E25" s="319" t="s">
        <v>462</v>
      </c>
      <c r="F25" s="320" t="s">
        <v>463</v>
      </c>
      <c r="G25" s="321">
        <v>0</v>
      </c>
      <c r="H25" s="326" t="str">
        <f>IF($G25="","",IF(AND($G25&gt;=0,$G25&lt;=0.38),"合格","不合格"))</f>
        <v/>
      </c>
      <c r="I25" s="327" t="s">
        <v>4</v>
      </c>
      <c r="J25" s="324"/>
    </row>
    <row r="26" spans="2:10" x14ac:dyDescent="0.25">
      <c r="B26" s="332"/>
      <c r="C26" s="318" t="s">
        <v>464</v>
      </c>
      <c r="D26" s="319" t="s">
        <v>10</v>
      </c>
      <c r="E26" s="319" t="s">
        <v>284</v>
      </c>
      <c r="F26" s="320">
        <v>7</v>
      </c>
      <c r="G26" s="321"/>
      <c r="H26" s="322">
        <f>(G26-F26)</f>
        <v>-7</v>
      </c>
      <c r="I26" s="327" t="s">
        <v>284</v>
      </c>
      <c r="J26" s="324"/>
    </row>
    <row r="27" spans="2:10" x14ac:dyDescent="0.25">
      <c r="B27" s="332"/>
      <c r="C27" s="318"/>
      <c r="D27" s="319" t="s">
        <v>465</v>
      </c>
      <c r="E27" s="319" t="s">
        <v>284</v>
      </c>
      <c r="F27" s="320">
        <v>15</v>
      </c>
      <c r="G27" s="321"/>
      <c r="H27" s="322">
        <f t="shared" ref="H27:H31" si="0">(G27-F27)</f>
        <v>-15</v>
      </c>
      <c r="I27" s="327" t="s">
        <v>284</v>
      </c>
      <c r="J27" s="324"/>
    </row>
    <row r="28" spans="2:10" x14ac:dyDescent="0.25">
      <c r="B28" s="332"/>
      <c r="C28" s="318"/>
      <c r="D28" s="319" t="s">
        <v>466</v>
      </c>
      <c r="E28" s="319" t="s">
        <v>284</v>
      </c>
      <c r="F28" s="320">
        <v>4</v>
      </c>
      <c r="G28" s="321"/>
      <c r="H28" s="322">
        <f t="shared" si="0"/>
        <v>-4</v>
      </c>
      <c r="I28" s="327" t="s">
        <v>284</v>
      </c>
      <c r="J28" s="324"/>
    </row>
    <row r="29" spans="2:10" x14ac:dyDescent="0.25">
      <c r="B29" s="332"/>
      <c r="C29" s="318"/>
      <c r="D29" s="319" t="s">
        <v>166</v>
      </c>
      <c r="E29" s="319" t="s">
        <v>284</v>
      </c>
      <c r="F29" s="320">
        <v>7</v>
      </c>
      <c r="G29" s="321"/>
      <c r="H29" s="322">
        <f t="shared" si="0"/>
        <v>-7</v>
      </c>
      <c r="I29" s="327" t="s">
        <v>284</v>
      </c>
      <c r="J29" s="324"/>
    </row>
    <row r="30" spans="2:10" x14ac:dyDescent="0.25">
      <c r="B30" s="332"/>
      <c r="C30" s="318"/>
      <c r="D30" s="319" t="s">
        <v>167</v>
      </c>
      <c r="E30" s="319" t="s">
        <v>284</v>
      </c>
      <c r="F30" s="320">
        <v>7</v>
      </c>
      <c r="G30" s="321"/>
      <c r="H30" s="322">
        <f t="shared" si="0"/>
        <v>-7</v>
      </c>
      <c r="I30" s="327" t="s">
        <v>284</v>
      </c>
      <c r="J30" s="324"/>
    </row>
    <row r="31" spans="2:10" x14ac:dyDescent="0.25">
      <c r="B31" s="332"/>
      <c r="C31" s="318"/>
      <c r="D31" s="319" t="s">
        <v>467</v>
      </c>
      <c r="E31" s="319" t="s">
        <v>468</v>
      </c>
      <c r="F31" s="320">
        <v>10</v>
      </c>
      <c r="G31" s="321"/>
      <c r="H31" s="322">
        <f t="shared" si="0"/>
        <v>-10</v>
      </c>
      <c r="I31" s="327" t="s">
        <v>284</v>
      </c>
      <c r="J31" s="324"/>
    </row>
    <row r="32" spans="2:10" ht="14.5" thickBot="1" x14ac:dyDescent="0.3">
      <c r="B32" s="325"/>
      <c r="C32" s="333"/>
      <c r="D32" s="334" t="s">
        <v>320</v>
      </c>
      <c r="E32" s="334" t="s">
        <v>284</v>
      </c>
      <c r="F32" s="335">
        <v>50</v>
      </c>
      <c r="G32" s="336"/>
      <c r="H32" s="322">
        <f>(G32-F32)</f>
        <v>-50</v>
      </c>
      <c r="I32" s="327" t="s">
        <v>284</v>
      </c>
      <c r="J32" s="337"/>
    </row>
    <row r="33" spans="2:10" x14ac:dyDescent="0.25">
      <c r="B33" s="338" t="s">
        <v>469</v>
      </c>
      <c r="C33" s="339"/>
      <c r="D33" s="340"/>
      <c r="E33" s="340"/>
      <c r="F33" s="340"/>
      <c r="G33" s="340"/>
      <c r="H33" s="340"/>
      <c r="I33" s="340"/>
      <c r="J33" s="341"/>
    </row>
    <row r="34" spans="2:10" x14ac:dyDescent="0.25">
      <c r="B34" s="342"/>
      <c r="C34" s="343"/>
      <c r="D34" s="344"/>
      <c r="E34" s="344"/>
      <c r="F34" s="344"/>
      <c r="G34" s="344"/>
      <c r="H34" s="344"/>
      <c r="I34" s="344"/>
      <c r="J34" s="345"/>
    </row>
    <row r="35" spans="2:10" ht="14.5" thickBot="1" x14ac:dyDescent="0.3">
      <c r="B35" s="346"/>
      <c r="C35" s="347"/>
      <c r="D35" s="348"/>
      <c r="E35" s="348"/>
      <c r="F35" s="348"/>
      <c r="G35" s="348"/>
      <c r="H35" s="348"/>
      <c r="I35" s="348"/>
      <c r="J35" s="349"/>
    </row>
  </sheetData>
  <sheetCalcPr fullCalcOnLoad="1"/>
  <mergeCells count="17">
    <mergeCell ref="B25:B32"/>
    <mergeCell ref="C26:C32"/>
    <mergeCell ref="B33:B35"/>
    <mergeCell ref="C33:J35"/>
    <mergeCell ref="B9:B24"/>
    <mergeCell ref="C20:C24"/>
    <mergeCell ref="C16:C19"/>
    <mergeCell ref="C10:C15"/>
    <mergeCell ref="B6:B8"/>
    <mergeCell ref="C6:D6"/>
    <mergeCell ref="C7:D7"/>
    <mergeCell ref="C8:D8"/>
    <mergeCell ref="B2:J2"/>
    <mergeCell ref="H3:J3"/>
    <mergeCell ref="B4:D4"/>
    <mergeCell ref="H4:I4"/>
    <mergeCell ref="C5:D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  <vt:lpstr>'班组＆日生产过程运行质量考评表'!Print_Area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2026-05-27T10:43:07Z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