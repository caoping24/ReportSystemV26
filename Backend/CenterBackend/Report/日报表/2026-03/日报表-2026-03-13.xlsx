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<sst xmlns="http://schemas.openxmlformats.org/spreadsheetml/2006/main" count="1556" uniqueCount="472">
  <si>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</si>
  <si>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</si>
  <si>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</si>
  <si>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</si>
  <si>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</si>
  <si>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</si>
  <si>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</si>
  <si>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</si>
  <si>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</si>
  <si>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</si>
  <si>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</si>
  <si>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</si>
  <si>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</si>
  <si>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</si>
  <si>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</si>
  <si>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</si>
  <si>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</si>
  <si>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</si>
  <si>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</si>
  <si>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</si>
  <si>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</si>
  <si>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</si>
  <si>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</si>
  <si>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</si>
  <si>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</si>
  <si>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</si>
  <si>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</si>
  <si>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</si>
  <si>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</si>
  <si>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</si>
  <si>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</si>
  <si>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</si>
  <si>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</si>
  <si>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</si>
  <si>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</si>
  <si>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</si>
  <si>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</si>
  <si>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</si>
  <si>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</si>
  <si>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</si>
  <si>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</si>
  <si>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</si>
  <si>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</si>
  <si>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</si>
  <si>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</si>
  <si>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</si>
  <si>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</si>
  <si>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</si>
  <si>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</si>
  <si>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</si>
  <si>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</si>
  <si>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</si>
  <si>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</si>
  <si>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</si>
  <si>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</si>
  <si>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</si>
  <si>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</si>
  <si>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</si>
  <si>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</si>
  <si>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</si>
  <si>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</si>
  <si>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</si>
  <si>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</si>
  <si>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</si>
  <si>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</si>
  <si>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</si>
  <si>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</si>
  <si>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</si>
  <si>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</si>
  <si>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</si>
  <si>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</si>
  <si>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</si>
  <si>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</si>
  <si>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</si>
  <si>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</si>
  <si>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</si>
  <si>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</si>
  <si>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</si>
  <si>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</si>
  <si>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</si>
  <si>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</si>
  <si>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</si>
  <si>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</si>
  <si>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</si>
  <si>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</si>
  <si>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</si>
  <si>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</si>
  <si>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</si>
  <si>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</si>
  <si>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</si>
  <si>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</si>
  <si>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</si>
  <si>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</si>
  <si>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</si>
  <si>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</si>
  <si>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</si>
  <si>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</si>
  <si>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</si>
  <si>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</si>
  <si>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</si>
  <si>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</si>
  <si>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</si>
  <si>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</si>
  <si>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</si>
  <si>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</si>
  <si>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</si>
  <si>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</si>
  <si>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</si>
  <si>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</si>
  <si>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</si>
  <si>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</si>
  <si>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</si>
  <si>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</si>
  <si>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</si>
  <si>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</si>
  <si>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</si>
  <si>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</si>
  <si>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</si>
  <si>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</si>
  <si>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</si>
  <si>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</si>
  <si>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</si>
  <si>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</si>
  <si>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</si>
  <si>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</si>
  <si>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</si>
  <si>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</si>
  <si>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</si>
  <si>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</si>
  <si>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</si>
  <si>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</si>
  <si>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</si>
  <si>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</si>
  <si>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</si>
  <si>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</si>
  <si>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</si>
  <si>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</si>
  <si>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</si>
  <si>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</si>
  <si>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</si>
  <si>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</si>
  <si>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</si>
  <si>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</si>
  <si>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</si>
  <si>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</si>
  <si>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</si>
  <si>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</si>
  <si>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</si>
  <si>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</si>
  <si>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</si>
  <si>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</si>
  <si>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</si>
  <si>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</si>
  <si>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</si>
  <si>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</si>
  <si>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</si>
  <si>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</si>
  <si>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</si>
  <si>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</si>
  <si>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</si>
  <si>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</si>
  <si>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</si>
  <si>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</si>
  <si>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</si>
  <si>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</si>
  <si>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</si>
  <si>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</si>
  <si>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</si>
  <si>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</si>
  <si>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</si>
  <si>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</si>
  <si>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</si>
  <si>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</si>
  <si>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</si>
  <si>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</si>
  <si>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</si>
  <si>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</si>
  <si>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</si>
  <si>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</si>
  <si>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</si>
  <si>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</si>
  <si>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</si>
  <si>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</si>
  <si>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</si>
  <si>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</si>
  <si>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</si>
  <si>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</si>
  <si>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</si>
  <si>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</si>
  <si>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</si>
  <si>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</si>
  <si>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</si>
  <si>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</si>
  <si>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</si>
  <si>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</si>
  <si>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</si>
  <si>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</si>
  <si>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</si>
  <si>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</si>
  <si>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</si>
  <si>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</si>
  <si>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</si>
  <si>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</si>
  <si>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</si>
  <si>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</si>
  <si>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</si>
  <si>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</si>
  <si>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</si>
  <si>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</si>
  <si>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</si>
  <si>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</si>
  <si>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</si>
  <si>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</si>
  <si>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</si>
  <si>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</si>
  <si>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</si>
  <si>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</si>
  <si>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</si>
  <si>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</si>
  <si>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</si>
  <si>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</si>
  <si>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</si>
  <si>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</si>
  <si>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</si>
  <si>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</si>
  <si>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</si>
  <si>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</si>
  <si>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</si>
  <si>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</si>
  <si>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</si>
  <si>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</si>
  <si>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</si>
  <si>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</si>
  <si>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</si>
  <si>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</si>
  <si>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</si>
  <si>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</si>
  <si>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</si>
  <si>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</si>
  <si>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</si>
  <si>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</si>
  <si>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</si>
  <si>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</si>
  <si>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</si>
  <si>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</si>
  <si>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</si>
  <si>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</si>
  <si>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</si>
  <si>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</si>
  <si>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</si>
  <si>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</si>
  <si>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</si>
  <si>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</si>
  <si>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</si>
  <si>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</si>
  <si>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</si>
  <si>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</si>
  <si>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</si>
  <si>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</si>
  <si>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</si>
  <si>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</si>
  <si>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</si>
  <si>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</si>
  <si>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</si>
  <si>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</si>
  <si>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</si>
  <si>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</si>
  <si>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</si>
  <si>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</si>
  <si>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</si>
  <si>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</si>
  <si>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</si>
  <si>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</si>
  <si>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</si>
  <si>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</si>
  <si>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</si>
  <si>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</si>
  <si>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</si>
  <si>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</si>
  <si>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</si>
  <si>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</si>
  <si>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</si>
  <si>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</si>
  <si>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</si>
  <si>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</si>
  <si>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</si>
  <si>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</si>
  <si>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</si>
  <si>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</si>
  <si>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</si>
  <si>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</si>
  <si>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</si>
  <si>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</si>
  <si>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</si>
  <si>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</si>
  <si>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</si>
  <si>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</si>
  <si>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</si>
  <si>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</si>
  <si>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</si>
  <si>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</si>
  <si>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</si>
  <si>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</si>
  <si>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</si>
  <si>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</si>
  <si>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</si>
  <si>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</si>
  <si>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</si>
  <si>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</si>
  <si>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</si>
  <si>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</si>
  <si>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</si>
  <si>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</si>
  <si>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</si>
  <si>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</si>
  <si>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</si>
  <si>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</si>
  <si>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</si>
  <si>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</si>
  <si>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</si>
  <si>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</si>
  <si>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</si>
  <si>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</si>
  <si>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</si>
  <si>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</si>
  <si>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</si>
  <si>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</si>
  <si>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</si>
  <si>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</si>
  <si>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</si>
  <si>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</si>
  <si>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</si>
  <si>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</si>
  <si>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</si>
  <si>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</si>
  <si>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</si>
  <si>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</si>
  <si>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33.1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</si>
  <si>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</si>
  <si>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</si>
  <si>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</si>
  <si>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</si>
  <si>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</si>
  <si>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</si>
  <si>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</si>
  <si>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</si>
  <si>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</si>
  <si>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</si>
  <si>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</si>
  <si>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</si>
  <si>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</si>
  <si>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</si>
  <si>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</si>
  <si>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</si>
  <si>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</si>
  <si>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</si>
  <si>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</si>
  <si>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</si>
  <si>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</si>
  <si>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</si>
  <si>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</si>
  <si>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</si>
  <si>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</si>
  <si>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</si>
  <si>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</si>
  <si>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</si>
  <si>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</si>
  <si>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</si>
  <si>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</si>
  <si>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</si>
  <si>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</si>
  <si>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</si>
  <si>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</si>
  <si>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</si>
  <si>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</si>
  <si>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</si>
  <si>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</si>
  <si>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</si>
  <si>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</si>
  <si>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</si>
  <si>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</si>
  <si>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</si>
  <si>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</si>
  <si>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</si>
  <si>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</si>
  <si>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</si>
  <si>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</si>
  <si>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</si>
  <si>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</si>
  <si>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</si>
  <si>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</si>
  <si>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</si>
  <si>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</si>
  <si>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</si>
  <si>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</si>
  <si>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</si>
  <si>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</si>
  <si>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</si>
  <si>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</si>
  <si>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</si>
  <si>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</si>
  <si>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</si>
  <si>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</si>
  <si>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</si>
  <si>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</si>
  <si>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</si>
  <si>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</si>
  <si>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</si>
  <si>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</si>
  <si>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</si>
  <si>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</si>
  <si>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</si>
  <si>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/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</si>
  <si>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</si>
  <si>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</si>
  <si>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</si>
  <si>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</si>
  <si>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</si>
  <si>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</si>
  <si>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</si>
  <si>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</si>
  <si>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</si>
  <si>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</si>
  <si>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</si>
  <si>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</si>
  <si>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215±5</t>
  </si>
  <si>
    <t xml:space="preserve">硫酸消耗</t>
    <phoneticPr fontId="1" type="noConversion"/>
  </si>
  <si>
    <t xml:space="preserve">200±10</t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</si>
  <si>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</si>
  <si>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</si>
  <si>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</si>
  <si>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</si>
  <si>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</si>
  <si>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</si>
  <si>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</si>
  <si>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</si>
  <si>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</si>
  <si>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</si>
  <si>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</si>
  <si>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</si>
  <si>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</si>
  <si>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</si>
  <si>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</si>
  <si>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</si>
  <si>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145±2</t>
  </si>
  <si>
    <t xml:space="preserve">管反热点温度</t>
  </si>
  <si>
    <t xml:space="preserve">168±2</t>
  </si>
  <si>
    <t xml:space="preserve">结晶单元</t>
    <phoneticPr fontId="1" type="noConversion"/>
  </si>
  <si>
    <t xml:space="preserve">预冷器结晶温度</t>
  </si>
  <si>
    <t xml:space="preserve">≤45</t>
    <phoneticPr fontId="1" type="noConversion"/>
  </si>
  <si>
    <t xml:space="preserve">一次结晶温度</t>
  </si>
  <si>
    <t xml:space="preserve">≤20</t>
    <phoneticPr fontId="1" type="noConversion"/>
  </si>
  <si>
    <t xml:space="preserve">降膜蒸发温度</t>
  </si>
  <si>
    <t xml:space="preserve">48±2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</si>
  <si>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</si>
  <si>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</si>
  <si>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</si>
  <si>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</si>
  <si>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</si>
  <si>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</si>
  <si>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</si>
  <si>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</si>
  <si>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</si>
  <si>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</si>
  <si>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</si>
  <si>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</si>
  <si>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</si>
  <si>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</si>
  <si>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</si>
  <si>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</si>
  <si>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</si>
  <si>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2026-03-13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</si>
</sst>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3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b/>
      <sz val="12"/>
      <name val="Times New Roman"/>
      <family val="1"/>
    </font>
    <font>
      <b/>
      <sz val="12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35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89" xfId="0" applyFont="1" applyFill="1" applyBorder="1" applyAlignment="1">
      <alignment horizontal="center" vertical="center"/>
    </xf>
    <xf numFmtId="49" fontId="19" fillId="4" borderId="90" xfId="0" applyNumberFormat="1" applyFont="1" applyFill="1" applyBorder="1" applyAlignment="1">
      <alignment horizontal="center" vertical="center" wrapText="1"/>
    </xf>
    <xf numFmtId="176" fontId="28" fillId="0" borderId="4" xfId="0" applyNumberFormat="1" applyFont="1" applyBorder="1" applyAlignment="1">
      <alignment horizontal="center" vertical="center" wrapText="1"/>
    </xf>
    <xf numFmtId="176" fontId="29" fillId="0" borderId="4" xfId="0" applyNumberFormat="1" applyFont="1" applyBorder="1" applyAlignment="1">
      <alignment horizontal="center" vertical="center" wrapText="1"/>
    </xf>
    <xf numFmtId="176" fontId="29" fillId="0" borderId="47" xfId="0" applyNumberFormat="1" applyFont="1" applyBorder="1" applyAlignment="1">
      <alignment horizontal="center" vertical="center" wrapText="1"/>
    </xf>
    <xf numFmtId="176" fontId="29" fillId="0" borderId="51" xfId="0" applyNumberFormat="1" applyFont="1" applyBorder="1" applyAlignment="1">
      <alignment horizontal="center" vertical="center" wrapText="1"/>
    </xf>
    <xf numFmtId="177" fontId="28" fillId="0" borderId="4" xfId="0" applyNumberFormat="1" applyFont="1" applyBorder="1" applyAlignment="1">
      <alignment horizontal="center" vertical="center" wrapText="1"/>
    </xf>
    <xf numFmtId="177" fontId="28" fillId="0" borderId="47" xfId="0" applyNumberFormat="1" applyFont="1" applyBorder="1" applyAlignment="1">
      <alignment horizontal="center" vertical="center" wrapText="1"/>
    </xf>
    <xf numFmtId="177" fontId="28" fillId="0" borderId="51" xfId="0" applyNumberFormat="1" applyFont="1" applyBorder="1" applyAlignment="1">
      <alignment horizontal="center" vertical="center" wrapText="1"/>
    </xf>
    <xf numFmtId="177" fontId="28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28" fillId="0" borderId="30" xfId="0" applyNumberFormat="1" applyFont="1" applyBorder="1" applyAlignment="1">
      <alignment horizontal="center" vertical="center" wrapText="1"/>
    </xf>
    <xf numFmtId="177" fontId="28" fillId="0" borderId="48" xfId="0" applyNumberFormat="1" applyFont="1" applyBorder="1" applyAlignment="1">
      <alignment horizontal="center" vertical="center" wrapText="1"/>
    </xf>
    <xf numFmtId="177" fontId="28" fillId="0" borderId="52" xfId="0" applyNumberFormat="1" applyFont="1" applyBorder="1" applyAlignment="1">
      <alignment horizontal="center" vertical="center" wrapText="1"/>
    </xf>
    <xf numFmtId="177" fontId="28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28" fillId="0" borderId="12" xfId="0" applyNumberFormat="1" applyFont="1" applyBorder="1" applyAlignment="1">
      <alignment horizontal="center" vertical="center" wrapText="1"/>
    </xf>
    <xf numFmtId="177" fontId="29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28" fillId="0" borderId="45" xfId="0" applyNumberFormat="1" applyFont="1" applyBorder="1" applyAlignment="1">
      <alignment horizontal="center" vertical="center" wrapText="1"/>
    </xf>
    <xf numFmtId="177" fontId="29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29" fillId="0" borderId="47" xfId="0" applyNumberFormat="1" applyFont="1" applyBorder="1" applyAlignment="1">
      <alignment horizontal="center" vertical="center" wrapText="1"/>
    </xf>
    <xf numFmtId="177" fontId="29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29" fillId="0" borderId="48" xfId="0" applyNumberFormat="1" applyFont="1" applyBorder="1" applyAlignment="1">
      <alignment horizontal="center" vertical="center" wrapText="1"/>
    </xf>
    <xf numFmtId="177" fontId="29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23" fillId="0" borderId="30" xfId="0" applyNumberFormat="1" applyFont="1" applyBorder="1" applyAlignment="1">
      <alignment horizontal="center" vertical="center" wrapText="1"/>
    </xf>
    <xf numFmtId="177" fontId="30" fillId="0" borderId="52" xfId="0" applyNumberFormat="1" applyFont="1" applyBorder="1" applyAlignment="1">
      <alignment horizontal="center" vertical="center" wrapText="1"/>
    </xf>
    <xf numFmtId="177" fontId="31" fillId="0" borderId="52" xfId="0" applyNumberFormat="1" applyFont="1" applyBorder="1" applyAlignment="1">
      <alignment horizontal="center" vertical="center" wrapText="1"/>
    </xf>
    <xf numFmtId="177" fontId="31" fillId="0" borderId="30" xfId="0" applyNumberFormat="1" applyFont="1" applyBorder="1" applyAlignment="1">
      <alignment horizontal="center" vertical="center" wrapText="1"/>
    </xf>
    <xf numFmtId="177" fontId="31" fillId="0" borderId="76" xfId="0" applyNumberFormat="1" applyFont="1" applyBorder="1" applyAlignment="1">
      <alignment horizontal="center" vertical="center" wrapText="1"/>
    </xf>
    <xf numFmtId="177" fontId="31" fillId="0" borderId="48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24" fillId="0" borderId="82" xfId="0" applyFont="1" applyBorder="1" applyAlignment="1">
      <alignment horizontal="left" vertical="center"/>
    </xf>
    <xf numFmtId="0" fontId="24" fillId="0" borderId="83" xfId="0" applyFont="1" applyBorder="1" applyAlignment="1">
      <alignment horizontal="left" vertical="center"/>
    </xf>
    <xf numFmtId="0" fontId="24" fillId="0" borderId="84" xfId="0" applyFont="1" applyBorder="1" applyAlignment="1">
      <alignment horizontal="left" vertical="center"/>
    </xf>
    <xf numFmtId="0" fontId="21" fillId="0" borderId="85" xfId="0" applyFont="1" applyBorder="1" applyAlignment="1">
      <alignment horizontal="center" vertical="center" wrapText="1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21" fillId="0" borderId="8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86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25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25" fillId="0" borderId="28" xfId="0" applyFont="1" applyBorder="1" applyAlignment="1">
      <alignment horizontal="center" vertical="center" wrapText="1"/>
    </xf>
    <xf numFmtId="0" fontId="25" fillId="0" borderId="69" xfId="0" applyFont="1" applyBorder="1" applyAlignment="1">
      <alignment horizontal="center" vertical="center" wrapText="1"/>
    </xf>
    <xf numFmtId="0" fontId="25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25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87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26" fillId="0" borderId="72" xfId="0" applyNumberFormat="1" applyFont="1" applyBorder="1" applyAlignment="1">
      <alignment horizontal="center" vertical="center" wrapText="1"/>
    </xf>
    <xf numFmtId="0" fontId="27" fillId="0" borderId="62" xfId="0" applyFont="1" applyBorder="1" applyAlignment="1">
      <alignment horizontal="center" vertical="center" wrapText="1"/>
    </xf>
    <xf numFmtId="0" fontId="27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0" fontId="0" fillId="0" borderId="9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3" fillId="3" borderId="81" xfId="0" applyFont="1" applyFill="1" applyBorder="1" applyAlignment="1">
      <alignment horizontal="center" vertical="center"/>
    </xf>
    <xf numFmtId="0" fontId="33" fillId="3" borderId="78" xfId="0" applyFont="1" applyFill="1" applyBorder="1" applyAlignment="1">
      <alignment horizontal="center" vertical="center"/>
    </xf>
    <xf numFmtId="0" fontId="33" fillId="3" borderId="77" xfId="0" applyFont="1" applyFill="1" applyBorder="1" applyAlignment="1">
      <alignment horizontal="center" vertical="center"/>
    </xf>
    <xf numFmtId="0" fontId="34" fillId="3" borderId="61" xfId="0" applyFont="1" applyFill="1" applyBorder="1" applyAlignment="1">
      <alignment vertical="center"/>
    </xf>
    <xf numFmtId="0" fontId="34" fillId="3" borderId="62" xfId="0" applyFont="1" applyFill="1" applyBorder="1" applyAlignment="1">
      <alignment vertical="center"/>
    </xf>
    <xf numFmtId="0" fontId="34" fillId="3" borderId="62" xfId="0" applyFont="1" applyFill="1" applyBorder="1" applyAlignment="1">
      <alignment horizontal="right" vertical="center"/>
    </xf>
    <xf numFmtId="0" fontId="34" fillId="3" borderId="62" xfId="0" applyFont="1" applyFill="1" applyBorder="1" applyAlignment="1">
      <alignment horizontal="center" vertical="center"/>
    </xf>
    <xf numFmtId="0" fontId="34" fillId="3" borderId="65" xfId="0" applyFont="1" applyFill="1" applyBorder="1" applyAlignment="1">
      <alignment horizontal="center" vertical="center"/>
    </xf>
    <xf numFmtId="0" fontId="33" fillId="0" borderId="93" xfId="0" applyFont="1" applyBorder="1" applyAlignment="1">
      <alignment horizontal="center" vertical="center"/>
    </xf>
    <xf numFmtId="0" fontId="33" fillId="0" borderId="73" xfId="0" applyFont="1" applyBorder="1" applyAlignment="1">
      <alignment horizontal="center" vertical="center"/>
    </xf>
    <xf numFmtId="0" fontId="33" fillId="0" borderId="90" xfId="0" applyFont="1" applyBorder="1" applyAlignment="1">
      <alignment horizontal="center" vertical="center"/>
    </xf>
    <xf numFmtId="0" fontId="33" fillId="0" borderId="94" xfId="0" applyFont="1" applyBorder="1" applyAlignment="1">
      <alignment horizontal="center" vertical="center"/>
    </xf>
    <xf numFmtId="0" fontId="33" fillId="0" borderId="89" xfId="0" applyFont="1" applyBorder="1" applyAlignment="1">
      <alignment horizontal="center" vertical="center"/>
    </xf>
    <xf numFmtId="0" fontId="33" fillId="0" borderId="95" xfId="0" applyFont="1" applyBorder="1" applyAlignment="1">
      <alignment horizontal="center" vertical="center"/>
    </xf>
    <xf numFmtId="0" fontId="35" fillId="0" borderId="96" xfId="0" applyFont="1" applyBorder="1" applyAlignment="1">
      <alignment horizontal="left" vertical="center"/>
    </xf>
    <xf numFmtId="0" fontId="35" fillId="0" borderId="94" xfId="0" applyFont="1" applyBorder="1" applyAlignment="1">
      <alignment horizontal="center" vertical="center"/>
    </xf>
    <xf numFmtId="0" fontId="35" fillId="0" borderId="94" xfId="0" applyFont="1" applyBorder="1" applyAlignment="1">
      <alignment horizontal="center" vertical="center"/>
    </xf>
    <xf numFmtId="177" fontId="36" fillId="0" borderId="94" xfId="0" applyNumberFormat="1" applyFont="1" applyBorder="1" applyAlignment="1">
      <alignment horizontal="center" vertical="center"/>
    </xf>
    <xf numFmtId="177" fontId="16" fillId="0" borderId="94" xfId="0" applyNumberFormat="1" applyFont="1" applyBorder="1" applyAlignment="1">
      <alignment horizontal="center" vertical="center"/>
    </xf>
    <xf numFmtId="178" fontId="36" fillId="0" borderId="94" xfId="0" applyNumberFormat="1" applyFont="1" applyBorder="1" applyAlignment="1">
      <alignment horizontal="center" vertical="center"/>
    </xf>
    <xf numFmtId="178" fontId="36" fillId="0" borderId="89" xfId="0" applyNumberFormat="1" applyFont="1" applyBorder="1" applyAlignment="1">
      <alignment horizontal="center" vertical="center"/>
    </xf>
    <xf numFmtId="0" fontId="36" fillId="0" borderId="95" xfId="0" applyFont="1" applyBorder="1" applyAlignment="1">
      <alignment horizontal="center" vertical="center"/>
    </xf>
    <xf numFmtId="0" fontId="35" fillId="0" borderId="97" xfId="0" applyFont="1" applyBorder="1" applyAlignment="1">
      <alignment horizontal="center" vertical="center"/>
    </xf>
    <xf numFmtId="0" fontId="36" fillId="0" borderId="94" xfId="0" applyFont="1" applyBorder="1" applyAlignment="1">
      <alignment horizontal="center" vertical="center"/>
    </xf>
    <xf numFmtId="0" fontId="35" fillId="0" borderId="94" xfId="0" quotePrefix="1" applyFont="1" applyBorder="1" applyAlignment="1">
      <alignment horizontal="center" vertical="center"/>
    </xf>
    <xf numFmtId="0" fontId="35" fillId="0" borderId="98" xfId="0" applyFont="1" applyBorder="1" applyAlignment="1">
      <alignment horizontal="center" vertical="center"/>
    </xf>
    <xf numFmtId="0" fontId="35" fillId="0" borderId="99" xfId="0" applyFont="1" applyBorder="1" applyAlignment="1">
      <alignment horizontal="center" vertical="center"/>
    </xf>
    <xf numFmtId="177" fontId="35" fillId="0" borderId="94" xfId="0" quotePrefix="1" applyNumberFormat="1" applyFont="1" applyBorder="1" applyAlignment="1">
      <alignment horizontal="center" vertical="center"/>
    </xf>
    <xf numFmtId="0" fontId="36" fillId="0" borderId="94" xfId="0" quotePrefix="1" applyFont="1" applyBorder="1" applyAlignment="1">
      <alignment horizontal="center" vertical="center"/>
    </xf>
    <xf numFmtId="0" fontId="35" fillId="0" borderId="96" xfId="0" applyFont="1" applyBorder="1" applyAlignment="1">
      <alignment horizontal="center" vertical="center"/>
    </xf>
    <xf numFmtId="0" fontId="35" fillId="0" borderId="100" xfId="0" applyFont="1" applyBorder="1" applyAlignment="1">
      <alignment horizontal="center" vertical="center"/>
    </xf>
    <xf numFmtId="0" fontId="35" fillId="0" borderId="100" xfId="0" applyFont="1" applyBorder="1" applyAlignment="1">
      <alignment horizontal="center" vertical="center"/>
    </xf>
    <xf numFmtId="177" fontId="36" fillId="0" borderId="100" xfId="0" applyNumberFormat="1" applyFont="1" applyBorder="1" applyAlignment="1">
      <alignment horizontal="center" vertical="center"/>
    </xf>
    <xf numFmtId="177" fontId="16" fillId="0" borderId="100" xfId="0" applyNumberFormat="1" applyFont="1" applyBorder="1" applyAlignment="1">
      <alignment horizontal="center" vertical="center"/>
    </xf>
    <xf numFmtId="0" fontId="36" fillId="0" borderId="101" xfId="0" applyFont="1" applyBorder="1" applyAlignment="1">
      <alignment horizontal="center" vertical="center"/>
    </xf>
    <xf numFmtId="0" fontId="35" fillId="0" borderId="102" xfId="0" applyFont="1" applyBorder="1" applyAlignment="1">
      <alignment horizontal="center" vertical="center"/>
    </xf>
    <xf numFmtId="0" fontId="35" fillId="0" borderId="103" xfId="0" applyFont="1" applyBorder="1" applyAlignment="1">
      <alignment horizontal="center" vertical="center"/>
    </xf>
    <xf numFmtId="0" fontId="35" fillId="0" borderId="104" xfId="0" applyFont="1" applyBorder="1" applyAlignment="1">
      <alignment horizontal="center" vertical="center"/>
    </xf>
    <xf numFmtId="0" fontId="35" fillId="0" borderId="105" xfId="0" applyFont="1" applyBorder="1" applyAlignment="1">
      <alignment horizontal="center" vertical="center"/>
    </xf>
    <xf numFmtId="0" fontId="35" fillId="0" borderId="106" xfId="0" applyFont="1" applyBorder="1" applyAlignment="1">
      <alignment horizontal="center" vertical="center"/>
    </xf>
    <xf numFmtId="0" fontId="35" fillId="0" borderId="107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108" xfId="0" applyFont="1" applyBorder="1" applyAlignment="1">
      <alignment horizontal="center" vertical="center"/>
    </xf>
    <xf numFmtId="0" fontId="35" fillId="0" borderId="109" xfId="0" applyFont="1" applyBorder="1" applyAlignment="1">
      <alignment horizontal="center" vertical="center"/>
    </xf>
    <xf numFmtId="0" fontId="35" fillId="0" borderId="110" xfId="0" applyFont="1" applyBorder="1" applyAlignment="1">
      <alignment horizontal="center" vertical="center"/>
    </xf>
    <xf numFmtId="0" fontId="35" fillId="0" borderId="111" xfId="0" applyFont="1" applyBorder="1" applyAlignment="1">
      <alignment horizontal="center" vertical="center"/>
    </xf>
    <xf numFmtId="0" fontId="35" fillId="0" borderId="112" xfId="0" applyFont="1" applyBorder="1" applyAlignment="1">
      <alignment horizontal="center" vertical="center"/>
    </xf>
  </cellXfs>
  <cellStyles count="1">
    <cellStyle name="常规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7" t="s">
        <v>227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</row>
    <row r="3" spans="2:47" ht="20.15" customHeight="1" x14ac:dyDescent="0.25">
      <c r="B3" s="189" t="s">
        <v>181</v>
      </c>
      <c r="C3" s="147" t="s">
        <v>163</v>
      </c>
      <c r="D3" s="197"/>
      <c r="E3" s="197"/>
      <c r="F3" s="197"/>
      <c r="G3" s="197"/>
      <c r="H3" s="198"/>
      <c r="I3" s="201" t="s">
        <v>8</v>
      </c>
      <c r="J3" s="197"/>
      <c r="K3" s="197"/>
      <c r="L3" s="197"/>
      <c r="M3" s="197"/>
      <c r="N3" s="197"/>
      <c r="O3" s="197"/>
      <c r="P3" s="202"/>
      <c r="Q3" s="147" t="s">
        <v>77</v>
      </c>
      <c r="R3" s="197"/>
      <c r="S3" s="202"/>
      <c r="T3" s="147" t="s">
        <v>10</v>
      </c>
      <c r="U3" s="197"/>
      <c r="V3" s="197"/>
      <c r="W3" s="202"/>
      <c r="X3" s="147" t="s">
        <v>80</v>
      </c>
      <c r="Y3" s="148"/>
      <c r="Z3" s="147" t="s">
        <v>11</v>
      </c>
      <c r="AA3" s="148"/>
      <c r="AB3" s="13" t="s">
        <v>13</v>
      </c>
      <c r="AC3" s="147" t="s">
        <v>14</v>
      </c>
      <c r="AD3" s="148"/>
      <c r="AE3" s="151" t="s">
        <v>88</v>
      </c>
      <c r="AF3" s="152"/>
      <c r="AG3" s="152"/>
      <c r="AH3" s="152"/>
      <c r="AI3" s="152"/>
      <c r="AJ3" s="152"/>
      <c r="AK3" s="153"/>
      <c r="AL3" s="147" t="s">
        <v>18</v>
      </c>
      <c r="AM3" s="193"/>
      <c r="AN3" s="194"/>
      <c r="AO3" s="193" t="s">
        <v>16</v>
      </c>
      <c r="AP3" s="193"/>
      <c r="AQ3" s="193"/>
      <c r="AR3" s="196"/>
    </row>
    <row r="4" spans="2:47" ht="30" customHeight="1" x14ac:dyDescent="0.25">
      <c r="B4" s="190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9" t="s">
        <v>62</v>
      </c>
      <c r="J4" s="200"/>
      <c r="K4" s="3" t="s">
        <v>6</v>
      </c>
      <c r="L4" s="3" t="s">
        <v>66</v>
      </c>
      <c r="M4" s="3" t="s">
        <v>164</v>
      </c>
      <c r="N4" s="3" t="s">
        <v>165</v>
      </c>
      <c r="O4" s="154" t="s">
        <v>7</v>
      </c>
      <c r="P4" s="155"/>
      <c r="Q4" s="192" t="s">
        <v>71</v>
      </c>
      <c r="R4" s="155"/>
      <c r="S4" s="3" t="s">
        <v>51</v>
      </c>
      <c r="T4" s="3" t="s">
        <v>75</v>
      </c>
      <c r="U4" s="192" t="s">
        <v>78</v>
      </c>
      <c r="V4" s="155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9" t="s">
        <v>89</v>
      </c>
      <c r="AF4" s="150"/>
      <c r="AG4" s="149" t="s">
        <v>92</v>
      </c>
      <c r="AH4" s="150"/>
      <c r="AI4" s="10" t="s">
        <v>166</v>
      </c>
      <c r="AJ4" s="10" t="s">
        <v>167</v>
      </c>
      <c r="AK4" s="11" t="s">
        <v>115</v>
      </c>
      <c r="AL4" s="192" t="s">
        <v>110</v>
      </c>
      <c r="AM4" s="155"/>
      <c r="AN4" s="29" t="s">
        <v>111</v>
      </c>
      <c r="AO4" s="26" t="s">
        <v>12</v>
      </c>
      <c r="AP4" s="3" t="s">
        <v>1</v>
      </c>
      <c r="AQ4" s="168" t="s">
        <v>161</v>
      </c>
      <c r="AR4" s="195"/>
      <c r="AU4" s="20"/>
    </row>
    <row r="5" spans="2:47" ht="20.15" customHeight="1" x14ac:dyDescent="0.25">
      <c r="B5" s="191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408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91">
        <v>8.19227409362793</v>
      </c>
      <c r="D6" s="91">
        <v>17.382810592651367</v>
      </c>
      <c r="E6" s="91">
        <v>421.7709045410156</v>
      </c>
      <c r="F6" s="91"/>
      <c r="G6" s="91"/>
      <c r="H6" s="92">
        <v>418.6014099121094</v>
      </c>
      <c r="I6" s="93">
        <v>24.330869674682617</v>
      </c>
      <c r="J6" s="91"/>
      <c r="K6" s="91">
        <v>37.90509033203125</v>
      </c>
      <c r="L6" s="91">
        <v>1.3538949489593506</v>
      </c>
      <c r="M6" s="91">
        <v>105.64240264892578</v>
      </c>
      <c r="N6" s="91">
        <v>113.99739837646484</v>
      </c>
      <c r="O6" s="91">
        <v>23.989940643310547</v>
      </c>
      <c r="P6" s="91"/>
      <c r="Q6" s="91">
        <v>4.957420856044337E-07</v>
      </c>
      <c r="R6" s="91"/>
      <c r="S6" s="91">
        <v>138.7947998046875</v>
      </c>
      <c r="T6" s="91">
        <v>1.4566880464553833</v>
      </c>
      <c r="U6" s="91">
        <v>0.3624629080295563</v>
      </c>
      <c r="V6" s="91"/>
      <c r="W6" s="91">
        <v>92.0138931274414</v>
      </c>
      <c r="X6" s="91">
        <v>0.5301253795623779</v>
      </c>
      <c r="Y6" s="91"/>
      <c r="Z6" s="91">
        <v>0.8652200102806091</v>
      </c>
      <c r="AA6" s="91">
        <v>148.2205047607422</v>
      </c>
      <c r="AB6" s="91">
        <v>168.2581024169922</v>
      </c>
      <c r="AC6" s="91">
        <v>0.5139250755310059</v>
      </c>
      <c r="AD6" s="91">
        <v>161.7332000732422</v>
      </c>
      <c r="AE6" s="94">
        <v>33.380001068115234</v>
      </c>
      <c r="AF6" s="94"/>
      <c r="AG6" s="94"/>
      <c r="AH6" s="94">
        <v>13.890000343322754</v>
      </c>
      <c r="AI6" s="94">
        <v>10.880000114440918</v>
      </c>
      <c r="AJ6" s="94">
        <v>4.840000152587891</v>
      </c>
      <c r="AK6" s="94">
        <v>6.869999885559082</v>
      </c>
      <c r="AL6" s="91">
        <v>17.943429946899414</v>
      </c>
      <c r="AM6" s="95"/>
      <c r="AN6" s="96">
        <v>56.89019012451172</v>
      </c>
      <c r="AO6" s="97"/>
      <c r="AP6" s="98"/>
      <c r="AQ6" s="98">
        <v>0.3417244851589203</v>
      </c>
      <c r="AR6" s="99"/>
    </row>
    <row r="7" spans="2:47" ht="13.5" customHeight="1" x14ac:dyDescent="0.25">
      <c r="B7" s="14">
        <v>0.375</v>
      </c>
      <c r="C7" s="91">
        <v>7.949942111968994</v>
      </c>
      <c r="D7" s="91">
        <v>17.214630126953125</v>
      </c>
      <c r="E7" s="91">
        <v>421.7131042480469</v>
      </c>
      <c r="F7" s="91">
        <v>0.353703111410141</v>
      </c>
      <c r="G7" s="91">
        <v>0.10000000149011612</v>
      </c>
      <c r="H7" s="92">
        <v>418.914306640625</v>
      </c>
      <c r="I7" s="93">
        <v>23.72323989868164</v>
      </c>
      <c r="J7" s="91">
        <v>0.024106444790959358</v>
      </c>
      <c r="K7" s="91">
        <v>37.717010498046875</v>
      </c>
      <c r="L7" s="91">
        <v>1.3500980138778687</v>
      </c>
      <c r="M7" s="91">
        <v>108.27909851074219</v>
      </c>
      <c r="N7" s="91">
        <v>116.03730010986328</v>
      </c>
      <c r="O7" s="91">
        <v>23.975799560546875</v>
      </c>
      <c r="P7" s="91">
        <v>24.025390625</v>
      </c>
      <c r="Q7" s="91">
        <v>1.6145119667053223</v>
      </c>
      <c r="R7" s="91">
        <v>0.637939453125</v>
      </c>
      <c r="S7" s="91">
        <v>139.1927032470703</v>
      </c>
      <c r="T7" s="91">
        <v>1.4536490440368652</v>
      </c>
      <c r="U7" s="91">
        <v>0.3577190041542053</v>
      </c>
      <c r="V7" s="91">
        <v>0.3598046898841858</v>
      </c>
      <c r="W7" s="91">
        <v>91.7751693725586</v>
      </c>
      <c r="X7" s="91">
        <v>0.5299534797668457</v>
      </c>
      <c r="Y7" s="91" t="s">
        <v>82</v>
      </c>
      <c r="Z7" s="91">
        <v>0.8718171715736389</v>
      </c>
      <c r="AA7" s="91">
        <v>147.54769897460938</v>
      </c>
      <c r="AB7" s="91">
        <v>168.3303985595703</v>
      </c>
      <c r="AC7" s="91">
        <v>0.5543981790542603</v>
      </c>
      <c r="AD7" s="91">
        <v>161.96470642089844</v>
      </c>
      <c r="AE7" s="94"/>
      <c r="AF7" s="94"/>
      <c r="AG7" s="94"/>
      <c r="AH7" s="94"/>
      <c r="AI7" s="94"/>
      <c r="AJ7" s="94"/>
      <c r="AK7" s="94"/>
      <c r="AL7" s="91">
        <v>23.980030059814453</v>
      </c>
      <c r="AM7" s="95">
        <v>0.022049805149435997</v>
      </c>
      <c r="AN7" s="96">
        <v>64.91607666015625</v>
      </c>
      <c r="AO7" s="97"/>
      <c r="AP7" s="98"/>
      <c r="AQ7" s="98">
        <v>0.3190827965736389</v>
      </c>
      <c r="AR7" s="99">
        <v>0.0004075012111570686</v>
      </c>
    </row>
    <row r="8" spans="2:47" ht="13.5" customHeight="1" x14ac:dyDescent="0.25">
      <c r="B8" s="14">
        <v>0.41666666666666669</v>
      </c>
      <c r="C8" s="91">
        <v>7.754630088806152</v>
      </c>
      <c r="D8" s="91">
        <v>17.621530532836914</v>
      </c>
      <c r="E8" s="91">
        <v>418.5216064453125</v>
      </c>
      <c r="F8" s="91">
        <v>0.3537968695163727</v>
      </c>
      <c r="G8" s="91">
        <v>0.10000000149011612</v>
      </c>
      <c r="H8" s="92">
        <v>418.91009521484375</v>
      </c>
      <c r="I8" s="93">
        <v>24.78660011291504</v>
      </c>
      <c r="J8" s="91">
        <v>0.023696288466453552</v>
      </c>
      <c r="K8" s="91">
        <v>37.919559478759766</v>
      </c>
      <c r="L8" s="91">
        <v>1.3519059419631958</v>
      </c>
      <c r="M8" s="91">
        <v>107.84510040283203</v>
      </c>
      <c r="N8" s="91">
        <v>116.98500061035156</v>
      </c>
      <c r="O8" s="91">
        <v>24.149110794067383</v>
      </c>
      <c r="P8" s="91">
        <v>24.013671875</v>
      </c>
      <c r="Q8" s="91">
        <v>0.0001242969010490924</v>
      </c>
      <c r="R8" s="91">
        <v>0.51318359375</v>
      </c>
      <c r="S8" s="91">
        <v>138.7803955078125</v>
      </c>
      <c r="T8" s="91">
        <v>1.4564340114593506</v>
      </c>
      <c r="U8" s="91">
        <v>0.36078009009361267</v>
      </c>
      <c r="V8" s="91">
        <v>0.35969531536102295</v>
      </c>
      <c r="W8" s="91">
        <v>91.76793670654297</v>
      </c>
      <c r="X8" s="91">
        <v>0.5276532173156738</v>
      </c>
      <c r="Y8" s="91" t="s">
        <v>82</v>
      </c>
      <c r="Z8" s="91">
        <v>0.8684027791023254</v>
      </c>
      <c r="AA8" s="91">
        <v>147.8804931640625</v>
      </c>
      <c r="AB8" s="91">
        <v>168.2364044189453</v>
      </c>
      <c r="AC8" s="91">
        <v>0.49497249722480774</v>
      </c>
      <c r="AD8" s="91">
        <v>161.76939392089844</v>
      </c>
      <c r="AE8" s="94"/>
      <c r="AF8" s="94"/>
      <c r="AG8" s="94"/>
      <c r="AH8" s="94"/>
      <c r="AI8" s="94"/>
      <c r="AJ8" s="94"/>
      <c r="AK8" s="94"/>
      <c r="AL8" s="91">
        <v>15.932439804077148</v>
      </c>
      <c r="AM8" s="95">
        <v>0.021509764716029167</v>
      </c>
      <c r="AN8" s="96">
        <v>63.21614074707031</v>
      </c>
      <c r="AO8" s="97"/>
      <c r="AP8" s="98"/>
      <c r="AQ8" s="98">
        <v>0.32870370149612427</v>
      </c>
      <c r="AR8" s="99">
        <v>0.0003274993796367198</v>
      </c>
    </row>
    <row r="9" spans="2:47" ht="13.5" customHeight="1" x14ac:dyDescent="0.25">
      <c r="B9" s="14">
        <v>0.45833333333333298</v>
      </c>
      <c r="C9" s="91">
        <v>7.259113788604736</v>
      </c>
      <c r="D9" s="91">
        <v>17.36111068725586</v>
      </c>
      <c r="E9" s="91">
        <v>418.28271484375</v>
      </c>
      <c r="F9" s="91">
        <v>0.3537968695163727</v>
      </c>
      <c r="G9" s="91">
        <v>0.10001172125339508</v>
      </c>
      <c r="H9" s="92">
        <v>417.8963928222656</v>
      </c>
      <c r="I9" s="93">
        <v>23.470050811767578</v>
      </c>
      <c r="J9" s="91">
        <v>0.022231444716453552</v>
      </c>
      <c r="K9" s="91">
        <v>37.941261291503906</v>
      </c>
      <c r="L9" s="91">
        <v>1.3470230102539062</v>
      </c>
      <c r="M9" s="91">
        <v>107.56289672851562</v>
      </c>
      <c r="N9" s="91">
        <v>115.37909698486328</v>
      </c>
      <c r="O9" s="91">
        <v>24.10310935974121</v>
      </c>
      <c r="P9" s="91">
        <v>24.0234375</v>
      </c>
      <c r="Q9" s="91">
        <v>1.5257279872894287</v>
      </c>
      <c r="R9" s="91">
        <v>0.55078125</v>
      </c>
      <c r="S9" s="91">
        <v>139.07699584960938</v>
      </c>
      <c r="T9" s="91">
        <v>1.453016996383667</v>
      </c>
      <c r="U9" s="91">
        <v>0.3593587875366211</v>
      </c>
      <c r="V9" s="91">
        <v>0.3598046898841858</v>
      </c>
      <c r="W9" s="91">
        <v>92.28877258300781</v>
      </c>
      <c r="X9" s="91">
        <v>0.5288109183311462</v>
      </c>
      <c r="Y9" s="91" t="s">
        <v>82</v>
      </c>
      <c r="Z9" s="91">
        <v>0.871759295463562</v>
      </c>
      <c r="AA9" s="91">
        <v>148.5677032470703</v>
      </c>
      <c r="AB9" s="91">
        <v>168.33770751953125</v>
      </c>
      <c r="AC9" s="91">
        <v>0.490668386220932</v>
      </c>
      <c r="AD9" s="91">
        <v>161.8634033203125</v>
      </c>
      <c r="AE9" s="94"/>
      <c r="AF9" s="94"/>
      <c r="AG9" s="94"/>
      <c r="AH9" s="94"/>
      <c r="AI9" s="94"/>
      <c r="AJ9" s="94"/>
      <c r="AK9" s="94"/>
      <c r="AL9" s="91">
        <v>17.480470657348633</v>
      </c>
      <c r="AM9" s="95">
        <v>0.02019042894244194</v>
      </c>
      <c r="AN9" s="96">
        <v>60.63005828857422</v>
      </c>
      <c r="AO9" s="97"/>
      <c r="AP9" s="98"/>
      <c r="AQ9" s="98">
        <v>0.3250868022441864</v>
      </c>
      <c r="AR9" s="99">
        <v>0.0003298034716863185</v>
      </c>
    </row>
    <row r="10" spans="2:47" ht="13.5" customHeight="1" x14ac:dyDescent="0.25">
      <c r="B10" s="14">
        <v>0.5</v>
      </c>
      <c r="C10" s="91">
        <v>7.31336784362793</v>
      </c>
      <c r="D10" s="91">
        <v>17.225479125976562</v>
      </c>
      <c r="E10" s="91">
        <v>418.0440979003906</v>
      </c>
      <c r="F10" s="91">
        <v>0.3537968695163727</v>
      </c>
      <c r="G10" s="91">
        <v>0.09998828172683716</v>
      </c>
      <c r="H10" s="92">
        <v>417.1339111328125</v>
      </c>
      <c r="I10" s="93">
        <v>28.002029418945312</v>
      </c>
      <c r="J10" s="91">
        <v>0.025139648467302322</v>
      </c>
      <c r="K10" s="91">
        <v>37.78211975097656</v>
      </c>
      <c r="L10" s="91">
        <v>1.3511830568313599</v>
      </c>
      <c r="M10" s="91">
        <v>101.62220001220703</v>
      </c>
      <c r="N10" s="91">
        <v>109.41840362548828</v>
      </c>
      <c r="O10" s="91">
        <v>24.16316032409668</v>
      </c>
      <c r="P10" s="91">
        <v>24.0107421875</v>
      </c>
      <c r="Q10" s="91">
        <v>1.824692964553833</v>
      </c>
      <c r="R10" s="91">
        <v>0.420166015625</v>
      </c>
      <c r="S10" s="91">
        <v>139.4965057373047</v>
      </c>
      <c r="T10" s="91">
        <v>1.4547890424728394</v>
      </c>
      <c r="U10" s="91">
        <v>0.36173468828201294</v>
      </c>
      <c r="V10" s="91">
        <v>0.3595937490463257</v>
      </c>
      <c r="W10" s="91">
        <v>91.54369354248047</v>
      </c>
      <c r="X10" s="91">
        <v>0.5302808880805969</v>
      </c>
      <c r="Y10" s="91" t="s">
        <v>82</v>
      </c>
      <c r="Z10" s="91">
        <v>0.8664352297782898</v>
      </c>
      <c r="AA10" s="91">
        <v>147.17160034179688</v>
      </c>
      <c r="AB10" s="91">
        <v>168.16409301757812</v>
      </c>
      <c r="AC10" s="91">
        <v>0.4707030951976776</v>
      </c>
      <c r="AD10" s="91">
        <v>161.6392059326172</v>
      </c>
      <c r="AE10" s="94"/>
      <c r="AF10" s="94"/>
      <c r="AG10" s="94"/>
      <c r="AH10" s="94"/>
      <c r="AI10" s="94"/>
      <c r="AJ10" s="94"/>
      <c r="AK10" s="94"/>
      <c r="AL10" s="91">
        <v>10.659000396728516</v>
      </c>
      <c r="AM10" s="95">
        <v>0.019450195133686066</v>
      </c>
      <c r="AN10" s="96">
        <v>63.68634033203125</v>
      </c>
      <c r="AO10" s="97"/>
      <c r="AP10" s="98"/>
      <c r="AQ10" s="98">
        <v>0.3404948115348816</v>
      </c>
      <c r="AR10" s="99">
        <v>0.000333496107487008</v>
      </c>
    </row>
    <row r="11" spans="2:47" ht="13.5" customHeight="1" x14ac:dyDescent="0.25">
      <c r="B11" s="14">
        <v>0.54166666666666696</v>
      </c>
      <c r="C11" s="91">
        <v>7.1180548667907715</v>
      </c>
      <c r="D11" s="91">
        <v>17.36111068725586</v>
      </c>
      <c r="E11" s="91">
        <v>425.69500732421875</v>
      </c>
      <c r="F11" s="91">
        <v>0.3540000021457672</v>
      </c>
      <c r="G11" s="91">
        <v>0.10001172125339508</v>
      </c>
      <c r="H11" s="92">
        <v>417.7799987792969</v>
      </c>
      <c r="I11" s="93">
        <v>22.381370544433594</v>
      </c>
      <c r="J11" s="91">
        <v>0.02301660180091858</v>
      </c>
      <c r="K11" s="91">
        <v>37.948490142822266</v>
      </c>
      <c r="L11" s="91">
        <v>1.350640058517456</v>
      </c>
      <c r="M11" s="91">
        <v>104.4000015258789</v>
      </c>
      <c r="N11" s="91">
        <v>109.93920135498047</v>
      </c>
      <c r="O11" s="91">
        <v>24.220460891723633</v>
      </c>
      <c r="P11" s="91">
        <v>24.0478515625</v>
      </c>
      <c r="Q11" s="91">
        <v>1.2913660028175876E-31</v>
      </c>
      <c r="R11" s="91">
        <v>1.1728515625</v>
      </c>
      <c r="S11" s="91">
        <v>139.4604034423828</v>
      </c>
      <c r="T11" s="91">
        <v>1.454535961151123</v>
      </c>
      <c r="U11" s="91">
        <v>0.3588060140609741</v>
      </c>
      <c r="V11" s="91">
        <v>0.3602031171321869</v>
      </c>
      <c r="W11" s="91">
        <v>92.31047058105469</v>
      </c>
      <c r="X11" s="91">
        <v>0.528002917766571</v>
      </c>
      <c r="Y11" s="91" t="s">
        <v>82</v>
      </c>
      <c r="Z11" s="91">
        <v>0.8737269043922424</v>
      </c>
      <c r="AA11" s="91">
        <v>148.50979614257812</v>
      </c>
      <c r="AB11" s="91">
        <v>168.43890380859375</v>
      </c>
      <c r="AC11" s="91">
        <v>0.505967915058136</v>
      </c>
      <c r="AD11" s="91">
        <v>161.97189331054688</v>
      </c>
      <c r="AE11" s="94">
        <v>33.79999923706055</v>
      </c>
      <c r="AF11" s="94"/>
      <c r="AG11" s="94"/>
      <c r="AH11" s="94">
        <v>13.710000038146973</v>
      </c>
      <c r="AI11" s="94">
        <v>6.820000171661377</v>
      </c>
      <c r="AJ11" s="94">
        <v>5.380000114440918</v>
      </c>
      <c r="AK11" s="94">
        <v>6.869999885559082</v>
      </c>
      <c r="AL11" s="91">
        <v>15.502030372619629</v>
      </c>
      <c r="AM11" s="95">
        <v>0.016919922083616257</v>
      </c>
      <c r="AN11" s="96">
        <v>64.18184661865234</v>
      </c>
      <c r="AO11" s="97"/>
      <c r="AP11" s="98"/>
      <c r="AQ11" s="98">
        <v>0.3399161100387573</v>
      </c>
      <c r="AR11" s="99">
        <v>0.0003351135237608105</v>
      </c>
    </row>
    <row r="12" spans="2:47" ht="13.5" customHeight="1" x14ac:dyDescent="0.25">
      <c r="B12" s="14">
        <v>0.58333333333333304</v>
      </c>
      <c r="C12" s="91">
        <v>6.9986982345581055</v>
      </c>
      <c r="D12" s="91">
        <v>17.399089813232422</v>
      </c>
      <c r="E12" s="91">
        <v>416.952392578125</v>
      </c>
      <c r="F12" s="91">
        <v>0.3546093702316284</v>
      </c>
      <c r="G12" s="91">
        <v>0.09998828172683716</v>
      </c>
      <c r="H12" s="92">
        <v>418.0054016113281</v>
      </c>
      <c r="I12" s="93">
        <v>25.39423942565918</v>
      </c>
      <c r="J12" s="91">
        <v>0.0245976559817791</v>
      </c>
      <c r="K12" s="91">
        <v>38.035301208496094</v>
      </c>
      <c r="L12" s="91">
        <v>1.3480180501937866</v>
      </c>
      <c r="M12" s="91">
        <v>102.16470336914062</v>
      </c>
      <c r="N12" s="91">
        <v>111.17620086669922</v>
      </c>
      <c r="O12" s="91">
        <v>23.78577995300293</v>
      </c>
      <c r="P12" s="91">
        <v>24.0390625</v>
      </c>
      <c r="Q12" s="91">
        <v>2.968046086682108E-10</v>
      </c>
      <c r="R12" s="91">
        <v>1.066162109375</v>
      </c>
      <c r="S12" s="91">
        <v>138.75140380859375</v>
      </c>
      <c r="T12" s="91">
        <v>1.4516240358352661</v>
      </c>
      <c r="U12" s="91">
        <v>0.3569040894508362</v>
      </c>
      <c r="V12" s="91">
        <v>0.36000001430511475</v>
      </c>
      <c r="W12" s="91">
        <v>91.54369354248047</v>
      </c>
      <c r="X12" s="91">
        <v>0.5295078158378601</v>
      </c>
      <c r="Y12" s="91" t="s">
        <v>82</v>
      </c>
      <c r="Z12" s="91">
        <v>0.8763309717178345</v>
      </c>
      <c r="AA12" s="91">
        <v>147.22940063476562</v>
      </c>
      <c r="AB12" s="91">
        <v>168.41720581054688</v>
      </c>
      <c r="AC12" s="91">
        <v>0.5145037770271301</v>
      </c>
      <c r="AD12" s="91">
        <v>162.1383056640625</v>
      </c>
      <c r="AE12" s="94"/>
      <c r="AF12" s="94"/>
      <c r="AG12" s="94"/>
      <c r="AH12" s="94"/>
      <c r="AI12" s="94"/>
      <c r="AJ12" s="94"/>
      <c r="AK12" s="94"/>
      <c r="AL12" s="91">
        <v>20.60909080505371</v>
      </c>
      <c r="AM12" s="95">
        <v>0.015339843928813934</v>
      </c>
      <c r="AN12" s="96">
        <v>63.11848831176758</v>
      </c>
      <c r="AO12" s="97"/>
      <c r="AP12" s="98"/>
      <c r="AQ12" s="98">
        <v>0.32479751110076904</v>
      </c>
      <c r="AR12" s="99">
        <v>0.0004617919912561774</v>
      </c>
    </row>
    <row r="13" spans="2:47" ht="13.5" customHeight="1" x14ac:dyDescent="0.25">
      <c r="B13" s="14">
        <v>0.625</v>
      </c>
      <c r="C13" s="91">
        <v>6.6731767654418945</v>
      </c>
      <c r="D13" s="91">
        <v>17.540149688720703</v>
      </c>
      <c r="E13" s="91">
        <v>415.7290954589844</v>
      </c>
      <c r="F13" s="91">
        <v>0.3548906147480011</v>
      </c>
      <c r="G13" s="91">
        <v>0.10000000149011612</v>
      </c>
      <c r="H13" s="92">
        <v>416.6510925292969</v>
      </c>
      <c r="I13" s="93">
        <v>24.1789608001709</v>
      </c>
      <c r="J13" s="91">
        <v>0.02507031336426735</v>
      </c>
      <c r="K13" s="91">
        <v>37.87615966796875</v>
      </c>
      <c r="L13" s="91">
        <v>1.3904260396957397</v>
      </c>
      <c r="M13" s="91">
        <v>101.55169677734375</v>
      </c>
      <c r="N13" s="91">
        <v>110.77839660644531</v>
      </c>
      <c r="O13" s="91">
        <v>24.13833999633789</v>
      </c>
      <c r="P13" s="91">
        <v>24.0263671875</v>
      </c>
      <c r="Q13" s="91">
        <v>1.3677400350570679</v>
      </c>
      <c r="R13" s="91">
        <v>0.77490234375</v>
      </c>
      <c r="S13" s="91">
        <v>138.5561065673828</v>
      </c>
      <c r="T13" s="91">
        <v>1.4550420045852661</v>
      </c>
      <c r="U13" s="91">
        <v>0.36357611417770386</v>
      </c>
      <c r="V13" s="91">
        <v>0.3597968816757202</v>
      </c>
      <c r="W13" s="91">
        <v>92.3321762084961</v>
      </c>
      <c r="X13" s="91">
        <v>0.5302916169166565</v>
      </c>
      <c r="Y13" s="91" t="s">
        <v>82</v>
      </c>
      <c r="Z13" s="91">
        <v>0.8633102178573608</v>
      </c>
      <c r="AA13" s="91">
        <v>147.82989501953125</v>
      </c>
      <c r="AB13" s="91">
        <v>168.18580627441406</v>
      </c>
      <c r="AC13" s="91">
        <v>0.48137301206588745</v>
      </c>
      <c r="AD13" s="91">
        <v>161.68260192871094</v>
      </c>
      <c r="AE13" s="94"/>
      <c r="AF13" s="94"/>
      <c r="AG13" s="94"/>
      <c r="AH13" s="94"/>
      <c r="AI13" s="94"/>
      <c r="AJ13" s="94"/>
      <c r="AK13" s="94"/>
      <c r="AL13" s="91">
        <v>18.46426010131836</v>
      </c>
      <c r="AM13" s="95">
        <v>0.015479492023587227</v>
      </c>
      <c r="AN13" s="96">
        <v>61.5813102722168</v>
      </c>
      <c r="AO13" s="97"/>
      <c r="AP13" s="98"/>
      <c r="AQ13" s="98">
        <v>0.31242769956588745</v>
      </c>
      <c r="AR13" s="99">
        <v>0.0003171081480104476</v>
      </c>
    </row>
    <row r="14" spans="2:47" ht="13.5" customHeight="1" x14ac:dyDescent="0.25">
      <c r="B14" s="14">
        <v>0.66666666666666696</v>
      </c>
      <c r="C14" s="91">
        <v>6.680410861968994</v>
      </c>
      <c r="D14" s="91">
        <v>17.458770751953125</v>
      </c>
      <c r="E14" s="91">
        <v>417.2898864746094</v>
      </c>
      <c r="F14" s="91">
        <v>0.3544999957084656</v>
      </c>
      <c r="G14" s="91">
        <v>0.10001172125339508</v>
      </c>
      <c r="H14" s="92">
        <v>415.95098876953125</v>
      </c>
      <c r="I14" s="93">
        <v>25.115739822387695</v>
      </c>
      <c r="J14" s="91">
        <v>0.022332031279802322</v>
      </c>
      <c r="K14" s="91">
        <v>38.006370544433594</v>
      </c>
      <c r="L14" s="91">
        <v>1.3557939529418945</v>
      </c>
      <c r="M14" s="91">
        <v>103.7489013671875</v>
      </c>
      <c r="N14" s="91">
        <v>111.33540344238281</v>
      </c>
      <c r="O14" s="91">
        <v>23.807279586791992</v>
      </c>
      <c r="P14" s="91">
        <v>24.037109375</v>
      </c>
      <c r="Q14" s="91">
        <v>1.5065430402755737</v>
      </c>
      <c r="R14" s="91">
        <v>0.81005859375</v>
      </c>
      <c r="S14" s="91">
        <v>138.81649780273438</v>
      </c>
      <c r="T14" s="91">
        <v>1.4561810493469238</v>
      </c>
      <c r="U14" s="91">
        <v>0.35991689562797546</v>
      </c>
      <c r="V14" s="91">
        <v>0.3601015508174896</v>
      </c>
      <c r="W14" s="91">
        <v>92.37557983398438</v>
      </c>
      <c r="X14" s="91">
        <v>0.5306047797203064</v>
      </c>
      <c r="Y14" s="91" t="s">
        <v>82</v>
      </c>
      <c r="Z14" s="91">
        <v>0.8715277910232544</v>
      </c>
      <c r="AA14" s="91">
        <v>147.6707000732422</v>
      </c>
      <c r="AB14" s="91">
        <v>168.3520965576172</v>
      </c>
      <c r="AC14" s="91">
        <v>0.5089699029922485</v>
      </c>
      <c r="AD14" s="91">
        <v>162.0009002685547</v>
      </c>
      <c r="AE14" s="94"/>
      <c r="AF14" s="94"/>
      <c r="AG14" s="94"/>
      <c r="AH14" s="94"/>
      <c r="AI14" s="94"/>
      <c r="AJ14" s="94"/>
      <c r="AK14" s="94"/>
      <c r="AL14" s="91">
        <v>15.25607967376709</v>
      </c>
      <c r="AM14" s="95">
        <v>0.013820312917232513</v>
      </c>
      <c r="AN14" s="96">
        <v>65.19458770751953</v>
      </c>
      <c r="AO14" s="97"/>
      <c r="AP14" s="98"/>
      <c r="AQ14" s="98">
        <v>0.32646119594573975</v>
      </c>
      <c r="AR14" s="99">
        <v>0.0003210754366591573</v>
      </c>
    </row>
    <row r="15" spans="2:47" ht="13.5" customHeight="1" x14ac:dyDescent="0.25">
      <c r="B15" s="14">
        <v>0.70833333333333304</v>
      </c>
      <c r="C15" s="91">
        <v>6.416377067565918</v>
      </c>
      <c r="D15" s="91">
        <v>17.447919845581055</v>
      </c>
      <c r="E15" s="91">
        <v>417.3507995605469</v>
      </c>
      <c r="F15" s="91">
        <v>0.35420313477516174</v>
      </c>
      <c r="G15" s="91">
        <v>0.10000000149011612</v>
      </c>
      <c r="H15" s="92">
        <v>415.7620849609375</v>
      </c>
      <c r="I15" s="93">
        <v>9.722222328186035</v>
      </c>
      <c r="J15" s="91">
        <v>0.02285449206829071</v>
      </c>
      <c r="K15" s="91">
        <v>37.890628814697266</v>
      </c>
      <c r="L15" s="91">
        <v>1.3522679805755615</v>
      </c>
      <c r="M15" s="91">
        <v>101.98570251464844</v>
      </c>
      <c r="N15" s="91">
        <v>111.27749633789062</v>
      </c>
      <c r="O15" s="91">
        <v>24.018800735473633</v>
      </c>
      <c r="P15" s="91">
        <v>24.0537109375</v>
      </c>
      <c r="Q15" s="91">
        <v>1.5341910123825073</v>
      </c>
      <c r="R15" s="91">
        <v>0.967041015625</v>
      </c>
      <c r="S15" s="91">
        <v>138.968505859375</v>
      </c>
      <c r="T15" s="91">
        <v>1.4541560411453247</v>
      </c>
      <c r="U15" s="91">
        <v>0.35987138748168945</v>
      </c>
      <c r="V15" s="91">
        <v>0.3602031171321869</v>
      </c>
      <c r="W15" s="91">
        <v>92.1368637084961</v>
      </c>
      <c r="X15" s="91">
        <v>0.5308008790016174</v>
      </c>
      <c r="Y15" s="91" t="s">
        <v>82</v>
      </c>
      <c r="Z15" s="91">
        <v>0.8688079118728638</v>
      </c>
      <c r="AA15" s="91">
        <v>147.19329833984375</v>
      </c>
      <c r="AB15" s="91">
        <v>168.27259826660156</v>
      </c>
      <c r="AC15" s="91">
        <v>0.5456091165542603</v>
      </c>
      <c r="AD15" s="91">
        <v>161.97189331054688</v>
      </c>
      <c r="AE15" s="94"/>
      <c r="AF15" s="94"/>
      <c r="AG15" s="94"/>
      <c r="AH15" s="94"/>
      <c r="AI15" s="94"/>
      <c r="AJ15" s="94"/>
      <c r="AK15" s="94"/>
      <c r="AL15" s="91">
        <v>16.24349021911621</v>
      </c>
      <c r="AM15" s="95">
        <v>0.015250000171363354</v>
      </c>
      <c r="AN15" s="96">
        <v>64.4422836303711</v>
      </c>
      <c r="AO15" s="97"/>
      <c r="AP15" s="98"/>
      <c r="AQ15" s="98">
        <v>0.3190827965736389</v>
      </c>
      <c r="AR15" s="99">
        <v>0.0003250121953897178</v>
      </c>
    </row>
    <row r="16" spans="2:47" ht="13.5" customHeight="1" x14ac:dyDescent="0.25">
      <c r="B16" s="14">
        <v>0.75</v>
      </c>
      <c r="C16" s="91"/>
      <c r="D16" s="91"/>
      <c r="E16" s="91"/>
      <c r="F16" s="91"/>
      <c r="G16" s="91"/>
      <c r="H16" s="92"/>
      <c r="I16" s="93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 t="s">
        <v>82</v>
      </c>
      <c r="Z16" s="91"/>
      <c r="AA16" s="91"/>
      <c r="AB16" s="91"/>
      <c r="AC16" s="91"/>
      <c r="AD16" s="91"/>
      <c r="AE16" s="94"/>
      <c r="AF16" s="94"/>
      <c r="AG16" s="94"/>
      <c r="AH16" s="94"/>
      <c r="AI16" s="94"/>
      <c r="AJ16" s="94"/>
      <c r="AK16" s="94"/>
      <c r="AL16" s="91"/>
      <c r="AM16" s="95"/>
      <c r="AN16" s="96"/>
      <c r="AO16" s="97"/>
      <c r="AP16" s="98"/>
      <c r="AQ16" s="98"/>
      <c r="AR16" s="99"/>
    </row>
    <row r="17" spans="2:44" ht="13.5" customHeight="1" x14ac:dyDescent="0.25">
      <c r="B17" s="14">
        <v>0.79166666666666696</v>
      </c>
      <c r="C17" s="91"/>
      <c r="D17" s="91"/>
      <c r="E17" s="91"/>
      <c r="F17" s="91"/>
      <c r="G17" s="91"/>
      <c r="H17" s="92"/>
      <c r="I17" s="93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 t="s">
        <v>82</v>
      </c>
      <c r="Z17" s="91"/>
      <c r="AA17" s="91"/>
      <c r="AB17" s="91"/>
      <c r="AC17" s="91"/>
      <c r="AD17" s="91"/>
      <c r="AE17" s="94"/>
      <c r="AF17" s="94"/>
      <c r="AG17" s="94"/>
      <c r="AH17" s="94"/>
      <c r="AI17" s="94"/>
      <c r="AJ17" s="94"/>
      <c r="AK17" s="94"/>
      <c r="AL17" s="91"/>
      <c r="AM17" s="95"/>
      <c r="AN17" s="96"/>
      <c r="AO17" s="97"/>
      <c r="AP17" s="98"/>
      <c r="AQ17" s="98"/>
      <c r="AR17" s="99"/>
    </row>
    <row r="18" spans="2:44" ht="13.5" customHeight="1" x14ac:dyDescent="0.25">
      <c r="B18" s="42">
        <v>0.83333333333333404</v>
      </c>
      <c r="C18" s="100"/>
      <c r="D18" s="100"/>
      <c r="E18" s="100"/>
      <c r="F18" s="100"/>
      <c r="G18" s="100"/>
      <c r="H18" s="101"/>
      <c r="I18" s="102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3"/>
      <c r="AF18" s="103"/>
      <c r="AG18" s="103"/>
      <c r="AH18" s="103"/>
      <c r="AI18" s="103"/>
      <c r="AJ18" s="103"/>
      <c r="AK18" s="103"/>
      <c r="AL18" s="100"/>
      <c r="AM18" s="104"/>
      <c r="AN18" s="105"/>
      <c r="AO18" s="97"/>
      <c r="AP18" s="98"/>
      <c r="AQ18" s="98"/>
      <c r="AR18" s="106"/>
    </row>
    <row r="19" spans="2:44" ht="18" customHeight="1" x14ac:dyDescent="0.25">
      <c r="B19" s="159" t="s">
        <v>181</v>
      </c>
      <c r="C19" s="36" t="s">
        <v>168</v>
      </c>
      <c r="D19" s="36" t="s">
        <v>171</v>
      </c>
      <c r="E19" s="174" t="s">
        <v>17</v>
      </c>
      <c r="F19" s="175"/>
      <c r="G19" s="176"/>
      <c r="H19" s="177" t="s">
        <v>108</v>
      </c>
      <c r="I19" s="175"/>
      <c r="J19" s="175"/>
      <c r="K19" s="175"/>
      <c r="L19" s="178"/>
      <c r="M19" s="179" t="s">
        <v>123</v>
      </c>
      <c r="N19" s="175"/>
      <c r="O19" s="175"/>
      <c r="P19" s="175"/>
      <c r="Q19" s="176"/>
      <c r="R19" s="177" t="s">
        <v>147</v>
      </c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6"/>
      <c r="AG19" s="180" t="s">
        <v>24</v>
      </c>
      <c r="AH19" s="176"/>
      <c r="AI19" s="156" t="s">
        <v>173</v>
      </c>
      <c r="AJ19" s="157"/>
      <c r="AK19" s="157"/>
      <c r="AL19" s="157"/>
      <c r="AM19" s="158"/>
      <c r="AN19" s="180" t="s">
        <v>47</v>
      </c>
      <c r="AO19" s="181"/>
      <c r="AP19" s="175" t="s">
        <v>180</v>
      </c>
      <c r="AQ19" s="182"/>
      <c r="AR19" s="183"/>
    </row>
    <row r="20" spans="2:44" ht="20.15" customHeight="1" x14ac:dyDescent="0.25">
      <c r="B20" s="160"/>
      <c r="C20" s="3" t="s">
        <v>169</v>
      </c>
      <c r="D20" s="3" t="s">
        <v>113</v>
      </c>
      <c r="E20" s="3" t="s">
        <v>15</v>
      </c>
      <c r="F20" s="154" t="s">
        <v>100</v>
      </c>
      <c r="G20" s="155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68" t="s">
        <v>148</v>
      </c>
      <c r="AE20" s="155"/>
      <c r="AF20" s="17" t="s">
        <v>151</v>
      </c>
      <c r="AG20" s="17" t="s">
        <v>153</v>
      </c>
      <c r="AH20" s="17" t="s">
        <v>155</v>
      </c>
      <c r="AI20" s="149" t="s">
        <v>89</v>
      </c>
      <c r="AJ20" s="150"/>
      <c r="AK20" s="149" t="s">
        <v>92</v>
      </c>
      <c r="AL20" s="150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0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91">
        <v>-86.58130645751953</v>
      </c>
      <c r="D22" s="91">
        <v>-87.86168670654297</v>
      </c>
      <c r="E22" s="91">
        <v>87.63020324707031</v>
      </c>
      <c r="F22" s="91">
        <v>0.0944010391831398</v>
      </c>
      <c r="G22" s="91"/>
      <c r="H22" s="91"/>
      <c r="I22" s="91"/>
      <c r="J22" s="91"/>
      <c r="K22" s="91"/>
      <c r="L22" s="92"/>
      <c r="M22" s="107">
        <v>69.6108169555664</v>
      </c>
      <c r="N22" s="91">
        <v>48.542388916015625</v>
      </c>
      <c r="O22" s="91">
        <v>50</v>
      </c>
      <c r="P22" s="91">
        <v>0</v>
      </c>
      <c r="Q22" s="91">
        <v>2.9388020038604736</v>
      </c>
      <c r="R22" s="91">
        <v>18.34490966796875</v>
      </c>
      <c r="S22" s="108">
        <v>91.93431854248047</v>
      </c>
      <c r="T22" s="108">
        <v>0</v>
      </c>
      <c r="U22" s="108">
        <v>0</v>
      </c>
      <c r="V22" s="108">
        <v>17.431640625</v>
      </c>
      <c r="W22" s="108">
        <v>69.14605712890625</v>
      </c>
      <c r="X22" s="108">
        <v>36</v>
      </c>
      <c r="Y22" s="108">
        <v>63.366790771484375</v>
      </c>
      <c r="Z22" s="108">
        <v>14.601420402526855</v>
      </c>
      <c r="AA22" s="108">
        <v>17.66493034362793</v>
      </c>
      <c r="AB22" s="108"/>
      <c r="AC22" s="95"/>
      <c r="AD22" s="95">
        <v>0</v>
      </c>
      <c r="AE22" s="95"/>
      <c r="AF22" s="95"/>
      <c r="AG22" s="95">
        <v>35.27199172973633</v>
      </c>
      <c r="AH22" s="95"/>
      <c r="AI22" s="109"/>
      <c r="AJ22" s="109"/>
      <c r="AK22" s="109"/>
      <c r="AL22" s="109"/>
      <c r="AM22" s="109"/>
      <c r="AN22" s="95">
        <v>61.20515060424805</v>
      </c>
      <c r="AO22" s="96">
        <v>50</v>
      </c>
      <c r="AP22" s="97">
        <v>17.252599716186523</v>
      </c>
      <c r="AQ22" s="98">
        <v>39.597801208496094</v>
      </c>
      <c r="AR22" s="99">
        <v>0.0651092529296875</v>
      </c>
    </row>
    <row r="23" spans="2:44" ht="13.5" customHeight="1" x14ac:dyDescent="0.25">
      <c r="B23" s="14">
        <v>0.375</v>
      </c>
      <c r="C23" s="91">
        <v>-84.85965728759766</v>
      </c>
      <c r="D23" s="91">
        <v>-86.20514678955078</v>
      </c>
      <c r="E23" s="91">
        <v>75.90059661865234</v>
      </c>
      <c r="F23" s="91">
        <v>0.09020543843507767</v>
      </c>
      <c r="G23" s="91">
        <v>9.513091936241835E-05</v>
      </c>
      <c r="H23" s="91"/>
      <c r="I23" s="91"/>
      <c r="J23" s="91"/>
      <c r="K23" s="91"/>
      <c r="L23" s="92"/>
      <c r="M23" s="107">
        <v>71.96180725097656</v>
      </c>
      <c r="N23" s="91">
        <v>47.02328872680664</v>
      </c>
      <c r="O23" s="91">
        <v>50</v>
      </c>
      <c r="P23" s="91">
        <v>0</v>
      </c>
      <c r="Q23" s="91">
        <v>2.768662929534912</v>
      </c>
      <c r="R23" s="91">
        <v>19.093610763549805</v>
      </c>
      <c r="S23" s="108">
        <v>92.80960845947266</v>
      </c>
      <c r="T23" s="108">
        <v>0</v>
      </c>
      <c r="U23" s="108">
        <v>0</v>
      </c>
      <c r="V23" s="108">
        <v>15.342880249023438</v>
      </c>
      <c r="W23" s="108">
        <v>65.97222900390625</v>
      </c>
      <c r="X23" s="108">
        <v>36</v>
      </c>
      <c r="Y23" s="108">
        <v>63.271480560302734</v>
      </c>
      <c r="Z23" s="108">
        <v>14.892580032348633</v>
      </c>
      <c r="AA23" s="108">
        <v>18.451610565185547</v>
      </c>
      <c r="AB23" s="108"/>
      <c r="AC23" s="95"/>
      <c r="AD23" s="95">
        <v>1.548285961151123</v>
      </c>
      <c r="AE23" s="95">
        <v>0.0012607421958819032</v>
      </c>
      <c r="AF23" s="95"/>
      <c r="AG23" s="95">
        <v>47.89496994018555</v>
      </c>
      <c r="AH23" s="95"/>
      <c r="AI23" s="109"/>
      <c r="AJ23" s="109"/>
      <c r="AK23" s="109"/>
      <c r="AL23" s="109"/>
      <c r="AM23" s="109"/>
      <c r="AN23" s="95">
        <v>58.803531646728516</v>
      </c>
      <c r="AO23" s="96">
        <v>50</v>
      </c>
      <c r="AP23" s="97">
        <v>17.107929229736328</v>
      </c>
      <c r="AQ23" s="98">
        <v>40.3031005859375</v>
      </c>
      <c r="AR23" s="99">
        <v>0.0542602501809597</v>
      </c>
    </row>
    <row r="24" spans="2:44" ht="13.5" customHeight="1" x14ac:dyDescent="0.25">
      <c r="B24" s="14">
        <v>0.41666666666666702</v>
      </c>
      <c r="C24" s="91">
        <v>-85.35880279541016</v>
      </c>
      <c r="D24" s="91">
        <v>-86.46556854248047</v>
      </c>
      <c r="E24" s="91">
        <v>79.1485824584961</v>
      </c>
      <c r="F24" s="91">
        <v>0.09736689925193787</v>
      </c>
      <c r="G24" s="91">
        <v>9.860992577159777E-05</v>
      </c>
      <c r="H24" s="91"/>
      <c r="I24" s="91"/>
      <c r="J24" s="91"/>
      <c r="K24" s="91"/>
      <c r="L24" s="92"/>
      <c r="M24" s="107">
        <v>71.38671875</v>
      </c>
      <c r="N24" s="91">
        <v>47.80093002319336</v>
      </c>
      <c r="O24" s="91">
        <v>50</v>
      </c>
      <c r="P24" s="91">
        <v>0</v>
      </c>
      <c r="Q24" s="91">
        <v>2.6354169845581055</v>
      </c>
      <c r="R24" s="91">
        <v>20.001449584960938</v>
      </c>
      <c r="S24" s="108">
        <v>90.40074920654297</v>
      </c>
      <c r="T24" s="108">
        <v>22.5</v>
      </c>
      <c r="U24" s="108">
        <v>30.525720596313477</v>
      </c>
      <c r="V24" s="108">
        <v>15.25607967376709</v>
      </c>
      <c r="W24" s="108">
        <v>20.14974021911621</v>
      </c>
      <c r="X24" s="108">
        <v>22</v>
      </c>
      <c r="Y24" s="108">
        <v>36.619651794433594</v>
      </c>
      <c r="Z24" s="108">
        <v>15.556280136108398</v>
      </c>
      <c r="AA24" s="108">
        <v>19.189449310302734</v>
      </c>
      <c r="AB24" s="108"/>
      <c r="AC24" s="95"/>
      <c r="AD24" s="95">
        <v>0</v>
      </c>
      <c r="AE24" s="95">
        <v>0.001081054680980742</v>
      </c>
      <c r="AF24" s="95"/>
      <c r="AG24" s="95">
        <v>16.822189331054688</v>
      </c>
      <c r="AH24" s="95"/>
      <c r="AI24" s="109"/>
      <c r="AJ24" s="109"/>
      <c r="AK24" s="109"/>
      <c r="AL24" s="109"/>
      <c r="AM24" s="109"/>
      <c r="AN24" s="95">
        <v>56.843170166015625</v>
      </c>
      <c r="AO24" s="96">
        <v>50</v>
      </c>
      <c r="AP24" s="97">
        <v>17.45153045654297</v>
      </c>
      <c r="AQ24" s="98">
        <v>40.256080627441406</v>
      </c>
      <c r="AR24" s="99">
        <v>0.03255463019013405</v>
      </c>
    </row>
    <row r="25" spans="2:44" ht="13.5" customHeight="1" x14ac:dyDescent="0.25">
      <c r="B25" s="14">
        <v>0.45833333333333298</v>
      </c>
      <c r="C25" s="91">
        <v>-85.38050079345703</v>
      </c>
      <c r="D25" s="91">
        <v>-86.50173950195312</v>
      </c>
      <c r="E25" s="91">
        <v>80.40364074707031</v>
      </c>
      <c r="F25" s="91">
        <v>0.10337089747190475</v>
      </c>
      <c r="G25" s="91">
        <v>9.687041892902926E-05</v>
      </c>
      <c r="H25" s="91"/>
      <c r="I25" s="91"/>
      <c r="J25" s="91"/>
      <c r="K25" s="91"/>
      <c r="L25" s="92"/>
      <c r="M25" s="107">
        <v>71.2420425415039</v>
      </c>
      <c r="N25" s="91">
        <v>47.71411895751953</v>
      </c>
      <c r="O25" s="91">
        <v>50</v>
      </c>
      <c r="P25" s="91">
        <v>0</v>
      </c>
      <c r="Q25" s="91">
        <v>2.561631917953491</v>
      </c>
      <c r="R25" s="91">
        <v>20.460790634155273</v>
      </c>
      <c r="S25" s="108">
        <v>93.22193145751953</v>
      </c>
      <c r="T25" s="108">
        <v>42.5</v>
      </c>
      <c r="U25" s="108">
        <v>64.35909271240234</v>
      </c>
      <c r="V25" s="108">
        <v>12.331809997558594</v>
      </c>
      <c r="W25" s="108">
        <v>19.715709686279297</v>
      </c>
      <c r="X25" s="108">
        <v>19</v>
      </c>
      <c r="Y25" s="108">
        <v>0</v>
      </c>
      <c r="Z25" s="108">
        <v>16.614219665527344</v>
      </c>
      <c r="AA25" s="108">
        <v>81.02757263183594</v>
      </c>
      <c r="AB25" s="108"/>
      <c r="AC25" s="95"/>
      <c r="AD25" s="95">
        <v>1.5481770038604736</v>
      </c>
      <c r="AE25" s="95">
        <v>0.001036438043229282</v>
      </c>
      <c r="AF25" s="95"/>
      <c r="AG25" s="95">
        <v>46.78818893432617</v>
      </c>
      <c r="AH25" s="95"/>
      <c r="AI25" s="109"/>
      <c r="AJ25" s="109"/>
      <c r="AK25" s="109"/>
      <c r="AL25" s="109"/>
      <c r="AM25" s="109"/>
      <c r="AN25" s="95">
        <v>55.910011291503906</v>
      </c>
      <c r="AO25" s="96">
        <v>50</v>
      </c>
      <c r="AP25" s="97">
        <v>17.496740341186523</v>
      </c>
      <c r="AQ25" s="98">
        <v>40.09693145751953</v>
      </c>
      <c r="AR25" s="99">
        <v>0.03255463019013405</v>
      </c>
    </row>
    <row r="26" spans="2:44" ht="13.5" customHeight="1" x14ac:dyDescent="0.25">
      <c r="B26" s="14">
        <v>0.5</v>
      </c>
      <c r="C26" s="91">
        <v>-85.44560241699219</v>
      </c>
      <c r="D26" s="91">
        <v>-86.48726654052734</v>
      </c>
      <c r="E26" s="91">
        <v>79.39090728759766</v>
      </c>
      <c r="F26" s="91">
        <v>0.09772858768701553</v>
      </c>
      <c r="G26" s="91">
        <v>9.43450941122137E-05</v>
      </c>
      <c r="H26" s="91"/>
      <c r="I26" s="91"/>
      <c r="J26" s="91"/>
      <c r="K26" s="91"/>
      <c r="L26" s="92"/>
      <c r="M26" s="107">
        <v>72.08838653564453</v>
      </c>
      <c r="N26" s="91">
        <v>47.7936897277832</v>
      </c>
      <c r="O26" s="91">
        <v>50</v>
      </c>
      <c r="P26" s="91">
        <v>0</v>
      </c>
      <c r="Q26" s="91">
        <v>2.508681058883667</v>
      </c>
      <c r="R26" s="91">
        <v>19.99420928955078</v>
      </c>
      <c r="S26" s="108">
        <v>91.60517883300781</v>
      </c>
      <c r="T26" s="108">
        <v>50</v>
      </c>
      <c r="U26" s="108">
        <v>76.67588806152344</v>
      </c>
      <c r="V26" s="108">
        <v>11.89778995513916</v>
      </c>
      <c r="W26" s="108">
        <v>19.319660186767578</v>
      </c>
      <c r="X26" s="108">
        <v>19</v>
      </c>
      <c r="Y26" s="108">
        <v>0</v>
      </c>
      <c r="Z26" s="108">
        <v>17.41537094116211</v>
      </c>
      <c r="AA26" s="108">
        <v>101.31839752197266</v>
      </c>
      <c r="AB26" s="108"/>
      <c r="AC26" s="95"/>
      <c r="AD26" s="95">
        <v>0</v>
      </c>
      <c r="AE26" s="95">
        <v>0.0008908081217668951</v>
      </c>
      <c r="AF26" s="95"/>
      <c r="AG26" s="95">
        <v>26.262300491333008</v>
      </c>
      <c r="AH26" s="95"/>
      <c r="AI26" s="109"/>
      <c r="AJ26" s="109"/>
      <c r="AK26" s="109"/>
      <c r="AL26" s="109"/>
      <c r="AM26" s="109"/>
      <c r="AN26" s="95">
        <v>55.41810989379883</v>
      </c>
      <c r="AO26" s="96">
        <v>50</v>
      </c>
      <c r="AP26" s="97">
        <v>17.596210479736328</v>
      </c>
      <c r="AQ26" s="98">
        <v>40.02458953857422</v>
      </c>
      <c r="AR26" s="99">
        <v>0.03255463019013405</v>
      </c>
    </row>
    <row r="27" spans="2:44" ht="13.5" customHeight="1" x14ac:dyDescent="0.25">
      <c r="B27" s="14">
        <v>0.54166666666666596</v>
      </c>
      <c r="C27" s="91">
        <v>-85.43113708496094</v>
      </c>
      <c r="D27" s="91">
        <v>-86.50897216796875</v>
      </c>
      <c r="E27" s="91">
        <v>80.3891830444336</v>
      </c>
      <c r="F27" s="91">
        <v>0.0935329869389534</v>
      </c>
      <c r="G27" s="91">
        <v>9.368896280648187E-05</v>
      </c>
      <c r="H27" s="91"/>
      <c r="I27" s="91"/>
      <c r="J27" s="91"/>
      <c r="K27" s="91"/>
      <c r="L27" s="92"/>
      <c r="M27" s="107">
        <v>72.33434295654297</v>
      </c>
      <c r="N27" s="91">
        <v>48.101131439208984</v>
      </c>
      <c r="O27" s="91">
        <v>50</v>
      </c>
      <c r="P27" s="91">
        <v>0</v>
      </c>
      <c r="Q27" s="91">
        <v>2.5130209922790527</v>
      </c>
      <c r="R27" s="91">
        <v>19.99782943725586</v>
      </c>
      <c r="S27" s="108">
        <v>95.55122375488281</v>
      </c>
      <c r="T27" s="108">
        <v>0</v>
      </c>
      <c r="U27" s="108">
        <v>8.291558265686035</v>
      </c>
      <c r="V27" s="108">
        <v>8.544921875</v>
      </c>
      <c r="W27" s="108">
        <v>96.51151275634766</v>
      </c>
      <c r="X27" s="108">
        <v>41.85367965698242</v>
      </c>
      <c r="Y27" s="108">
        <v>74.90434265136719</v>
      </c>
      <c r="Z27" s="108">
        <v>16.57986068725586</v>
      </c>
      <c r="AA27" s="108">
        <v>19.319660186767578</v>
      </c>
      <c r="AB27" s="108"/>
      <c r="AC27" s="95"/>
      <c r="AD27" s="95">
        <v>0.7931314706802368</v>
      </c>
      <c r="AE27" s="95">
        <v>0.0009163818322122097</v>
      </c>
      <c r="AF27" s="95"/>
      <c r="AG27" s="95">
        <v>13.921440124511719</v>
      </c>
      <c r="AH27" s="95"/>
      <c r="AI27" s="109"/>
      <c r="AJ27" s="109"/>
      <c r="AK27" s="109"/>
      <c r="AL27" s="109"/>
      <c r="AM27" s="109"/>
      <c r="AN27" s="95">
        <v>54.470489501953125</v>
      </c>
      <c r="AO27" s="96">
        <v>50</v>
      </c>
      <c r="AP27" s="97">
        <v>17.731840133666992</v>
      </c>
      <c r="AQ27" s="98">
        <v>39.973960876464844</v>
      </c>
      <c r="AR27" s="99">
        <v>0.0217056293040514</v>
      </c>
    </row>
    <row r="28" spans="2:44" ht="13.5" customHeight="1" x14ac:dyDescent="0.25">
      <c r="B28" s="14">
        <v>0.58333333333333304</v>
      </c>
      <c r="C28" s="91">
        <v>-85.21411895751953</v>
      </c>
      <c r="D28" s="91">
        <v>-86.0170669555664</v>
      </c>
      <c r="E28" s="91">
        <v>78.43242645263672</v>
      </c>
      <c r="F28" s="91">
        <v>0.09707754850387573</v>
      </c>
      <c r="G28" s="91">
        <v>8.892059122445062E-05</v>
      </c>
      <c r="H28" s="91"/>
      <c r="I28" s="91"/>
      <c r="J28" s="91"/>
      <c r="K28" s="91"/>
      <c r="L28" s="92"/>
      <c r="M28" s="107">
        <v>71.15161895751953</v>
      </c>
      <c r="N28" s="91">
        <v>47.99985885620117</v>
      </c>
      <c r="O28" s="91">
        <v>50</v>
      </c>
      <c r="P28" s="91">
        <v>0</v>
      </c>
      <c r="Q28" s="91">
        <v>2.5611979961395264</v>
      </c>
      <c r="R28" s="91">
        <v>20.45355987548828</v>
      </c>
      <c r="S28" s="108">
        <v>95.14250183105469</v>
      </c>
      <c r="T28" s="108">
        <v>0</v>
      </c>
      <c r="U28" s="108">
        <v>0</v>
      </c>
      <c r="V28" s="108">
        <v>10.020620346069336</v>
      </c>
      <c r="W28" s="108">
        <v>71.90754699707031</v>
      </c>
      <c r="X28" s="108">
        <v>38</v>
      </c>
      <c r="Y28" s="108">
        <v>67.68916320800781</v>
      </c>
      <c r="Z28" s="108">
        <v>16.431570053100586</v>
      </c>
      <c r="AA28" s="108">
        <v>19.628910064697266</v>
      </c>
      <c r="AB28" s="108"/>
      <c r="AC28" s="95"/>
      <c r="AD28" s="95">
        <v>1.548285961151123</v>
      </c>
      <c r="AE28" s="95">
        <v>0.0014768065884709358</v>
      </c>
      <c r="AF28" s="95"/>
      <c r="AG28" s="95">
        <v>39.7063102722168</v>
      </c>
      <c r="AH28" s="95"/>
      <c r="AI28" s="109"/>
      <c r="AJ28" s="109"/>
      <c r="AK28" s="109"/>
      <c r="AL28" s="109"/>
      <c r="AM28" s="109"/>
      <c r="AN28" s="95">
        <v>53.081600189208984</v>
      </c>
      <c r="AO28" s="96">
        <v>50</v>
      </c>
      <c r="AP28" s="97">
        <v>17.831310272216797</v>
      </c>
      <c r="AQ28" s="98">
        <v>40.07160949707031</v>
      </c>
      <c r="AR28" s="99">
        <v>0.0217056293040514</v>
      </c>
    </row>
    <row r="29" spans="2:44" ht="13.5" customHeight="1" x14ac:dyDescent="0.25">
      <c r="B29" s="14">
        <v>0.625</v>
      </c>
      <c r="C29" s="91">
        <v>-85.3009262084961</v>
      </c>
      <c r="D29" s="91">
        <v>-85.9375</v>
      </c>
      <c r="E29" s="91">
        <v>79.08709716796875</v>
      </c>
      <c r="F29" s="91">
        <v>0.0959201380610466</v>
      </c>
      <c r="G29" s="91">
        <v>0.00010447693057358265</v>
      </c>
      <c r="H29" s="91"/>
      <c r="I29" s="91"/>
      <c r="J29" s="91"/>
      <c r="K29" s="91"/>
      <c r="L29" s="92"/>
      <c r="M29" s="107">
        <v>70.46803283691406</v>
      </c>
      <c r="N29" s="91">
        <v>47.27647018432617</v>
      </c>
      <c r="O29" s="91">
        <v>50</v>
      </c>
      <c r="P29" s="91">
        <v>0</v>
      </c>
      <c r="Q29" s="91">
        <v>2.594183921813965</v>
      </c>
      <c r="R29" s="91">
        <v>19.256359100341797</v>
      </c>
      <c r="S29" s="108">
        <v>92.19834899902344</v>
      </c>
      <c r="T29" s="108">
        <v>0</v>
      </c>
      <c r="U29" s="108">
        <v>0</v>
      </c>
      <c r="V29" s="108">
        <v>10.807290077209473</v>
      </c>
      <c r="W29" s="108">
        <v>60.57400894165039</v>
      </c>
      <c r="X29" s="108">
        <v>38</v>
      </c>
      <c r="Y29" s="108">
        <v>68.68707275390625</v>
      </c>
      <c r="Z29" s="108">
        <v>15.49841022491455</v>
      </c>
      <c r="AA29" s="108">
        <v>18.473310470581055</v>
      </c>
      <c r="AB29" s="108"/>
      <c r="AC29" s="95"/>
      <c r="AD29" s="95">
        <v>1.5483399629592896</v>
      </c>
      <c r="AE29" s="95">
        <v>0.0015482788439840078</v>
      </c>
      <c r="AF29" s="95"/>
      <c r="AG29" s="95">
        <v>43.00852966308594</v>
      </c>
      <c r="AH29" s="95"/>
      <c r="AI29" s="109"/>
      <c r="AJ29" s="109"/>
      <c r="AK29" s="109"/>
      <c r="AL29" s="109"/>
      <c r="AM29" s="109"/>
      <c r="AN29" s="95">
        <v>51.41781997680664</v>
      </c>
      <c r="AO29" s="96">
        <v>50</v>
      </c>
      <c r="AP29" s="97">
        <v>17.94886016845703</v>
      </c>
      <c r="AQ29" s="98">
        <v>40.03544998168945</v>
      </c>
      <c r="AR29" s="99">
        <v>0.0217056293040514</v>
      </c>
    </row>
    <row r="30" spans="2:44" ht="13.5" customHeight="1" x14ac:dyDescent="0.25">
      <c r="B30" s="14">
        <v>0.66666666666666596</v>
      </c>
      <c r="C30" s="91">
        <v>-85.31539154052734</v>
      </c>
      <c r="D30" s="91">
        <v>-86.00984191894531</v>
      </c>
      <c r="E30" s="91">
        <v>79.21367645263672</v>
      </c>
      <c r="F30" s="91">
        <v>0.0900607630610466</v>
      </c>
      <c r="G30" s="91">
        <v>9.409332415089011E-05</v>
      </c>
      <c r="H30" s="91"/>
      <c r="I30" s="91"/>
      <c r="J30" s="91"/>
      <c r="K30" s="91"/>
      <c r="L30" s="92"/>
      <c r="M30" s="107">
        <v>69.90740966796875</v>
      </c>
      <c r="N30" s="91">
        <v>47.50434112548828</v>
      </c>
      <c r="O30" s="91">
        <v>50</v>
      </c>
      <c r="P30" s="91">
        <v>0</v>
      </c>
      <c r="Q30" s="91">
        <v>2.6467010974884033</v>
      </c>
      <c r="R30" s="91">
        <v>18.6812801361084</v>
      </c>
      <c r="S30" s="108">
        <v>92.74449920654297</v>
      </c>
      <c r="T30" s="108">
        <v>0</v>
      </c>
      <c r="U30" s="108">
        <v>0</v>
      </c>
      <c r="V30" s="108">
        <v>10.910369873046875</v>
      </c>
      <c r="W30" s="108">
        <v>55.181209564208984</v>
      </c>
      <c r="X30" s="108">
        <v>38</v>
      </c>
      <c r="Y30" s="108">
        <v>68.3450927734375</v>
      </c>
      <c r="Z30" s="108">
        <v>14.869070053100586</v>
      </c>
      <c r="AA30" s="108">
        <v>17.773439407348633</v>
      </c>
      <c r="AB30" s="108"/>
      <c r="AC30" s="95"/>
      <c r="AD30" s="95">
        <v>1.548285961151123</v>
      </c>
      <c r="AE30" s="95">
        <v>0.0015468139899894595</v>
      </c>
      <c r="AF30" s="95"/>
      <c r="AG30" s="95">
        <v>41.858360290527344</v>
      </c>
      <c r="AH30" s="95"/>
      <c r="AI30" s="109"/>
      <c r="AJ30" s="109"/>
      <c r="AK30" s="109"/>
      <c r="AL30" s="109"/>
      <c r="AM30" s="109"/>
      <c r="AN30" s="95">
        <v>50.09403991699219</v>
      </c>
      <c r="AO30" s="96">
        <v>50</v>
      </c>
      <c r="AP30" s="97">
        <v>18.05735969543457</v>
      </c>
      <c r="AQ30" s="98">
        <v>39.92694091796875</v>
      </c>
      <c r="AR30" s="99">
        <v>0.03255463019013405</v>
      </c>
    </row>
    <row r="31" spans="2:44" ht="13.5" customHeight="1" x14ac:dyDescent="0.25">
      <c r="B31" s="14">
        <v>0.70833333333333304</v>
      </c>
      <c r="C31" s="91">
        <v>-85.34432983398438</v>
      </c>
      <c r="D31" s="91">
        <v>-86.02430725097656</v>
      </c>
      <c r="E31" s="91">
        <v>80.6423568725586</v>
      </c>
      <c r="F31" s="91">
        <v>0.11537910252809525</v>
      </c>
      <c r="G31" s="91">
        <v>9.362029959447682E-05</v>
      </c>
      <c r="H31" s="91"/>
      <c r="I31" s="91"/>
      <c r="J31" s="91"/>
      <c r="K31" s="91"/>
      <c r="L31" s="92"/>
      <c r="M31" s="107">
        <v>71.29630279541016</v>
      </c>
      <c r="N31" s="91">
        <v>47.79730987548828</v>
      </c>
      <c r="O31" s="91">
        <v>50</v>
      </c>
      <c r="P31" s="91">
        <v>0</v>
      </c>
      <c r="Q31" s="91">
        <v>2.7078990936279297</v>
      </c>
      <c r="R31" s="91">
        <v>17.72641944885254</v>
      </c>
      <c r="S31" s="108">
        <v>93.72828674316406</v>
      </c>
      <c r="T31" s="108">
        <v>0</v>
      </c>
      <c r="U31" s="108">
        <v>0</v>
      </c>
      <c r="V31" s="108">
        <v>8.143446922302246</v>
      </c>
      <c r="W31" s="108">
        <v>67.20378112792969</v>
      </c>
      <c r="X31" s="108">
        <v>40</v>
      </c>
      <c r="Y31" s="108">
        <v>72.36473083496094</v>
      </c>
      <c r="Z31" s="108">
        <v>14.637590408325195</v>
      </c>
      <c r="AA31" s="108">
        <v>17.133249282836914</v>
      </c>
      <c r="AB31" s="108"/>
      <c r="AC31" s="95"/>
      <c r="AD31" s="95">
        <v>1.548285961151123</v>
      </c>
      <c r="AE31" s="95">
        <v>0.0012020873837172985</v>
      </c>
      <c r="AF31" s="95"/>
      <c r="AG31" s="95">
        <v>45.012298583984375</v>
      </c>
      <c r="AH31" s="95"/>
      <c r="AI31" s="109"/>
      <c r="AJ31" s="109"/>
      <c r="AK31" s="109"/>
      <c r="AL31" s="109"/>
      <c r="AM31" s="109"/>
      <c r="AN31" s="95">
        <v>57.096351623535156</v>
      </c>
      <c r="AO31" s="96">
        <v>50</v>
      </c>
      <c r="AP31" s="97">
        <v>18.10257911682129</v>
      </c>
      <c r="AQ31" s="98">
        <v>40.08607864379883</v>
      </c>
      <c r="AR31" s="99">
        <v>0.0542602501809597</v>
      </c>
    </row>
    <row r="32" spans="2:44" ht="13.5" customHeight="1" x14ac:dyDescent="0.25">
      <c r="B32" s="14">
        <v>0.75</v>
      </c>
      <c r="C32" s="91"/>
      <c r="D32" s="91"/>
      <c r="E32" s="91"/>
      <c r="F32" s="91"/>
      <c r="G32" s="91"/>
      <c r="H32" s="91"/>
      <c r="I32" s="91"/>
      <c r="J32" s="91"/>
      <c r="K32" s="91"/>
      <c r="L32" s="92"/>
      <c r="M32" s="107"/>
      <c r="N32" s="91"/>
      <c r="O32" s="91"/>
      <c r="P32" s="91"/>
      <c r="Q32" s="91"/>
      <c r="R32" s="91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95"/>
      <c r="AD32" s="95"/>
      <c r="AE32" s="95"/>
      <c r="AF32" s="95"/>
      <c r="AG32" s="95"/>
      <c r="AH32" s="95"/>
      <c r="AI32" s="109"/>
      <c r="AJ32" s="109"/>
      <c r="AK32" s="109"/>
      <c r="AL32" s="109"/>
      <c r="AM32" s="109"/>
      <c r="AN32" s="95"/>
      <c r="AO32" s="96"/>
      <c r="AP32" s="97"/>
      <c r="AQ32" s="98"/>
      <c r="AR32" s="99"/>
    </row>
    <row r="33" spans="2:44" ht="13.5" customHeight="1" x14ac:dyDescent="0.25">
      <c r="B33" s="14">
        <v>0.79166666666666696</v>
      </c>
      <c r="C33" s="91"/>
      <c r="D33" s="91"/>
      <c r="E33" s="91"/>
      <c r="F33" s="91"/>
      <c r="G33" s="91"/>
      <c r="H33" s="91"/>
      <c r="I33" s="91"/>
      <c r="J33" s="91"/>
      <c r="K33" s="91"/>
      <c r="L33" s="92"/>
      <c r="M33" s="107"/>
      <c r="N33" s="91"/>
      <c r="O33" s="91"/>
      <c r="P33" s="91"/>
      <c r="Q33" s="91"/>
      <c r="R33" s="91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95"/>
      <c r="AD33" s="95"/>
      <c r="AE33" s="95"/>
      <c r="AF33" s="95"/>
      <c r="AG33" s="95"/>
      <c r="AH33" s="95"/>
      <c r="AI33" s="109"/>
      <c r="AJ33" s="109"/>
      <c r="AK33" s="109"/>
      <c r="AL33" s="109"/>
      <c r="AM33" s="109"/>
      <c r="AN33" s="95"/>
      <c r="AO33" s="96"/>
      <c r="AP33" s="97"/>
      <c r="AQ33" s="98"/>
      <c r="AR33" s="99"/>
    </row>
    <row r="34" spans="2:44" ht="13.5" customHeight="1" x14ac:dyDescent="0.25">
      <c r="B34" s="15">
        <v>0.83333333333333304</v>
      </c>
      <c r="C34" s="100"/>
      <c r="D34" s="100"/>
      <c r="E34" s="100"/>
      <c r="F34" s="100"/>
      <c r="G34" s="100"/>
      <c r="H34" s="100"/>
      <c r="I34" s="100"/>
      <c r="J34" s="100"/>
      <c r="K34" s="100"/>
      <c r="L34" s="101"/>
      <c r="M34" s="110"/>
      <c r="N34" s="100"/>
      <c r="O34" s="100"/>
      <c r="P34" s="100"/>
      <c r="Q34" s="100"/>
      <c r="R34" s="100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04"/>
      <c r="AD34" s="104"/>
      <c r="AE34" s="104"/>
      <c r="AF34" s="104"/>
      <c r="AG34" s="104"/>
      <c r="AH34" s="104"/>
      <c r="AI34" s="112"/>
      <c r="AJ34" s="112"/>
      <c r="AK34" s="112"/>
      <c r="AL34" s="112"/>
      <c r="AM34" s="112"/>
      <c r="AN34" s="104"/>
      <c r="AO34" s="105"/>
      <c r="AP34" s="113"/>
      <c r="AQ34" s="114"/>
      <c r="AR34" s="115"/>
    </row>
    <row r="35" spans="2:44" ht="15" customHeight="1" x14ac:dyDescent="0.25">
      <c r="B35" s="173" t="s">
        <v>181</v>
      </c>
      <c r="C35" s="174" t="s">
        <v>38</v>
      </c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4" t="s">
        <v>216</v>
      </c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6"/>
      <c r="AK35" s="180" t="s">
        <v>48</v>
      </c>
      <c r="AL35" s="178"/>
      <c r="AM35" s="207" t="s">
        <v>223</v>
      </c>
      <c r="AN35" s="208"/>
      <c r="AO35" s="43"/>
      <c r="AP35" s="43"/>
      <c r="AQ35" s="43"/>
      <c r="AR35" s="44"/>
    </row>
    <row r="36" spans="2:44" ht="20.15" customHeight="1" x14ac:dyDescent="0.25">
      <c r="B36" s="160"/>
      <c r="C36" s="154" t="s">
        <v>32</v>
      </c>
      <c r="D36" s="186"/>
      <c r="E36" s="154" t="s">
        <v>33</v>
      </c>
      <c r="F36" s="215"/>
      <c r="G36" s="186"/>
      <c r="H36" s="209" t="s">
        <v>276</v>
      </c>
      <c r="I36" s="210"/>
      <c r="J36" s="4" t="s">
        <v>27</v>
      </c>
      <c r="K36" s="4" t="s">
        <v>30</v>
      </c>
      <c r="L36" s="4" t="s">
        <v>191</v>
      </c>
      <c r="M36" s="211" t="s">
        <v>192</v>
      </c>
      <c r="N36" s="212"/>
      <c r="O36" s="4" t="s">
        <v>26</v>
      </c>
      <c r="P36" s="4" t="s">
        <v>197</v>
      </c>
      <c r="Q36" s="154" t="s">
        <v>199</v>
      </c>
      <c r="R36" s="216"/>
      <c r="S36" s="154" t="s">
        <v>202</v>
      </c>
      <c r="T36" s="216"/>
      <c r="U36" s="154" t="s">
        <v>201</v>
      </c>
      <c r="V36" s="21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68" t="s">
        <v>46</v>
      </c>
      <c r="AI36" s="214"/>
      <c r="AJ36" s="155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0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0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409</v>
      </c>
      <c r="N38" s="1" t="s">
        <v>410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91">
        <v>0</v>
      </c>
      <c r="D39" s="91"/>
      <c r="E39" s="91">
        <v>40.14033889770508</v>
      </c>
      <c r="F39" s="91"/>
      <c r="G39" s="91"/>
      <c r="H39" s="91">
        <v>19.097219467163086</v>
      </c>
      <c r="I39" s="91"/>
      <c r="J39" s="91">
        <v>44.198490142822266</v>
      </c>
      <c r="K39" s="91">
        <v>0.14000000059604645</v>
      </c>
      <c r="L39" s="91">
        <v>101.93830108642578</v>
      </c>
      <c r="M39" s="91">
        <v>20.6343994140625</v>
      </c>
      <c r="N39" s="91"/>
      <c r="O39" s="91">
        <v>0.2726418077945709</v>
      </c>
      <c r="P39" s="91">
        <v>90.88941955566406</v>
      </c>
      <c r="Q39" s="91">
        <v>0</v>
      </c>
      <c r="R39" s="91"/>
      <c r="S39" s="91">
        <v>0</v>
      </c>
      <c r="T39" s="91"/>
      <c r="U39" s="108">
        <v>92.88194274902344</v>
      </c>
      <c r="V39" s="116"/>
      <c r="W39" s="117">
        <v>50</v>
      </c>
      <c r="X39" s="108">
        <v>89.49220275878906</v>
      </c>
      <c r="Y39" s="108">
        <v>17.431640625</v>
      </c>
      <c r="Z39" s="108">
        <v>69.14605712890625</v>
      </c>
      <c r="AA39" s="108">
        <v>50</v>
      </c>
      <c r="AB39" s="108">
        <v>80.89409637451172</v>
      </c>
      <c r="AC39" s="108">
        <v>14.601420402526855</v>
      </c>
      <c r="AD39" s="108">
        <v>17.66493034362793</v>
      </c>
      <c r="AE39" s="95"/>
      <c r="AF39" s="95">
        <v>0</v>
      </c>
      <c r="AG39" s="95"/>
      <c r="AH39" s="95">
        <v>23.69732093811035</v>
      </c>
      <c r="AI39" s="95">
        <v>75.3797836303711</v>
      </c>
      <c r="AJ39" s="95"/>
      <c r="AK39" s="95"/>
      <c r="AL39" s="96"/>
      <c r="AM39" s="118"/>
      <c r="AN39" s="109"/>
      <c r="AO39" s="95"/>
      <c r="AP39" s="95"/>
      <c r="AQ39" s="95"/>
      <c r="AR39" s="99"/>
    </row>
    <row r="40" spans="2:44" ht="13.5" customHeight="1" x14ac:dyDescent="0.25">
      <c r="B40" s="14">
        <v>0.375</v>
      </c>
      <c r="C40" s="91">
        <v>0</v>
      </c>
      <c r="D40" s="91">
        <v>3.967285238104523E-07</v>
      </c>
      <c r="E40" s="91">
        <v>29.07986068725586</v>
      </c>
      <c r="F40" s="91"/>
      <c r="G40" s="91"/>
      <c r="H40" s="91">
        <v>18.907339096069336</v>
      </c>
      <c r="I40" s="91">
        <v>0</v>
      </c>
      <c r="J40" s="91">
        <v>43.98147964477539</v>
      </c>
      <c r="K40" s="91">
        <v>0.14000000059604645</v>
      </c>
      <c r="L40" s="91">
        <v>102.07830047607422</v>
      </c>
      <c r="M40" s="91">
        <v>20.47163963317871</v>
      </c>
      <c r="N40" s="91">
        <v>0</v>
      </c>
      <c r="O40" s="91">
        <v>0.2484809011220932</v>
      </c>
      <c r="P40" s="91">
        <v>91.13845825195312</v>
      </c>
      <c r="Q40" s="91">
        <v>0</v>
      </c>
      <c r="R40" s="91">
        <v>0</v>
      </c>
      <c r="S40" s="91">
        <v>0</v>
      </c>
      <c r="T40" s="91">
        <v>0</v>
      </c>
      <c r="U40" s="108">
        <v>91.79688262939453</v>
      </c>
      <c r="V40" s="116">
        <v>0.0020109883043915033</v>
      </c>
      <c r="W40" s="117">
        <v>50</v>
      </c>
      <c r="X40" s="108">
        <v>88.91059112548828</v>
      </c>
      <c r="Y40" s="108">
        <v>15.342880249023438</v>
      </c>
      <c r="Z40" s="108">
        <v>65.97222900390625</v>
      </c>
      <c r="AA40" s="108">
        <v>50</v>
      </c>
      <c r="AB40" s="108">
        <v>80.82465362548828</v>
      </c>
      <c r="AC40" s="108">
        <v>14.892580032348633</v>
      </c>
      <c r="AD40" s="108">
        <v>18.451610565185547</v>
      </c>
      <c r="AE40" s="95"/>
      <c r="AF40" s="95">
        <v>10.86515998840332</v>
      </c>
      <c r="AG40" s="95"/>
      <c r="AH40" s="95">
        <v>23.69732093811035</v>
      </c>
      <c r="AI40" s="95">
        <v>75.2423324584961</v>
      </c>
      <c r="AJ40" s="95">
        <v>-0.0021383094135671854</v>
      </c>
      <c r="AK40" s="95"/>
      <c r="AL40" s="96"/>
      <c r="AM40" s="118"/>
      <c r="AN40" s="109"/>
      <c r="AO40" s="95"/>
      <c r="AP40" s="95"/>
      <c r="AQ40" s="95"/>
      <c r="AR40" s="99"/>
    </row>
    <row r="41" spans="2:44" ht="13.5" customHeight="1" x14ac:dyDescent="0.25">
      <c r="B41" s="14">
        <v>0.41666666666666702</v>
      </c>
      <c r="C41" s="91">
        <v>0</v>
      </c>
      <c r="D41" s="91">
        <v>3.761291509363218E-06</v>
      </c>
      <c r="E41" s="91">
        <v>34.42564010620117</v>
      </c>
      <c r="F41" s="91"/>
      <c r="G41" s="91"/>
      <c r="H41" s="91">
        <v>18.807870864868164</v>
      </c>
      <c r="I41" s="91">
        <v>0</v>
      </c>
      <c r="J41" s="91">
        <v>44.26179122924805</v>
      </c>
      <c r="K41" s="91">
        <v>0.14000000059604645</v>
      </c>
      <c r="L41" s="91">
        <v>102.21829986572266</v>
      </c>
      <c r="M41" s="91">
        <v>20.79715919494629</v>
      </c>
      <c r="N41" s="91">
        <v>0</v>
      </c>
      <c r="O41" s="91">
        <v>0.22106480598449707</v>
      </c>
      <c r="P41" s="91">
        <v>91.3710708618164</v>
      </c>
      <c r="Q41" s="91">
        <v>0</v>
      </c>
      <c r="R41" s="91">
        <v>0</v>
      </c>
      <c r="S41" s="91">
        <v>0</v>
      </c>
      <c r="T41" s="91">
        <v>0</v>
      </c>
      <c r="U41" s="108">
        <v>93.49320220947266</v>
      </c>
      <c r="V41" s="116">
        <v>0.004336660262197256</v>
      </c>
      <c r="W41" s="117">
        <v>50</v>
      </c>
      <c r="X41" s="108">
        <v>0</v>
      </c>
      <c r="Y41" s="108">
        <v>15.25607967376709</v>
      </c>
      <c r="Z41" s="108">
        <v>20.14974021911621</v>
      </c>
      <c r="AA41" s="108">
        <v>50</v>
      </c>
      <c r="AB41" s="108">
        <v>76.7100830078125</v>
      </c>
      <c r="AC41" s="108">
        <v>15.556280136108398</v>
      </c>
      <c r="AD41" s="108">
        <v>19.189449310302734</v>
      </c>
      <c r="AE41" s="95"/>
      <c r="AF41" s="95">
        <v>1.8807870149612427</v>
      </c>
      <c r="AG41" s="95"/>
      <c r="AH41" s="95">
        <v>23.97917938232422</v>
      </c>
      <c r="AI41" s="95">
        <v>74.94574737548828</v>
      </c>
      <c r="AJ41" s="95">
        <v>0.018130790442228317</v>
      </c>
      <c r="AK41" s="95"/>
      <c r="AL41" s="96"/>
      <c r="AM41" s="118"/>
      <c r="AN41" s="109"/>
      <c r="AO41" s="95"/>
      <c r="AP41" s="95"/>
      <c r="AQ41" s="95"/>
      <c r="AR41" s="99"/>
    </row>
    <row r="42" spans="2:44" ht="13.5" customHeight="1" x14ac:dyDescent="0.25">
      <c r="B42" s="14">
        <v>0.45833333333333298</v>
      </c>
      <c r="C42" s="91">
        <v>0</v>
      </c>
      <c r="D42" s="91">
        <v>6.813049367337953E-06</v>
      </c>
      <c r="E42" s="91">
        <v>41.69559860229492</v>
      </c>
      <c r="F42" s="91"/>
      <c r="G42" s="91"/>
      <c r="H42" s="91">
        <v>18.7897891998291</v>
      </c>
      <c r="I42" s="91">
        <v>0</v>
      </c>
      <c r="J42" s="91">
        <v>44.14424133300781</v>
      </c>
      <c r="K42" s="91">
        <v>0.14000000059604645</v>
      </c>
      <c r="L42" s="91">
        <v>102.3582992553711</v>
      </c>
      <c r="M42" s="91">
        <v>20.92375946044922</v>
      </c>
      <c r="N42" s="91">
        <v>0</v>
      </c>
      <c r="O42" s="91">
        <v>0.2065971940755844</v>
      </c>
      <c r="P42" s="91">
        <v>91.57788848876953</v>
      </c>
      <c r="Q42" s="91">
        <v>0</v>
      </c>
      <c r="R42" s="91">
        <v>0</v>
      </c>
      <c r="S42" s="91">
        <v>0</v>
      </c>
      <c r="T42" s="91">
        <v>0</v>
      </c>
      <c r="U42" s="108">
        <v>95.47525787353516</v>
      </c>
      <c r="V42" s="116">
        <v>-0.002766920020803809</v>
      </c>
      <c r="W42" s="117">
        <v>50</v>
      </c>
      <c r="X42" s="108">
        <v>89.69184112548828</v>
      </c>
      <c r="Y42" s="108">
        <v>12.331809997558594</v>
      </c>
      <c r="Z42" s="108">
        <v>19.715709686279297</v>
      </c>
      <c r="AA42" s="108">
        <v>50</v>
      </c>
      <c r="AB42" s="108">
        <v>82.23523712158203</v>
      </c>
      <c r="AC42" s="108">
        <v>16.614219665527344</v>
      </c>
      <c r="AD42" s="108">
        <v>81.02757263183594</v>
      </c>
      <c r="AE42" s="95"/>
      <c r="AF42" s="95">
        <v>0</v>
      </c>
      <c r="AG42" s="95"/>
      <c r="AH42" s="95">
        <v>23.97917938232422</v>
      </c>
      <c r="AI42" s="95">
        <v>74.88424682617188</v>
      </c>
      <c r="AJ42" s="95">
        <v>-0.0036979063879698515</v>
      </c>
      <c r="AK42" s="95"/>
      <c r="AL42" s="96"/>
      <c r="AM42" s="118"/>
      <c r="AN42" s="109"/>
      <c r="AO42" s="95"/>
      <c r="AP42" s="95"/>
      <c r="AQ42" s="95"/>
      <c r="AR42" s="99"/>
    </row>
    <row r="43" spans="2:44" ht="13.5" customHeight="1" x14ac:dyDescent="0.25">
      <c r="B43" s="14">
        <v>0.5</v>
      </c>
      <c r="C43" s="91">
        <v>0</v>
      </c>
      <c r="D43" s="91">
        <v>2.4719238354009576E-06</v>
      </c>
      <c r="E43" s="91">
        <v>38.650169372558594</v>
      </c>
      <c r="F43" s="91"/>
      <c r="G43" s="91"/>
      <c r="H43" s="91">
        <v>18.7897891998291</v>
      </c>
      <c r="I43" s="91">
        <v>0</v>
      </c>
      <c r="J43" s="91">
        <v>44.252750396728516</v>
      </c>
      <c r="K43" s="91">
        <v>0.14000000059604645</v>
      </c>
      <c r="L43" s="91">
        <v>102.49829864501953</v>
      </c>
      <c r="M43" s="91">
        <v>20.914709091186523</v>
      </c>
      <c r="N43" s="91">
        <v>0</v>
      </c>
      <c r="O43" s="91">
        <v>0.24616609513759613</v>
      </c>
      <c r="P43" s="91">
        <v>91.79118347167969</v>
      </c>
      <c r="Q43" s="91">
        <v>0</v>
      </c>
      <c r="R43" s="91">
        <v>0</v>
      </c>
      <c r="S43" s="91">
        <v>0</v>
      </c>
      <c r="T43" s="91">
        <v>0</v>
      </c>
      <c r="U43" s="108">
        <v>90.71180725097656</v>
      </c>
      <c r="V43" s="116">
        <v>-0.0019278087420389056</v>
      </c>
      <c r="W43" s="117">
        <v>50</v>
      </c>
      <c r="X43" s="108">
        <v>88.55470275878906</v>
      </c>
      <c r="Y43" s="108">
        <v>11.89778995513916</v>
      </c>
      <c r="Z43" s="108">
        <v>19.319660186767578</v>
      </c>
      <c r="AA43" s="108">
        <v>50</v>
      </c>
      <c r="AB43" s="108">
        <v>81.28038787841797</v>
      </c>
      <c r="AC43" s="108">
        <v>17.41537094116211</v>
      </c>
      <c r="AD43" s="108">
        <v>101.31839752197266</v>
      </c>
      <c r="AE43" s="95"/>
      <c r="AF43" s="95">
        <v>0</v>
      </c>
      <c r="AG43" s="95"/>
      <c r="AH43" s="95">
        <v>23.97917938232422</v>
      </c>
      <c r="AI43" s="95">
        <v>74.86978912353516</v>
      </c>
      <c r="AJ43" s="95">
        <v>-0.0015798720996826887</v>
      </c>
      <c r="AK43" s="95"/>
      <c r="AL43" s="96"/>
      <c r="AM43" s="118"/>
      <c r="AN43" s="109"/>
      <c r="AO43" s="95"/>
      <c r="AP43" s="95"/>
      <c r="AQ43" s="95"/>
      <c r="AR43" s="99"/>
    </row>
    <row r="44" spans="2:44" ht="13.5" customHeight="1" x14ac:dyDescent="0.25">
      <c r="B44" s="14">
        <v>0.54166666666666596</v>
      </c>
      <c r="C44" s="91">
        <v>0</v>
      </c>
      <c r="D44" s="91">
        <v>1.5335083389800275E-06</v>
      </c>
      <c r="E44" s="91">
        <v>44.3648681640625</v>
      </c>
      <c r="F44" s="91"/>
      <c r="G44" s="91"/>
      <c r="H44" s="91">
        <v>18.898290634155273</v>
      </c>
      <c r="I44" s="91">
        <v>0</v>
      </c>
      <c r="J44" s="91">
        <v>44.20753860473633</v>
      </c>
      <c r="K44" s="91">
        <v>0.14000000059604645</v>
      </c>
      <c r="L44" s="91">
        <v>102.63829803466797</v>
      </c>
      <c r="M44" s="91">
        <v>21.18597984313965</v>
      </c>
      <c r="N44" s="91">
        <v>0</v>
      </c>
      <c r="O44" s="91">
        <v>0.24920429289340973</v>
      </c>
      <c r="P44" s="91">
        <v>92.04094696044922</v>
      </c>
      <c r="Q44" s="91">
        <v>0</v>
      </c>
      <c r="R44" s="91">
        <v>0</v>
      </c>
      <c r="S44" s="91">
        <v>0</v>
      </c>
      <c r="T44" s="91">
        <v>0</v>
      </c>
      <c r="U44" s="108">
        <v>96.5892562866211</v>
      </c>
      <c r="V44" s="116">
        <v>0.00019530869030859321</v>
      </c>
      <c r="W44" s="117">
        <v>50</v>
      </c>
      <c r="X44" s="108">
        <v>88.49392700195312</v>
      </c>
      <c r="Y44" s="108">
        <v>8.544921875</v>
      </c>
      <c r="Z44" s="108">
        <v>96.51151275634766</v>
      </c>
      <c r="AA44" s="108">
        <v>50</v>
      </c>
      <c r="AB44" s="108">
        <v>81.63629150390625</v>
      </c>
      <c r="AC44" s="108">
        <v>16.57986068725586</v>
      </c>
      <c r="AD44" s="108">
        <v>19.319660186767578</v>
      </c>
      <c r="AE44" s="95"/>
      <c r="AF44" s="95">
        <v>0</v>
      </c>
      <c r="AG44" s="95"/>
      <c r="AH44" s="95">
        <v>23.97917938232422</v>
      </c>
      <c r="AI44" s="95">
        <v>74.85894012451172</v>
      </c>
      <c r="AJ44" s="95">
        <v>-0.0013194427592679858</v>
      </c>
      <c r="AK44" s="95"/>
      <c r="AL44" s="96"/>
      <c r="AM44" s="118"/>
      <c r="AN44" s="109"/>
      <c r="AO44" s="95"/>
      <c r="AP44" s="95"/>
      <c r="AQ44" s="95"/>
      <c r="AR44" s="99"/>
    </row>
    <row r="45" spans="2:44" ht="13.5" customHeight="1" x14ac:dyDescent="0.25">
      <c r="B45" s="14">
        <v>0.58333333333333304</v>
      </c>
      <c r="C45" s="91">
        <v>0</v>
      </c>
      <c r="D45" s="91">
        <v>4.1198731537406275E-07</v>
      </c>
      <c r="E45" s="91">
        <v>32.96440887451172</v>
      </c>
      <c r="F45" s="91"/>
      <c r="G45" s="91"/>
      <c r="H45" s="91">
        <v>18.952550888061523</v>
      </c>
      <c r="I45" s="91">
        <v>0</v>
      </c>
      <c r="J45" s="91">
        <v>44.20753860473633</v>
      </c>
      <c r="K45" s="91">
        <v>0.14000000059604645</v>
      </c>
      <c r="L45" s="91">
        <v>102.7782974243164</v>
      </c>
      <c r="M45" s="91">
        <v>21.303529739379883</v>
      </c>
      <c r="N45" s="91">
        <v>0</v>
      </c>
      <c r="O45" s="91">
        <v>0.24312789738178253</v>
      </c>
      <c r="P45" s="91">
        <v>92.29087829589844</v>
      </c>
      <c r="Q45" s="91">
        <v>0</v>
      </c>
      <c r="R45" s="91">
        <v>0</v>
      </c>
      <c r="S45" s="91">
        <v>0</v>
      </c>
      <c r="T45" s="91">
        <v>0</v>
      </c>
      <c r="U45" s="108">
        <v>90.95413970947266</v>
      </c>
      <c r="V45" s="116">
        <v>5.426025381893851E-05</v>
      </c>
      <c r="W45" s="117">
        <v>50</v>
      </c>
      <c r="X45" s="108">
        <v>88.55034637451172</v>
      </c>
      <c r="Y45" s="108">
        <v>10.020620346069336</v>
      </c>
      <c r="Z45" s="108">
        <v>71.90754699707031</v>
      </c>
      <c r="AA45" s="108">
        <v>50</v>
      </c>
      <c r="AB45" s="108">
        <v>81.01129150390625</v>
      </c>
      <c r="AC45" s="108">
        <v>16.431570053100586</v>
      </c>
      <c r="AD45" s="108">
        <v>19.628910064697266</v>
      </c>
      <c r="AE45" s="95"/>
      <c r="AF45" s="95">
        <v>0</v>
      </c>
      <c r="AG45" s="95"/>
      <c r="AH45" s="95">
        <v>23.97917938232422</v>
      </c>
      <c r="AI45" s="95">
        <v>74.84085845947266</v>
      </c>
      <c r="AJ45" s="95">
        <v>-0.0012326393043622375</v>
      </c>
      <c r="AK45" s="95"/>
      <c r="AL45" s="96"/>
      <c r="AM45" s="118"/>
      <c r="AN45" s="109"/>
      <c r="AO45" s="95"/>
      <c r="AP45" s="95"/>
      <c r="AQ45" s="95"/>
      <c r="AR45" s="99"/>
    </row>
    <row r="46" spans="2:44" ht="13.5" customHeight="1" x14ac:dyDescent="0.25">
      <c r="B46" s="14">
        <v>0.625</v>
      </c>
      <c r="C46" s="91">
        <v>0</v>
      </c>
      <c r="D46" s="91">
        <v>1.5464782336493954E-05</v>
      </c>
      <c r="E46" s="91">
        <v>56.12702941894531</v>
      </c>
      <c r="F46" s="91"/>
      <c r="G46" s="91"/>
      <c r="H46" s="91">
        <v>19.133390426635742</v>
      </c>
      <c r="I46" s="91">
        <v>0</v>
      </c>
      <c r="J46" s="91">
        <v>44.433589935302734</v>
      </c>
      <c r="K46" s="91">
        <v>0.14000000059604645</v>
      </c>
      <c r="L46" s="91">
        <v>102.91829681396484</v>
      </c>
      <c r="M46" s="91">
        <v>21.520540237426758</v>
      </c>
      <c r="N46" s="91">
        <v>0</v>
      </c>
      <c r="O46" s="91">
        <v>0.20500579476356506</v>
      </c>
      <c r="P46" s="91">
        <v>92.4996566772461</v>
      </c>
      <c r="Q46" s="91">
        <v>0</v>
      </c>
      <c r="R46" s="91">
        <v>0</v>
      </c>
      <c r="S46" s="91">
        <v>0</v>
      </c>
      <c r="T46" s="91">
        <v>0</v>
      </c>
      <c r="U46" s="108">
        <v>96.96903991699219</v>
      </c>
      <c r="V46" s="116">
        <v>-0.0009512500837445259</v>
      </c>
      <c r="W46" s="117">
        <v>50</v>
      </c>
      <c r="X46" s="108">
        <v>88.4288330078125</v>
      </c>
      <c r="Y46" s="108">
        <v>10.807290077209473</v>
      </c>
      <c r="Z46" s="108">
        <v>60.57400894165039</v>
      </c>
      <c r="AA46" s="108">
        <v>50</v>
      </c>
      <c r="AB46" s="108">
        <v>80.08247375488281</v>
      </c>
      <c r="AC46" s="108">
        <v>15.49841022491455</v>
      </c>
      <c r="AD46" s="108">
        <v>18.473310470581055</v>
      </c>
      <c r="AE46" s="95"/>
      <c r="AF46" s="95">
        <v>30.37833023071289</v>
      </c>
      <c r="AG46" s="95"/>
      <c r="AH46" s="95">
        <v>23.97917938232422</v>
      </c>
      <c r="AI46" s="95">
        <v>74.8553237915039</v>
      </c>
      <c r="AJ46" s="95">
        <v>-0.001168979681096971</v>
      </c>
      <c r="AK46" s="95"/>
      <c r="AL46" s="96"/>
      <c r="AM46" s="118"/>
      <c r="AN46" s="109"/>
      <c r="AO46" s="95"/>
      <c r="AP46" s="95"/>
      <c r="AQ46" s="95"/>
      <c r="AR46" s="99"/>
    </row>
    <row r="47" spans="2:44" ht="13.5" customHeight="1" x14ac:dyDescent="0.25">
      <c r="B47" s="14">
        <v>0.66666666666666596</v>
      </c>
      <c r="C47" s="91">
        <v>0.4599247872829437</v>
      </c>
      <c r="D47" s="91">
        <v>0.00028240965912118554</v>
      </c>
      <c r="E47" s="91">
        <v>35.525169372558594</v>
      </c>
      <c r="F47" s="91"/>
      <c r="G47" s="91"/>
      <c r="H47" s="91">
        <v>19.187639236450195</v>
      </c>
      <c r="I47" s="91">
        <v>0</v>
      </c>
      <c r="J47" s="91">
        <v>44.27082824707031</v>
      </c>
      <c r="K47" s="91">
        <v>0.14000000059604645</v>
      </c>
      <c r="L47" s="91">
        <v>103.05829620361328</v>
      </c>
      <c r="M47" s="91">
        <v>21.53862953186035</v>
      </c>
      <c r="N47" s="91">
        <v>0</v>
      </c>
      <c r="O47" s="91">
        <v>0.24833619594573975</v>
      </c>
      <c r="P47" s="91">
        <v>92.73219299316406</v>
      </c>
      <c r="Q47" s="91">
        <v>0</v>
      </c>
      <c r="R47" s="91">
        <v>0</v>
      </c>
      <c r="S47" s="91">
        <v>0</v>
      </c>
      <c r="T47" s="91">
        <v>0</v>
      </c>
      <c r="U47" s="108">
        <v>92.4298324584961</v>
      </c>
      <c r="V47" s="116">
        <v>0.0004810504906345159</v>
      </c>
      <c r="W47" s="117">
        <v>50</v>
      </c>
      <c r="X47" s="108">
        <v>88.1163330078125</v>
      </c>
      <c r="Y47" s="108">
        <v>10.910369873046875</v>
      </c>
      <c r="Z47" s="108">
        <v>55.181209564208984</v>
      </c>
      <c r="AA47" s="108">
        <v>50</v>
      </c>
      <c r="AB47" s="108">
        <v>80.14322662353516</v>
      </c>
      <c r="AC47" s="108">
        <v>14.869070053100586</v>
      </c>
      <c r="AD47" s="108">
        <v>17.773439407348633</v>
      </c>
      <c r="AE47" s="95"/>
      <c r="AF47" s="95">
        <v>0</v>
      </c>
      <c r="AG47" s="95"/>
      <c r="AH47" s="95">
        <v>23.97917938232422</v>
      </c>
      <c r="AI47" s="95">
        <v>74.84085845947266</v>
      </c>
      <c r="AJ47" s="95">
        <v>-0.0010532379383221269</v>
      </c>
      <c r="AK47" s="95"/>
      <c r="AL47" s="96"/>
      <c r="AM47" s="118"/>
      <c r="AN47" s="109"/>
      <c r="AO47" s="95"/>
      <c r="AP47" s="95"/>
      <c r="AQ47" s="95"/>
      <c r="AR47" s="99"/>
    </row>
    <row r="48" spans="2:44" ht="13.5" customHeight="1" x14ac:dyDescent="0.25">
      <c r="B48" s="14">
        <v>0.70833333333333304</v>
      </c>
      <c r="C48" s="91">
        <v>0</v>
      </c>
      <c r="D48" s="91">
        <v>0.000245445262407884</v>
      </c>
      <c r="E48" s="91">
        <v>35.604740142822266</v>
      </c>
      <c r="F48" s="91"/>
      <c r="G48" s="91"/>
      <c r="H48" s="91">
        <v>19.241899490356445</v>
      </c>
      <c r="I48" s="91">
        <v>0</v>
      </c>
      <c r="J48" s="91">
        <v>44.26179122924805</v>
      </c>
      <c r="K48" s="91">
        <v>0.14000000059604645</v>
      </c>
      <c r="L48" s="91">
        <v>103.19830322265625</v>
      </c>
      <c r="M48" s="91">
        <v>21.656179428100586</v>
      </c>
      <c r="N48" s="91">
        <v>0</v>
      </c>
      <c r="O48" s="91">
        <v>0.2605612874031067</v>
      </c>
      <c r="P48" s="91">
        <v>92.98486328125</v>
      </c>
      <c r="Q48" s="91">
        <v>0</v>
      </c>
      <c r="R48" s="91">
        <v>0</v>
      </c>
      <c r="S48" s="91">
        <v>0</v>
      </c>
      <c r="T48" s="91">
        <v>0</v>
      </c>
      <c r="U48" s="108">
        <v>89.35909271240234</v>
      </c>
      <c r="V48" s="116">
        <v>0.0009078407310880721</v>
      </c>
      <c r="W48" s="117">
        <v>50</v>
      </c>
      <c r="X48" s="108">
        <v>72.4045181274414</v>
      </c>
      <c r="Y48" s="108">
        <v>8.143446922302246</v>
      </c>
      <c r="Z48" s="108">
        <v>67.20378112792969</v>
      </c>
      <c r="AA48" s="108">
        <v>50</v>
      </c>
      <c r="AB48" s="108">
        <v>62.21788024902344</v>
      </c>
      <c r="AC48" s="108">
        <v>14.637590408325195</v>
      </c>
      <c r="AD48" s="108">
        <v>17.133249282836914</v>
      </c>
      <c r="AE48" s="95"/>
      <c r="AF48" s="95">
        <v>0</v>
      </c>
      <c r="AG48" s="95"/>
      <c r="AH48" s="95">
        <v>23.97917938232422</v>
      </c>
      <c r="AI48" s="95">
        <v>74.81915283203125</v>
      </c>
      <c r="AJ48" s="95">
        <v>-0.0009751205216161907</v>
      </c>
      <c r="AK48" s="95"/>
      <c r="AL48" s="96"/>
      <c r="AM48" s="118"/>
      <c r="AN48" s="109"/>
      <c r="AO48" s="95"/>
      <c r="AP48" s="95"/>
      <c r="AQ48" s="95"/>
      <c r="AR48" s="99"/>
    </row>
    <row r="49" spans="2:44" ht="13.5" customHeight="1" x14ac:dyDescent="0.25">
      <c r="B49" s="14">
        <v>0.75</v>
      </c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108"/>
      <c r="V49" s="116"/>
      <c r="W49" s="117"/>
      <c r="X49" s="108"/>
      <c r="Y49" s="108"/>
      <c r="Z49" s="108"/>
      <c r="AA49" s="108"/>
      <c r="AB49" s="108"/>
      <c r="AC49" s="108"/>
      <c r="AD49" s="108"/>
      <c r="AE49" s="95"/>
      <c r="AF49" s="95"/>
      <c r="AG49" s="95"/>
      <c r="AH49" s="95"/>
      <c r="AI49" s="95"/>
      <c r="AJ49" s="95"/>
      <c r="AK49" s="95"/>
      <c r="AL49" s="96"/>
      <c r="AM49" s="118"/>
      <c r="AN49" s="109"/>
      <c r="AO49" s="95"/>
      <c r="AP49" s="95"/>
      <c r="AQ49" s="95"/>
      <c r="AR49" s="99"/>
    </row>
    <row r="50" spans="2:44" ht="13.5" customHeight="1" x14ac:dyDescent="0.25">
      <c r="B50" s="14">
        <v>0.79166666666666696</v>
      </c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108"/>
      <c r="V50" s="116"/>
      <c r="W50" s="117"/>
      <c r="X50" s="108"/>
      <c r="Y50" s="108"/>
      <c r="Z50" s="108"/>
      <c r="AA50" s="108"/>
      <c r="AB50" s="108"/>
      <c r="AC50" s="108"/>
      <c r="AD50" s="108"/>
      <c r="AE50" s="95"/>
      <c r="AF50" s="95"/>
      <c r="AG50" s="95"/>
      <c r="AH50" s="95"/>
      <c r="AI50" s="95"/>
      <c r="AJ50" s="95"/>
      <c r="AK50" s="95"/>
      <c r="AL50" s="96"/>
      <c r="AM50" s="118"/>
      <c r="AN50" s="109"/>
      <c r="AO50" s="95"/>
      <c r="AP50" s="95"/>
      <c r="AQ50" s="95"/>
      <c r="AR50" s="99"/>
    </row>
    <row r="51" spans="2:44" ht="13.5" customHeight="1" x14ac:dyDescent="0.25">
      <c r="B51" s="14">
        <v>0.83333333333333304</v>
      </c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11"/>
      <c r="V51" s="119"/>
      <c r="W51" s="120"/>
      <c r="X51" s="111"/>
      <c r="Y51" s="111"/>
      <c r="Z51" s="111"/>
      <c r="AA51" s="111"/>
      <c r="AB51" s="111"/>
      <c r="AC51" s="111"/>
      <c r="AD51" s="111"/>
      <c r="AE51" s="104"/>
      <c r="AF51" s="104"/>
      <c r="AG51" s="104"/>
      <c r="AH51" s="104"/>
      <c r="AI51" s="104"/>
      <c r="AJ51" s="104"/>
      <c r="AK51" s="104"/>
      <c r="AL51" s="105"/>
      <c r="AM51" s="121"/>
      <c r="AN51" s="112"/>
      <c r="AO51" s="104"/>
      <c r="AP51" s="104"/>
      <c r="AQ51" s="104"/>
      <c r="AR51" s="115"/>
    </row>
    <row r="52" spans="2:44" ht="13.5" customHeight="1" x14ac:dyDescent="0.25">
      <c r="B52" s="184" t="s">
        <v>471</v>
      </c>
      <c r="C52" s="185"/>
      <c r="D52" s="9" t="s">
        <v>19</v>
      </c>
      <c r="E52" s="161" t="s">
        <v>20</v>
      </c>
      <c r="F52" s="164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  <c r="AO52" s="166"/>
      <c r="AP52" s="166"/>
      <c r="AQ52" s="166"/>
      <c r="AR52" s="167"/>
    </row>
    <row r="53" spans="2:44" ht="13.5" customHeight="1" x14ac:dyDescent="0.25">
      <c r="B53" s="160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8"/>
      <c r="AP53" s="168"/>
      <c r="AQ53" s="168"/>
      <c r="AR53" s="169"/>
    </row>
    <row r="54" spans="2:44" ht="13.5" customHeight="1" thickBot="1" x14ac:dyDescent="0.3">
      <c r="B54" s="172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70"/>
      <c r="AP54" s="170"/>
      <c r="AQ54" s="170"/>
      <c r="AR54" s="17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7" t="s">
        <v>230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88"/>
    </row>
    <row r="2" spans="2:58" ht="13" customHeight="1" x14ac:dyDescent="0.25">
      <c r="B2" s="234" t="s">
        <v>232</v>
      </c>
      <c r="C2" s="197"/>
      <c r="D2" s="197"/>
      <c r="E2" s="197"/>
      <c r="F2" s="197"/>
      <c r="G2" s="197"/>
      <c r="H2" s="197"/>
      <c r="I2" s="197"/>
      <c r="J2" s="197"/>
      <c r="K2" s="197"/>
      <c r="L2" s="202"/>
      <c r="M2" s="235" t="s">
        <v>231</v>
      </c>
      <c r="N2" s="197"/>
      <c r="O2" s="197"/>
      <c r="P2" s="197"/>
      <c r="Q2" s="197"/>
      <c r="R2" s="197"/>
      <c r="S2" s="197"/>
      <c r="T2" s="197"/>
      <c r="U2" s="197"/>
      <c r="V2" s="197"/>
      <c r="W2" s="202"/>
      <c r="X2" s="147" t="s">
        <v>233</v>
      </c>
      <c r="Y2" s="197"/>
      <c r="Z2" s="197"/>
      <c r="AA2" s="197"/>
      <c r="AB2" s="197"/>
      <c r="AC2" s="197"/>
      <c r="AD2" s="197"/>
      <c r="AE2" s="197"/>
      <c r="AF2" s="197"/>
      <c r="AG2" s="197"/>
      <c r="AH2" s="202"/>
      <c r="AI2" s="235" t="s">
        <v>234</v>
      </c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202"/>
      <c r="AU2" s="147" t="s">
        <v>235</v>
      </c>
      <c r="AV2" s="197"/>
      <c r="AW2" s="197"/>
      <c r="AX2" s="197"/>
      <c r="AY2" s="197"/>
      <c r="AZ2" s="197"/>
      <c r="BA2" s="197"/>
      <c r="BB2" s="197"/>
      <c r="BC2" s="197"/>
      <c r="BD2" s="197"/>
      <c r="BE2" s="197"/>
      <c r="BF2" s="236"/>
    </row>
    <row r="3" spans="2:58" ht="13" customHeight="1" x14ac:dyDescent="0.25">
      <c r="B3" s="238"/>
      <c r="C3" s="222"/>
      <c r="D3" s="222"/>
      <c r="E3" s="222"/>
      <c r="F3" s="222"/>
      <c r="G3" s="222"/>
      <c r="H3" s="222"/>
      <c r="I3" s="222"/>
      <c r="J3" s="222"/>
      <c r="K3" s="222"/>
      <c r="L3" s="223"/>
      <c r="M3" s="241"/>
      <c r="N3" s="222"/>
      <c r="O3" s="222"/>
      <c r="P3" s="222"/>
      <c r="Q3" s="222"/>
      <c r="R3" s="222"/>
      <c r="S3" s="222"/>
      <c r="T3" s="222"/>
      <c r="U3" s="222"/>
      <c r="V3" s="222"/>
      <c r="W3" s="223"/>
      <c r="X3" s="229"/>
      <c r="Y3" s="222"/>
      <c r="Z3" s="222"/>
      <c r="AA3" s="222"/>
      <c r="AB3" s="222"/>
      <c r="AC3" s="222"/>
      <c r="AD3" s="222"/>
      <c r="AE3" s="222"/>
      <c r="AF3" s="222"/>
      <c r="AG3" s="222"/>
      <c r="AH3" s="223"/>
      <c r="AI3" s="251"/>
      <c r="AJ3" s="222"/>
      <c r="AK3" s="222"/>
      <c r="AL3" s="222"/>
      <c r="AM3" s="222"/>
      <c r="AN3" s="222"/>
      <c r="AO3" s="222"/>
      <c r="AP3" s="222"/>
      <c r="AQ3" s="222"/>
      <c r="AR3" s="222"/>
      <c r="AS3" s="222"/>
      <c r="AT3" s="223"/>
      <c r="AU3" s="229"/>
      <c r="AV3" s="222"/>
      <c r="AW3" s="222"/>
      <c r="AX3" s="222"/>
      <c r="AY3" s="222"/>
      <c r="AZ3" s="222"/>
      <c r="BA3" s="222"/>
      <c r="BB3" s="222"/>
      <c r="BC3" s="222"/>
      <c r="BD3" s="222"/>
      <c r="BE3" s="222"/>
      <c r="BF3" s="231"/>
    </row>
    <row r="4" spans="2:58" ht="13" customHeight="1" x14ac:dyDescent="0.25">
      <c r="B4" s="239"/>
      <c r="C4" s="225"/>
      <c r="D4" s="225"/>
      <c r="E4" s="225"/>
      <c r="F4" s="225"/>
      <c r="G4" s="225"/>
      <c r="H4" s="225"/>
      <c r="I4" s="225"/>
      <c r="J4" s="225"/>
      <c r="K4" s="225"/>
      <c r="L4" s="226"/>
      <c r="M4" s="224"/>
      <c r="N4" s="225"/>
      <c r="O4" s="225"/>
      <c r="P4" s="225"/>
      <c r="Q4" s="225"/>
      <c r="R4" s="225"/>
      <c r="S4" s="225"/>
      <c r="T4" s="225"/>
      <c r="U4" s="225"/>
      <c r="V4" s="225"/>
      <c r="W4" s="226"/>
      <c r="X4" s="224"/>
      <c r="Y4" s="225"/>
      <c r="Z4" s="225"/>
      <c r="AA4" s="225"/>
      <c r="AB4" s="225"/>
      <c r="AC4" s="225"/>
      <c r="AD4" s="225"/>
      <c r="AE4" s="225"/>
      <c r="AF4" s="225"/>
      <c r="AG4" s="225"/>
      <c r="AH4" s="226"/>
      <c r="AI4" s="224"/>
      <c r="AJ4" s="225"/>
      <c r="AK4" s="225"/>
      <c r="AL4" s="225"/>
      <c r="AM4" s="225"/>
      <c r="AN4" s="225"/>
      <c r="AO4" s="225"/>
      <c r="AP4" s="225"/>
      <c r="AQ4" s="225"/>
      <c r="AR4" s="225"/>
      <c r="AS4" s="225"/>
      <c r="AT4" s="226"/>
      <c r="AU4" s="224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32"/>
    </row>
    <row r="5" spans="2:58" ht="13" customHeight="1" x14ac:dyDescent="0.25">
      <c r="B5" s="239"/>
      <c r="C5" s="225"/>
      <c r="D5" s="225"/>
      <c r="E5" s="225"/>
      <c r="F5" s="225"/>
      <c r="G5" s="225"/>
      <c r="H5" s="225"/>
      <c r="I5" s="225"/>
      <c r="J5" s="225"/>
      <c r="K5" s="225"/>
      <c r="L5" s="226"/>
      <c r="M5" s="224"/>
      <c r="N5" s="225"/>
      <c r="O5" s="225"/>
      <c r="P5" s="225"/>
      <c r="Q5" s="225"/>
      <c r="R5" s="225"/>
      <c r="S5" s="225"/>
      <c r="T5" s="225"/>
      <c r="U5" s="225"/>
      <c r="V5" s="225"/>
      <c r="W5" s="226"/>
      <c r="X5" s="224"/>
      <c r="Y5" s="225"/>
      <c r="Z5" s="225"/>
      <c r="AA5" s="225"/>
      <c r="AB5" s="225"/>
      <c r="AC5" s="225"/>
      <c r="AD5" s="225"/>
      <c r="AE5" s="225"/>
      <c r="AF5" s="225"/>
      <c r="AG5" s="225"/>
      <c r="AH5" s="226"/>
      <c r="AI5" s="224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6"/>
      <c r="AU5" s="224"/>
      <c r="AV5" s="225"/>
      <c r="AW5" s="225"/>
      <c r="AX5" s="225"/>
      <c r="AY5" s="225"/>
      <c r="AZ5" s="225"/>
      <c r="BA5" s="225"/>
      <c r="BB5" s="225"/>
      <c r="BC5" s="225"/>
      <c r="BD5" s="225"/>
      <c r="BE5" s="225"/>
      <c r="BF5" s="232"/>
    </row>
    <row r="6" spans="2:58" ht="13" customHeight="1" x14ac:dyDescent="0.25">
      <c r="B6" s="239"/>
      <c r="C6" s="225"/>
      <c r="D6" s="225"/>
      <c r="E6" s="225"/>
      <c r="F6" s="225"/>
      <c r="G6" s="225"/>
      <c r="H6" s="225"/>
      <c r="I6" s="225"/>
      <c r="J6" s="225"/>
      <c r="K6" s="225"/>
      <c r="L6" s="226"/>
      <c r="M6" s="224"/>
      <c r="N6" s="225"/>
      <c r="O6" s="225"/>
      <c r="P6" s="225"/>
      <c r="Q6" s="225"/>
      <c r="R6" s="225"/>
      <c r="S6" s="225"/>
      <c r="T6" s="225"/>
      <c r="U6" s="225"/>
      <c r="V6" s="225"/>
      <c r="W6" s="226"/>
      <c r="X6" s="224"/>
      <c r="Y6" s="225"/>
      <c r="Z6" s="225"/>
      <c r="AA6" s="225"/>
      <c r="AB6" s="225"/>
      <c r="AC6" s="225"/>
      <c r="AD6" s="225"/>
      <c r="AE6" s="225"/>
      <c r="AF6" s="225"/>
      <c r="AG6" s="225"/>
      <c r="AH6" s="226"/>
      <c r="AI6" s="224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6"/>
      <c r="AU6" s="224"/>
      <c r="AV6" s="225"/>
      <c r="AW6" s="225"/>
      <c r="AX6" s="225"/>
      <c r="AY6" s="225"/>
      <c r="AZ6" s="225"/>
      <c r="BA6" s="225"/>
      <c r="BB6" s="225"/>
      <c r="BC6" s="225"/>
      <c r="BD6" s="225"/>
      <c r="BE6" s="225"/>
      <c r="BF6" s="232"/>
    </row>
    <row r="7" spans="2:58" ht="13" customHeight="1" x14ac:dyDescent="0.25">
      <c r="B7" s="239"/>
      <c r="C7" s="225"/>
      <c r="D7" s="225"/>
      <c r="E7" s="225"/>
      <c r="F7" s="225"/>
      <c r="G7" s="225"/>
      <c r="H7" s="225"/>
      <c r="I7" s="225"/>
      <c r="J7" s="225"/>
      <c r="K7" s="225"/>
      <c r="L7" s="226"/>
      <c r="M7" s="224"/>
      <c r="N7" s="225"/>
      <c r="O7" s="225"/>
      <c r="P7" s="225"/>
      <c r="Q7" s="225"/>
      <c r="R7" s="225"/>
      <c r="S7" s="225"/>
      <c r="T7" s="225"/>
      <c r="U7" s="225"/>
      <c r="V7" s="225"/>
      <c r="W7" s="226"/>
      <c r="X7" s="224"/>
      <c r="Y7" s="225"/>
      <c r="Z7" s="225"/>
      <c r="AA7" s="225"/>
      <c r="AB7" s="225"/>
      <c r="AC7" s="225"/>
      <c r="AD7" s="225"/>
      <c r="AE7" s="225"/>
      <c r="AF7" s="225"/>
      <c r="AG7" s="225"/>
      <c r="AH7" s="226"/>
      <c r="AI7" s="224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6"/>
      <c r="AU7" s="224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32"/>
    </row>
    <row r="8" spans="2:58" ht="13" customHeight="1" x14ac:dyDescent="0.25">
      <c r="B8" s="239"/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24"/>
      <c r="N8" s="225"/>
      <c r="O8" s="225"/>
      <c r="P8" s="225"/>
      <c r="Q8" s="225"/>
      <c r="R8" s="225"/>
      <c r="S8" s="225"/>
      <c r="T8" s="225"/>
      <c r="U8" s="225"/>
      <c r="V8" s="225"/>
      <c r="W8" s="226"/>
      <c r="X8" s="224"/>
      <c r="Y8" s="225"/>
      <c r="Z8" s="225"/>
      <c r="AA8" s="225"/>
      <c r="AB8" s="225"/>
      <c r="AC8" s="225"/>
      <c r="AD8" s="225"/>
      <c r="AE8" s="225"/>
      <c r="AF8" s="225"/>
      <c r="AG8" s="225"/>
      <c r="AH8" s="226"/>
      <c r="AI8" s="224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6"/>
      <c r="AU8" s="224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32"/>
    </row>
    <row r="9" spans="2:58" ht="13" customHeight="1" x14ac:dyDescent="0.25">
      <c r="B9" s="240"/>
      <c r="C9" s="228"/>
      <c r="D9" s="228"/>
      <c r="E9" s="228"/>
      <c r="F9" s="228"/>
      <c r="G9" s="228"/>
      <c r="H9" s="228"/>
      <c r="I9" s="228"/>
      <c r="J9" s="228"/>
      <c r="K9" s="228"/>
      <c r="L9" s="185"/>
      <c r="M9" s="227"/>
      <c r="N9" s="228"/>
      <c r="O9" s="228"/>
      <c r="P9" s="228"/>
      <c r="Q9" s="228"/>
      <c r="R9" s="228"/>
      <c r="S9" s="228"/>
      <c r="T9" s="228"/>
      <c r="U9" s="228"/>
      <c r="V9" s="228"/>
      <c r="W9" s="185"/>
      <c r="X9" s="227"/>
      <c r="Y9" s="228"/>
      <c r="Z9" s="228"/>
      <c r="AA9" s="228"/>
      <c r="AB9" s="228"/>
      <c r="AC9" s="228"/>
      <c r="AD9" s="228"/>
      <c r="AE9" s="228"/>
      <c r="AF9" s="228"/>
      <c r="AG9" s="228"/>
      <c r="AH9" s="185"/>
      <c r="AI9" s="227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185"/>
      <c r="AU9" s="227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33"/>
    </row>
    <row r="10" spans="2:58" ht="13" customHeight="1" x14ac:dyDescent="0.25">
      <c r="B10" s="217" t="s">
        <v>236</v>
      </c>
      <c r="C10" s="215"/>
      <c r="D10" s="215"/>
      <c r="E10" s="215"/>
      <c r="F10" s="215"/>
      <c r="G10" s="215"/>
      <c r="H10" s="215"/>
      <c r="I10" s="215"/>
      <c r="J10" s="215"/>
      <c r="K10" s="215"/>
      <c r="L10" s="186"/>
      <c r="M10" s="237" t="s">
        <v>237</v>
      </c>
      <c r="N10" s="215"/>
      <c r="O10" s="215"/>
      <c r="P10" s="215"/>
      <c r="Q10" s="215"/>
      <c r="R10" s="215"/>
      <c r="S10" s="215"/>
      <c r="T10" s="215"/>
      <c r="U10" s="215"/>
      <c r="V10" s="215"/>
      <c r="W10" s="186"/>
      <c r="X10" s="192" t="s">
        <v>238</v>
      </c>
      <c r="Y10" s="215"/>
      <c r="Z10" s="215"/>
      <c r="AA10" s="215"/>
      <c r="AB10" s="215"/>
      <c r="AC10" s="215"/>
      <c r="AD10" s="215"/>
      <c r="AE10" s="215"/>
      <c r="AF10" s="215"/>
      <c r="AG10" s="215"/>
      <c r="AH10" s="186"/>
      <c r="AI10" s="192" t="s">
        <v>239</v>
      </c>
      <c r="AJ10" s="215"/>
      <c r="AK10" s="215"/>
      <c r="AL10" s="215"/>
      <c r="AM10" s="215"/>
      <c r="AN10" s="215"/>
      <c r="AO10" s="215"/>
      <c r="AP10" s="215"/>
      <c r="AQ10" s="215"/>
      <c r="AR10" s="215"/>
      <c r="AS10" s="215"/>
      <c r="AT10" s="186"/>
      <c r="AU10" s="168" t="s">
        <v>240</v>
      </c>
      <c r="AV10" s="215"/>
      <c r="AW10" s="215"/>
      <c r="AX10" s="215"/>
      <c r="AY10" s="215"/>
      <c r="AZ10" s="215"/>
      <c r="BA10" s="215"/>
      <c r="BB10" s="215"/>
      <c r="BC10" s="215"/>
      <c r="BD10" s="215"/>
      <c r="BE10" s="215"/>
      <c r="BF10" s="219"/>
    </row>
    <row r="11" spans="2:58" ht="13" customHeight="1" x14ac:dyDescent="0.25">
      <c r="B11" s="238"/>
      <c r="C11" s="222"/>
      <c r="D11" s="222"/>
      <c r="E11" s="222"/>
      <c r="F11" s="222"/>
      <c r="G11" s="222"/>
      <c r="H11" s="222"/>
      <c r="I11" s="222"/>
      <c r="J11" s="222"/>
      <c r="K11" s="222"/>
      <c r="L11" s="223"/>
      <c r="M11" s="241"/>
      <c r="N11" s="222"/>
      <c r="O11" s="222"/>
      <c r="P11" s="222"/>
      <c r="Q11" s="222"/>
      <c r="R11" s="222"/>
      <c r="S11" s="222"/>
      <c r="T11" s="222"/>
      <c r="U11" s="222"/>
      <c r="V11" s="222"/>
      <c r="W11" s="223"/>
      <c r="X11" s="241"/>
      <c r="Y11" s="222"/>
      <c r="Z11" s="222"/>
      <c r="AA11" s="222"/>
      <c r="AB11" s="222"/>
      <c r="AC11" s="222"/>
      <c r="AD11" s="222"/>
      <c r="AE11" s="222"/>
      <c r="AF11" s="222"/>
      <c r="AG11" s="222"/>
      <c r="AH11" s="223"/>
      <c r="AI11" s="241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3"/>
      <c r="AU11" s="230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31"/>
    </row>
    <row r="12" spans="2:58" ht="13" customHeight="1" x14ac:dyDescent="0.25">
      <c r="B12" s="239"/>
      <c r="C12" s="225"/>
      <c r="D12" s="225"/>
      <c r="E12" s="225"/>
      <c r="F12" s="225"/>
      <c r="G12" s="225"/>
      <c r="H12" s="225"/>
      <c r="I12" s="225"/>
      <c r="J12" s="225"/>
      <c r="K12" s="225"/>
      <c r="L12" s="226"/>
      <c r="M12" s="224"/>
      <c r="N12" s="225"/>
      <c r="O12" s="225"/>
      <c r="P12" s="225"/>
      <c r="Q12" s="225"/>
      <c r="R12" s="225"/>
      <c r="S12" s="225"/>
      <c r="T12" s="225"/>
      <c r="U12" s="225"/>
      <c r="V12" s="225"/>
      <c r="W12" s="226"/>
      <c r="X12" s="224"/>
      <c r="Y12" s="225"/>
      <c r="Z12" s="225"/>
      <c r="AA12" s="225"/>
      <c r="AB12" s="225"/>
      <c r="AC12" s="225"/>
      <c r="AD12" s="225"/>
      <c r="AE12" s="225"/>
      <c r="AF12" s="225"/>
      <c r="AG12" s="225"/>
      <c r="AH12" s="226"/>
      <c r="AI12" s="224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6"/>
      <c r="AU12" s="224"/>
      <c r="AV12" s="225"/>
      <c r="AW12" s="225"/>
      <c r="AX12" s="225"/>
      <c r="AY12" s="225"/>
      <c r="AZ12" s="225"/>
      <c r="BA12" s="225"/>
      <c r="BB12" s="225"/>
      <c r="BC12" s="225"/>
      <c r="BD12" s="225"/>
      <c r="BE12" s="225"/>
      <c r="BF12" s="232"/>
    </row>
    <row r="13" spans="2:58" ht="13" customHeight="1" x14ac:dyDescent="0.25">
      <c r="B13" s="239"/>
      <c r="C13" s="225"/>
      <c r="D13" s="225"/>
      <c r="E13" s="225"/>
      <c r="F13" s="225"/>
      <c r="G13" s="225"/>
      <c r="H13" s="225"/>
      <c r="I13" s="225"/>
      <c r="J13" s="225"/>
      <c r="K13" s="225"/>
      <c r="L13" s="226"/>
      <c r="M13" s="224"/>
      <c r="N13" s="225"/>
      <c r="O13" s="225"/>
      <c r="P13" s="225"/>
      <c r="Q13" s="225"/>
      <c r="R13" s="225"/>
      <c r="S13" s="225"/>
      <c r="T13" s="225"/>
      <c r="U13" s="225"/>
      <c r="V13" s="225"/>
      <c r="W13" s="226"/>
      <c r="X13" s="224"/>
      <c r="Y13" s="225"/>
      <c r="Z13" s="225"/>
      <c r="AA13" s="225"/>
      <c r="AB13" s="225"/>
      <c r="AC13" s="225"/>
      <c r="AD13" s="225"/>
      <c r="AE13" s="225"/>
      <c r="AF13" s="225"/>
      <c r="AG13" s="225"/>
      <c r="AH13" s="226"/>
      <c r="AI13" s="224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6"/>
      <c r="AU13" s="224"/>
      <c r="AV13" s="225"/>
      <c r="AW13" s="225"/>
      <c r="AX13" s="225"/>
      <c r="AY13" s="225"/>
      <c r="AZ13" s="225"/>
      <c r="BA13" s="225"/>
      <c r="BB13" s="225"/>
      <c r="BC13" s="225"/>
      <c r="BD13" s="225"/>
      <c r="BE13" s="225"/>
      <c r="BF13" s="232"/>
    </row>
    <row r="14" spans="2:58" ht="13" customHeight="1" x14ac:dyDescent="0.25">
      <c r="B14" s="239"/>
      <c r="C14" s="225"/>
      <c r="D14" s="225"/>
      <c r="E14" s="225"/>
      <c r="F14" s="225"/>
      <c r="G14" s="225"/>
      <c r="H14" s="225"/>
      <c r="I14" s="225"/>
      <c r="J14" s="225"/>
      <c r="K14" s="225"/>
      <c r="L14" s="226"/>
      <c r="M14" s="224"/>
      <c r="N14" s="225"/>
      <c r="O14" s="225"/>
      <c r="P14" s="225"/>
      <c r="Q14" s="225"/>
      <c r="R14" s="225"/>
      <c r="S14" s="225"/>
      <c r="T14" s="225"/>
      <c r="U14" s="225"/>
      <c r="V14" s="225"/>
      <c r="W14" s="226"/>
      <c r="X14" s="224"/>
      <c r="Y14" s="225"/>
      <c r="Z14" s="225"/>
      <c r="AA14" s="225"/>
      <c r="AB14" s="225"/>
      <c r="AC14" s="225"/>
      <c r="AD14" s="225"/>
      <c r="AE14" s="225"/>
      <c r="AF14" s="225"/>
      <c r="AG14" s="225"/>
      <c r="AH14" s="226"/>
      <c r="AI14" s="224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6"/>
      <c r="AU14" s="224"/>
      <c r="AV14" s="225"/>
      <c r="AW14" s="225"/>
      <c r="AX14" s="225"/>
      <c r="AY14" s="225"/>
      <c r="AZ14" s="225"/>
      <c r="BA14" s="225"/>
      <c r="BB14" s="225"/>
      <c r="BC14" s="225"/>
      <c r="BD14" s="225"/>
      <c r="BE14" s="225"/>
      <c r="BF14" s="232"/>
    </row>
    <row r="15" spans="2:58" ht="13" customHeight="1" x14ac:dyDescent="0.25">
      <c r="B15" s="239"/>
      <c r="C15" s="225"/>
      <c r="D15" s="225"/>
      <c r="E15" s="225"/>
      <c r="F15" s="225"/>
      <c r="G15" s="225"/>
      <c r="H15" s="225"/>
      <c r="I15" s="225"/>
      <c r="J15" s="225"/>
      <c r="K15" s="225"/>
      <c r="L15" s="226"/>
      <c r="M15" s="224"/>
      <c r="N15" s="225"/>
      <c r="O15" s="225"/>
      <c r="P15" s="225"/>
      <c r="Q15" s="225"/>
      <c r="R15" s="225"/>
      <c r="S15" s="225"/>
      <c r="T15" s="225"/>
      <c r="U15" s="225"/>
      <c r="V15" s="225"/>
      <c r="W15" s="226"/>
      <c r="X15" s="224"/>
      <c r="Y15" s="225"/>
      <c r="Z15" s="225"/>
      <c r="AA15" s="225"/>
      <c r="AB15" s="225"/>
      <c r="AC15" s="225"/>
      <c r="AD15" s="225"/>
      <c r="AE15" s="225"/>
      <c r="AF15" s="225"/>
      <c r="AG15" s="225"/>
      <c r="AH15" s="226"/>
      <c r="AI15" s="224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6"/>
      <c r="AU15" s="224"/>
      <c r="AV15" s="225"/>
      <c r="AW15" s="225"/>
      <c r="AX15" s="225"/>
      <c r="AY15" s="225"/>
      <c r="AZ15" s="225"/>
      <c r="BA15" s="225"/>
      <c r="BB15" s="225"/>
      <c r="BC15" s="225"/>
      <c r="BD15" s="225"/>
      <c r="BE15" s="225"/>
      <c r="BF15" s="232"/>
    </row>
    <row r="16" spans="2:58" ht="13" customHeight="1" x14ac:dyDescent="0.25">
      <c r="B16" s="239"/>
      <c r="C16" s="225"/>
      <c r="D16" s="225"/>
      <c r="E16" s="225"/>
      <c r="F16" s="225"/>
      <c r="G16" s="225"/>
      <c r="H16" s="225"/>
      <c r="I16" s="225"/>
      <c r="J16" s="225"/>
      <c r="K16" s="225"/>
      <c r="L16" s="226"/>
      <c r="M16" s="224"/>
      <c r="N16" s="225"/>
      <c r="O16" s="225"/>
      <c r="P16" s="225"/>
      <c r="Q16" s="225"/>
      <c r="R16" s="225"/>
      <c r="S16" s="225"/>
      <c r="T16" s="225"/>
      <c r="U16" s="225"/>
      <c r="V16" s="225"/>
      <c r="W16" s="226"/>
      <c r="X16" s="224"/>
      <c r="Y16" s="225"/>
      <c r="Z16" s="225"/>
      <c r="AA16" s="225"/>
      <c r="AB16" s="225"/>
      <c r="AC16" s="225"/>
      <c r="AD16" s="225"/>
      <c r="AE16" s="225"/>
      <c r="AF16" s="225"/>
      <c r="AG16" s="225"/>
      <c r="AH16" s="226"/>
      <c r="AI16" s="224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6"/>
      <c r="AU16" s="224"/>
      <c r="AV16" s="225"/>
      <c r="AW16" s="225"/>
      <c r="AX16" s="225"/>
      <c r="AY16" s="225"/>
      <c r="AZ16" s="225"/>
      <c r="BA16" s="225"/>
      <c r="BB16" s="225"/>
      <c r="BC16" s="225"/>
      <c r="BD16" s="225"/>
      <c r="BE16" s="225"/>
      <c r="BF16" s="232"/>
    </row>
    <row r="17" spans="2:58" ht="13" customHeight="1" x14ac:dyDescent="0.25">
      <c r="B17" s="240"/>
      <c r="C17" s="228"/>
      <c r="D17" s="228"/>
      <c r="E17" s="228"/>
      <c r="F17" s="228"/>
      <c r="G17" s="228"/>
      <c r="H17" s="228"/>
      <c r="I17" s="228"/>
      <c r="J17" s="228"/>
      <c r="K17" s="228"/>
      <c r="L17" s="185"/>
      <c r="M17" s="227"/>
      <c r="N17" s="228"/>
      <c r="O17" s="228"/>
      <c r="P17" s="228"/>
      <c r="Q17" s="228"/>
      <c r="R17" s="228"/>
      <c r="S17" s="228"/>
      <c r="T17" s="228"/>
      <c r="U17" s="228"/>
      <c r="V17" s="228"/>
      <c r="W17" s="185"/>
      <c r="X17" s="227"/>
      <c r="Y17" s="228"/>
      <c r="Z17" s="228"/>
      <c r="AA17" s="228"/>
      <c r="AB17" s="228"/>
      <c r="AC17" s="228"/>
      <c r="AD17" s="228"/>
      <c r="AE17" s="228"/>
      <c r="AF17" s="228"/>
      <c r="AG17" s="228"/>
      <c r="AH17" s="185"/>
      <c r="AI17" s="227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185"/>
      <c r="AU17" s="227"/>
      <c r="AV17" s="228"/>
      <c r="AW17" s="228"/>
      <c r="AX17" s="228"/>
      <c r="AY17" s="228"/>
      <c r="AZ17" s="228"/>
      <c r="BA17" s="228"/>
      <c r="BB17" s="228"/>
      <c r="BC17" s="228"/>
      <c r="BD17" s="228"/>
      <c r="BE17" s="228"/>
      <c r="BF17" s="233"/>
    </row>
    <row r="18" spans="2:58" ht="13" customHeight="1" x14ac:dyDescent="0.25">
      <c r="B18" s="217" t="s">
        <v>241</v>
      </c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50" t="s">
        <v>242</v>
      </c>
      <c r="N18" s="215"/>
      <c r="O18" s="215"/>
      <c r="P18" s="215"/>
      <c r="Q18" s="215"/>
      <c r="R18" s="215"/>
      <c r="S18" s="215"/>
      <c r="T18" s="215"/>
      <c r="U18" s="215"/>
      <c r="V18" s="215"/>
      <c r="W18" s="186"/>
      <c r="X18" s="249" t="s">
        <v>243</v>
      </c>
      <c r="Y18" s="215"/>
      <c r="Z18" s="215"/>
      <c r="AA18" s="215"/>
      <c r="AB18" s="215"/>
      <c r="AC18" s="215"/>
      <c r="AD18" s="215"/>
      <c r="AE18" s="215"/>
      <c r="AF18" s="215"/>
      <c r="AG18" s="215"/>
      <c r="AH18" s="186"/>
      <c r="AI18" s="154" t="s">
        <v>244</v>
      </c>
      <c r="AJ18" s="215"/>
      <c r="AK18" s="215"/>
      <c r="AL18" s="215"/>
      <c r="AM18" s="215"/>
      <c r="AN18" s="215"/>
      <c r="AO18" s="215"/>
      <c r="AP18" s="215"/>
      <c r="AQ18" s="215"/>
      <c r="AR18" s="215"/>
      <c r="AS18" s="215"/>
      <c r="AT18" s="186"/>
      <c r="AU18" s="168" t="s">
        <v>245</v>
      </c>
      <c r="AV18" s="215"/>
      <c r="AW18" s="215"/>
      <c r="AX18" s="215"/>
      <c r="AY18" s="215"/>
      <c r="AZ18" s="215"/>
      <c r="BA18" s="215"/>
      <c r="BB18" s="215"/>
      <c r="BC18" s="215"/>
      <c r="BD18" s="215"/>
      <c r="BE18" s="215"/>
      <c r="BF18" s="219"/>
    </row>
    <row r="19" spans="2:58" ht="13" customHeight="1" x14ac:dyDescent="0.25">
      <c r="B19" s="238"/>
      <c r="C19" s="222"/>
      <c r="D19" s="222"/>
      <c r="E19" s="222"/>
      <c r="F19" s="222"/>
      <c r="G19" s="222"/>
      <c r="H19" s="222"/>
      <c r="I19" s="222"/>
      <c r="J19" s="222"/>
      <c r="K19" s="222"/>
      <c r="L19" s="223"/>
      <c r="M19" s="252"/>
      <c r="N19" s="222"/>
      <c r="O19" s="222"/>
      <c r="P19" s="222"/>
      <c r="Q19" s="222"/>
      <c r="R19" s="222"/>
      <c r="S19" s="222"/>
      <c r="T19" s="222"/>
      <c r="U19" s="222"/>
      <c r="V19" s="222"/>
      <c r="W19" s="223"/>
      <c r="X19" s="221"/>
      <c r="Y19" s="222"/>
      <c r="Z19" s="222"/>
      <c r="AA19" s="222"/>
      <c r="AB19" s="222"/>
      <c r="AC19" s="222"/>
      <c r="AD19" s="222"/>
      <c r="AE19" s="222"/>
      <c r="AF19" s="222"/>
      <c r="AG19" s="222"/>
      <c r="AH19" s="223"/>
      <c r="AI19" s="229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3"/>
      <c r="AU19" s="230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31"/>
    </row>
    <row r="20" spans="2:58" ht="13" customHeight="1" x14ac:dyDescent="0.25">
      <c r="B20" s="239"/>
      <c r="C20" s="225"/>
      <c r="D20" s="225"/>
      <c r="E20" s="225"/>
      <c r="F20" s="225"/>
      <c r="G20" s="225"/>
      <c r="H20" s="225"/>
      <c r="I20" s="225"/>
      <c r="J20" s="225"/>
      <c r="K20" s="225"/>
      <c r="L20" s="226"/>
      <c r="M20" s="224"/>
      <c r="N20" s="225"/>
      <c r="O20" s="225"/>
      <c r="P20" s="225"/>
      <c r="Q20" s="225"/>
      <c r="R20" s="225"/>
      <c r="S20" s="225"/>
      <c r="T20" s="225"/>
      <c r="U20" s="225"/>
      <c r="V20" s="225"/>
      <c r="W20" s="226"/>
      <c r="X20" s="224"/>
      <c r="Y20" s="225"/>
      <c r="Z20" s="225"/>
      <c r="AA20" s="225"/>
      <c r="AB20" s="225"/>
      <c r="AC20" s="225"/>
      <c r="AD20" s="225"/>
      <c r="AE20" s="225"/>
      <c r="AF20" s="225"/>
      <c r="AG20" s="225"/>
      <c r="AH20" s="226"/>
      <c r="AI20" s="224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6"/>
      <c r="AU20" s="224"/>
      <c r="AV20" s="225"/>
      <c r="AW20" s="225"/>
      <c r="AX20" s="225"/>
      <c r="AY20" s="225"/>
      <c r="AZ20" s="225"/>
      <c r="BA20" s="225"/>
      <c r="BB20" s="225"/>
      <c r="BC20" s="225"/>
      <c r="BD20" s="225"/>
      <c r="BE20" s="225"/>
      <c r="BF20" s="232"/>
    </row>
    <row r="21" spans="2:58" ht="13" customHeight="1" x14ac:dyDescent="0.25">
      <c r="B21" s="239"/>
      <c r="C21" s="225"/>
      <c r="D21" s="225"/>
      <c r="E21" s="225"/>
      <c r="F21" s="225"/>
      <c r="G21" s="225"/>
      <c r="H21" s="225"/>
      <c r="I21" s="225"/>
      <c r="J21" s="225"/>
      <c r="K21" s="225"/>
      <c r="L21" s="226"/>
      <c r="M21" s="224"/>
      <c r="N21" s="225"/>
      <c r="O21" s="225"/>
      <c r="P21" s="225"/>
      <c r="Q21" s="225"/>
      <c r="R21" s="225"/>
      <c r="S21" s="225"/>
      <c r="T21" s="225"/>
      <c r="U21" s="225"/>
      <c r="V21" s="225"/>
      <c r="W21" s="226"/>
      <c r="X21" s="224"/>
      <c r="Y21" s="225"/>
      <c r="Z21" s="225"/>
      <c r="AA21" s="225"/>
      <c r="AB21" s="225"/>
      <c r="AC21" s="225"/>
      <c r="AD21" s="225"/>
      <c r="AE21" s="225"/>
      <c r="AF21" s="225"/>
      <c r="AG21" s="225"/>
      <c r="AH21" s="226"/>
      <c r="AI21" s="224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6"/>
      <c r="AU21" s="224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32"/>
    </row>
    <row r="22" spans="2:58" ht="13" customHeight="1" x14ac:dyDescent="0.25">
      <c r="B22" s="239"/>
      <c r="C22" s="225"/>
      <c r="D22" s="225"/>
      <c r="E22" s="225"/>
      <c r="F22" s="225"/>
      <c r="G22" s="225"/>
      <c r="H22" s="225"/>
      <c r="I22" s="225"/>
      <c r="J22" s="225"/>
      <c r="K22" s="225"/>
      <c r="L22" s="226"/>
      <c r="M22" s="224"/>
      <c r="N22" s="225"/>
      <c r="O22" s="225"/>
      <c r="P22" s="225"/>
      <c r="Q22" s="225"/>
      <c r="R22" s="225"/>
      <c r="S22" s="225"/>
      <c r="T22" s="225"/>
      <c r="U22" s="225"/>
      <c r="V22" s="225"/>
      <c r="W22" s="226"/>
      <c r="X22" s="224"/>
      <c r="Y22" s="225"/>
      <c r="Z22" s="225"/>
      <c r="AA22" s="225"/>
      <c r="AB22" s="225"/>
      <c r="AC22" s="225"/>
      <c r="AD22" s="225"/>
      <c r="AE22" s="225"/>
      <c r="AF22" s="225"/>
      <c r="AG22" s="225"/>
      <c r="AH22" s="226"/>
      <c r="AI22" s="224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6"/>
      <c r="AU22" s="224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32"/>
    </row>
    <row r="23" spans="2:58" ht="13" customHeight="1" x14ac:dyDescent="0.25">
      <c r="B23" s="239"/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M23" s="224"/>
      <c r="N23" s="225"/>
      <c r="O23" s="225"/>
      <c r="P23" s="225"/>
      <c r="Q23" s="225"/>
      <c r="R23" s="225"/>
      <c r="S23" s="225"/>
      <c r="T23" s="225"/>
      <c r="U23" s="225"/>
      <c r="V23" s="225"/>
      <c r="W23" s="226"/>
      <c r="X23" s="224"/>
      <c r="Y23" s="225"/>
      <c r="Z23" s="225"/>
      <c r="AA23" s="225"/>
      <c r="AB23" s="225"/>
      <c r="AC23" s="225"/>
      <c r="AD23" s="225"/>
      <c r="AE23" s="225"/>
      <c r="AF23" s="225"/>
      <c r="AG23" s="225"/>
      <c r="AH23" s="226"/>
      <c r="AI23" s="224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6"/>
      <c r="AU23" s="224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32"/>
    </row>
    <row r="24" spans="2:58" ht="13" customHeight="1" x14ac:dyDescent="0.25">
      <c r="B24" s="240"/>
      <c r="C24" s="228"/>
      <c r="D24" s="228"/>
      <c r="E24" s="228"/>
      <c r="F24" s="228"/>
      <c r="G24" s="228"/>
      <c r="H24" s="228"/>
      <c r="I24" s="228"/>
      <c r="J24" s="228"/>
      <c r="K24" s="228"/>
      <c r="L24" s="185"/>
      <c r="M24" s="227"/>
      <c r="N24" s="228"/>
      <c r="O24" s="228"/>
      <c r="P24" s="228"/>
      <c r="Q24" s="228"/>
      <c r="R24" s="228"/>
      <c r="S24" s="228"/>
      <c r="T24" s="228"/>
      <c r="U24" s="228"/>
      <c r="V24" s="228"/>
      <c r="W24" s="185"/>
      <c r="X24" s="227"/>
      <c r="Y24" s="228"/>
      <c r="Z24" s="228"/>
      <c r="AA24" s="228"/>
      <c r="AB24" s="228"/>
      <c r="AC24" s="228"/>
      <c r="AD24" s="228"/>
      <c r="AE24" s="228"/>
      <c r="AF24" s="228"/>
      <c r="AG24" s="228"/>
      <c r="AH24" s="185"/>
      <c r="AI24" s="227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185"/>
      <c r="AU24" s="227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33"/>
    </row>
    <row r="25" spans="2:58" ht="13" customHeight="1" x14ac:dyDescent="0.25">
      <c r="B25" s="217" t="s">
        <v>246</v>
      </c>
      <c r="C25" s="215"/>
      <c r="D25" s="215"/>
      <c r="E25" s="215"/>
      <c r="F25" s="215"/>
      <c r="G25" s="215"/>
      <c r="H25" s="215"/>
      <c r="I25" s="215"/>
      <c r="J25" s="215"/>
      <c r="K25" s="215"/>
      <c r="L25" s="186"/>
      <c r="M25" s="192" t="s">
        <v>247</v>
      </c>
      <c r="N25" s="215"/>
      <c r="O25" s="215"/>
      <c r="P25" s="215"/>
      <c r="Q25" s="215"/>
      <c r="R25" s="215"/>
      <c r="S25" s="215"/>
      <c r="T25" s="215"/>
      <c r="U25" s="215"/>
      <c r="V25" s="215"/>
      <c r="W25" s="186"/>
      <c r="X25" s="218" t="s">
        <v>248</v>
      </c>
      <c r="Y25" s="215"/>
      <c r="Z25" s="215"/>
      <c r="AA25" s="215"/>
      <c r="AB25" s="215"/>
      <c r="AC25" s="215"/>
      <c r="AD25" s="215"/>
      <c r="AE25" s="215"/>
      <c r="AF25" s="215"/>
      <c r="AG25" s="215"/>
      <c r="AH25" s="186"/>
      <c r="AI25" s="168" t="s">
        <v>249</v>
      </c>
      <c r="AJ25" s="215"/>
      <c r="AK25" s="215"/>
      <c r="AL25" s="215"/>
      <c r="AM25" s="215"/>
      <c r="AN25" s="215"/>
      <c r="AO25" s="215"/>
      <c r="AP25" s="215"/>
      <c r="AQ25" s="215"/>
      <c r="AR25" s="215"/>
      <c r="AS25" s="215"/>
      <c r="AT25" s="186"/>
      <c r="AU25" s="168" t="s">
        <v>250</v>
      </c>
      <c r="AV25" s="215"/>
      <c r="AW25" s="215"/>
      <c r="AX25" s="215"/>
      <c r="AY25" s="215"/>
      <c r="AZ25" s="215"/>
      <c r="BA25" s="215"/>
      <c r="BB25" s="215"/>
      <c r="BC25" s="215"/>
      <c r="BD25" s="215"/>
      <c r="BE25" s="215"/>
      <c r="BF25" s="219"/>
    </row>
    <row r="26" spans="2:58" ht="13" customHeight="1" x14ac:dyDescent="0.25">
      <c r="B26" s="238"/>
      <c r="C26" s="222"/>
      <c r="D26" s="222"/>
      <c r="E26" s="222"/>
      <c r="F26" s="222"/>
      <c r="G26" s="222"/>
      <c r="H26" s="222"/>
      <c r="I26" s="222"/>
      <c r="J26" s="222"/>
      <c r="K26" s="222"/>
      <c r="L26" s="223"/>
      <c r="M26" s="246"/>
      <c r="N26" s="222"/>
      <c r="O26" s="222"/>
      <c r="P26" s="222"/>
      <c r="Q26" s="222"/>
      <c r="R26" s="222"/>
      <c r="S26" s="222"/>
      <c r="T26" s="222"/>
      <c r="U26" s="222"/>
      <c r="V26" s="222"/>
      <c r="W26" s="223"/>
      <c r="X26" s="242"/>
      <c r="Y26" s="222"/>
      <c r="Z26" s="222"/>
      <c r="AA26" s="222"/>
      <c r="AB26" s="222"/>
      <c r="AC26" s="222"/>
      <c r="AD26" s="222"/>
      <c r="AE26" s="222"/>
      <c r="AF26" s="222"/>
      <c r="AG26" s="222"/>
      <c r="AH26" s="223"/>
      <c r="AI26" s="230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3"/>
      <c r="AU26" s="230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31"/>
    </row>
    <row r="27" spans="2:58" ht="13" customHeight="1" x14ac:dyDescent="0.25">
      <c r="B27" s="239"/>
      <c r="C27" s="225"/>
      <c r="D27" s="225"/>
      <c r="E27" s="225"/>
      <c r="F27" s="225"/>
      <c r="G27" s="225"/>
      <c r="H27" s="225"/>
      <c r="I27" s="225"/>
      <c r="J27" s="225"/>
      <c r="K27" s="225"/>
      <c r="L27" s="226"/>
      <c r="M27" s="224"/>
      <c r="N27" s="225"/>
      <c r="O27" s="225"/>
      <c r="P27" s="225"/>
      <c r="Q27" s="225"/>
      <c r="R27" s="225"/>
      <c r="S27" s="225"/>
      <c r="T27" s="225"/>
      <c r="U27" s="225"/>
      <c r="V27" s="225"/>
      <c r="W27" s="226"/>
      <c r="X27" s="224"/>
      <c r="Y27" s="225"/>
      <c r="Z27" s="225"/>
      <c r="AA27" s="225"/>
      <c r="AB27" s="225"/>
      <c r="AC27" s="225"/>
      <c r="AD27" s="225"/>
      <c r="AE27" s="225"/>
      <c r="AF27" s="225"/>
      <c r="AG27" s="225"/>
      <c r="AH27" s="226"/>
      <c r="AI27" s="224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6"/>
      <c r="AU27" s="224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32"/>
    </row>
    <row r="28" spans="2:58" ht="13" customHeight="1" x14ac:dyDescent="0.25">
      <c r="B28" s="239"/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M28" s="224"/>
      <c r="N28" s="225"/>
      <c r="O28" s="225"/>
      <c r="P28" s="225"/>
      <c r="Q28" s="225"/>
      <c r="R28" s="225"/>
      <c r="S28" s="225"/>
      <c r="T28" s="225"/>
      <c r="U28" s="225"/>
      <c r="V28" s="225"/>
      <c r="W28" s="226"/>
      <c r="X28" s="224"/>
      <c r="Y28" s="225"/>
      <c r="Z28" s="225"/>
      <c r="AA28" s="225"/>
      <c r="AB28" s="225"/>
      <c r="AC28" s="225"/>
      <c r="AD28" s="225"/>
      <c r="AE28" s="225"/>
      <c r="AF28" s="225"/>
      <c r="AG28" s="225"/>
      <c r="AH28" s="226"/>
      <c r="AI28" s="224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6"/>
      <c r="AU28" s="224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32"/>
    </row>
    <row r="29" spans="2:58" ht="13" customHeight="1" x14ac:dyDescent="0.25">
      <c r="B29" s="239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M29" s="224"/>
      <c r="N29" s="225"/>
      <c r="O29" s="225"/>
      <c r="P29" s="225"/>
      <c r="Q29" s="225"/>
      <c r="R29" s="225"/>
      <c r="S29" s="225"/>
      <c r="T29" s="225"/>
      <c r="U29" s="225"/>
      <c r="V29" s="225"/>
      <c r="W29" s="226"/>
      <c r="X29" s="224"/>
      <c r="Y29" s="225"/>
      <c r="Z29" s="225"/>
      <c r="AA29" s="225"/>
      <c r="AB29" s="225"/>
      <c r="AC29" s="225"/>
      <c r="AD29" s="225"/>
      <c r="AE29" s="225"/>
      <c r="AF29" s="225"/>
      <c r="AG29" s="225"/>
      <c r="AH29" s="226"/>
      <c r="AI29" s="224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6"/>
      <c r="AU29" s="224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32"/>
    </row>
    <row r="30" spans="2:58" ht="13" customHeight="1" x14ac:dyDescent="0.25">
      <c r="B30" s="239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M30" s="224"/>
      <c r="N30" s="225"/>
      <c r="O30" s="225"/>
      <c r="P30" s="225"/>
      <c r="Q30" s="225"/>
      <c r="R30" s="225"/>
      <c r="S30" s="225"/>
      <c r="T30" s="225"/>
      <c r="U30" s="225"/>
      <c r="V30" s="225"/>
      <c r="W30" s="226"/>
      <c r="X30" s="224"/>
      <c r="Y30" s="225"/>
      <c r="Z30" s="225"/>
      <c r="AA30" s="225"/>
      <c r="AB30" s="225"/>
      <c r="AC30" s="225"/>
      <c r="AD30" s="225"/>
      <c r="AE30" s="225"/>
      <c r="AF30" s="225"/>
      <c r="AG30" s="225"/>
      <c r="AH30" s="226"/>
      <c r="AI30" s="224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6"/>
      <c r="AU30" s="224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32"/>
    </row>
    <row r="31" spans="2:58" ht="13" customHeight="1" x14ac:dyDescent="0.25">
      <c r="B31" s="240"/>
      <c r="C31" s="228"/>
      <c r="D31" s="228"/>
      <c r="E31" s="228"/>
      <c r="F31" s="228"/>
      <c r="G31" s="228"/>
      <c r="H31" s="228"/>
      <c r="I31" s="228"/>
      <c r="J31" s="228"/>
      <c r="K31" s="228"/>
      <c r="L31" s="185"/>
      <c r="M31" s="227"/>
      <c r="N31" s="228"/>
      <c r="O31" s="228"/>
      <c r="P31" s="228"/>
      <c r="Q31" s="228"/>
      <c r="R31" s="228"/>
      <c r="S31" s="228"/>
      <c r="T31" s="228"/>
      <c r="U31" s="228"/>
      <c r="V31" s="228"/>
      <c r="W31" s="185"/>
      <c r="X31" s="227"/>
      <c r="Y31" s="228"/>
      <c r="Z31" s="228"/>
      <c r="AA31" s="228"/>
      <c r="AB31" s="228"/>
      <c r="AC31" s="228"/>
      <c r="AD31" s="228"/>
      <c r="AE31" s="228"/>
      <c r="AF31" s="228"/>
      <c r="AG31" s="228"/>
      <c r="AH31" s="185"/>
      <c r="AI31" s="227"/>
      <c r="AJ31" s="228"/>
      <c r="AK31" s="228"/>
      <c r="AL31" s="228"/>
      <c r="AM31" s="228"/>
      <c r="AN31" s="228"/>
      <c r="AO31" s="228"/>
      <c r="AP31" s="228"/>
      <c r="AQ31" s="228"/>
      <c r="AR31" s="228"/>
      <c r="AS31" s="228"/>
      <c r="AT31" s="185"/>
      <c r="AU31" s="227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33"/>
    </row>
    <row r="32" spans="2:58" ht="13" customHeight="1" x14ac:dyDescent="0.25">
      <c r="B32" s="217" t="s">
        <v>251</v>
      </c>
      <c r="C32" s="215"/>
      <c r="D32" s="215"/>
      <c r="E32" s="215"/>
      <c r="F32" s="215"/>
      <c r="G32" s="215"/>
      <c r="H32" s="215"/>
      <c r="I32" s="215"/>
      <c r="J32" s="215"/>
      <c r="K32" s="215"/>
      <c r="L32" s="186"/>
      <c r="M32" s="220" t="s">
        <v>252</v>
      </c>
      <c r="N32" s="215"/>
      <c r="O32" s="215"/>
      <c r="P32" s="215"/>
      <c r="Q32" s="215"/>
      <c r="R32" s="215"/>
      <c r="S32" s="215"/>
      <c r="T32" s="215"/>
      <c r="U32" s="215"/>
      <c r="V32" s="215"/>
      <c r="W32" s="186"/>
      <c r="X32" s="218" t="s">
        <v>253</v>
      </c>
      <c r="Y32" s="215"/>
      <c r="Z32" s="215"/>
      <c r="AA32" s="215"/>
      <c r="AB32" s="215"/>
      <c r="AC32" s="215"/>
      <c r="AD32" s="215"/>
      <c r="AE32" s="215"/>
      <c r="AF32" s="215"/>
      <c r="AG32" s="215"/>
      <c r="AH32" s="186"/>
      <c r="AI32" s="168" t="s">
        <v>254</v>
      </c>
      <c r="AJ32" s="215"/>
      <c r="AK32" s="215"/>
      <c r="AL32" s="215"/>
      <c r="AM32" s="215"/>
      <c r="AN32" s="215"/>
      <c r="AO32" s="215"/>
      <c r="AP32" s="215"/>
      <c r="AQ32" s="215"/>
      <c r="AR32" s="215"/>
      <c r="AS32" s="215"/>
      <c r="AT32" s="186"/>
      <c r="AU32" s="168" t="s">
        <v>255</v>
      </c>
      <c r="AV32" s="215"/>
      <c r="AW32" s="215"/>
      <c r="AX32" s="215"/>
      <c r="AY32" s="215"/>
      <c r="AZ32" s="215"/>
      <c r="BA32" s="215"/>
      <c r="BB32" s="215"/>
      <c r="BC32" s="215"/>
      <c r="BD32" s="215"/>
      <c r="BE32" s="215"/>
      <c r="BF32" s="219"/>
    </row>
    <row r="33" spans="2:58" ht="13" customHeight="1" x14ac:dyDescent="0.25">
      <c r="B33" s="238"/>
      <c r="C33" s="222"/>
      <c r="D33" s="222"/>
      <c r="E33" s="222"/>
      <c r="F33" s="222"/>
      <c r="G33" s="222"/>
      <c r="H33" s="222"/>
      <c r="I33" s="222"/>
      <c r="J33" s="222"/>
      <c r="K33" s="222"/>
      <c r="L33" s="223"/>
      <c r="M33" s="241"/>
      <c r="N33" s="222"/>
      <c r="O33" s="222"/>
      <c r="P33" s="222"/>
      <c r="Q33" s="222"/>
      <c r="R33" s="222"/>
      <c r="S33" s="222"/>
      <c r="T33" s="222"/>
      <c r="U33" s="222"/>
      <c r="V33" s="222"/>
      <c r="W33" s="223"/>
      <c r="X33" s="242"/>
      <c r="Y33" s="222"/>
      <c r="Z33" s="222"/>
      <c r="AA33" s="222"/>
      <c r="AB33" s="222"/>
      <c r="AC33" s="222"/>
      <c r="AD33" s="222"/>
      <c r="AE33" s="222"/>
      <c r="AF33" s="222"/>
      <c r="AG33" s="222"/>
      <c r="AH33" s="223"/>
      <c r="AI33" s="230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3"/>
      <c r="AU33" s="230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31"/>
    </row>
    <row r="34" spans="2:58" ht="13" customHeight="1" x14ac:dyDescent="0.25">
      <c r="B34" s="239"/>
      <c r="C34" s="225"/>
      <c r="D34" s="225"/>
      <c r="E34" s="225"/>
      <c r="F34" s="225"/>
      <c r="G34" s="225"/>
      <c r="H34" s="225"/>
      <c r="I34" s="225"/>
      <c r="J34" s="225"/>
      <c r="K34" s="225"/>
      <c r="L34" s="226"/>
      <c r="M34" s="224"/>
      <c r="N34" s="225"/>
      <c r="O34" s="225"/>
      <c r="P34" s="225"/>
      <c r="Q34" s="225"/>
      <c r="R34" s="225"/>
      <c r="S34" s="225"/>
      <c r="T34" s="225"/>
      <c r="U34" s="225"/>
      <c r="V34" s="225"/>
      <c r="W34" s="226"/>
      <c r="X34" s="224"/>
      <c r="Y34" s="225"/>
      <c r="Z34" s="225"/>
      <c r="AA34" s="225"/>
      <c r="AB34" s="225"/>
      <c r="AC34" s="225"/>
      <c r="AD34" s="225"/>
      <c r="AE34" s="225"/>
      <c r="AF34" s="225"/>
      <c r="AG34" s="225"/>
      <c r="AH34" s="226"/>
      <c r="AI34" s="224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6"/>
      <c r="AU34" s="224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32"/>
    </row>
    <row r="35" spans="2:58" ht="13" customHeight="1" x14ac:dyDescent="0.25">
      <c r="B35" s="239"/>
      <c r="C35" s="225"/>
      <c r="D35" s="225"/>
      <c r="E35" s="225"/>
      <c r="F35" s="225"/>
      <c r="G35" s="225"/>
      <c r="H35" s="225"/>
      <c r="I35" s="225"/>
      <c r="J35" s="225"/>
      <c r="K35" s="225"/>
      <c r="L35" s="226"/>
      <c r="M35" s="224"/>
      <c r="N35" s="225"/>
      <c r="O35" s="225"/>
      <c r="P35" s="225"/>
      <c r="Q35" s="225"/>
      <c r="R35" s="225"/>
      <c r="S35" s="225"/>
      <c r="T35" s="225"/>
      <c r="U35" s="225"/>
      <c r="V35" s="225"/>
      <c r="W35" s="226"/>
      <c r="X35" s="224"/>
      <c r="Y35" s="225"/>
      <c r="Z35" s="225"/>
      <c r="AA35" s="225"/>
      <c r="AB35" s="225"/>
      <c r="AC35" s="225"/>
      <c r="AD35" s="225"/>
      <c r="AE35" s="225"/>
      <c r="AF35" s="225"/>
      <c r="AG35" s="225"/>
      <c r="AH35" s="226"/>
      <c r="AI35" s="224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6"/>
      <c r="AU35" s="224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32"/>
    </row>
    <row r="36" spans="2:58" ht="13" customHeight="1" x14ac:dyDescent="0.25">
      <c r="B36" s="239"/>
      <c r="C36" s="225"/>
      <c r="D36" s="225"/>
      <c r="E36" s="225"/>
      <c r="F36" s="225"/>
      <c r="G36" s="225"/>
      <c r="H36" s="225"/>
      <c r="I36" s="225"/>
      <c r="J36" s="225"/>
      <c r="K36" s="225"/>
      <c r="L36" s="226"/>
      <c r="M36" s="224"/>
      <c r="N36" s="225"/>
      <c r="O36" s="225"/>
      <c r="P36" s="225"/>
      <c r="Q36" s="225"/>
      <c r="R36" s="225"/>
      <c r="S36" s="225"/>
      <c r="T36" s="225"/>
      <c r="U36" s="225"/>
      <c r="V36" s="225"/>
      <c r="W36" s="226"/>
      <c r="X36" s="224"/>
      <c r="Y36" s="225"/>
      <c r="Z36" s="225"/>
      <c r="AA36" s="225"/>
      <c r="AB36" s="225"/>
      <c r="AC36" s="225"/>
      <c r="AD36" s="225"/>
      <c r="AE36" s="225"/>
      <c r="AF36" s="225"/>
      <c r="AG36" s="225"/>
      <c r="AH36" s="226"/>
      <c r="AI36" s="224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6"/>
      <c r="AU36" s="224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32"/>
    </row>
    <row r="37" spans="2:58" ht="13" customHeight="1" x14ac:dyDescent="0.25">
      <c r="B37" s="239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M37" s="224"/>
      <c r="N37" s="225"/>
      <c r="O37" s="225"/>
      <c r="P37" s="225"/>
      <c r="Q37" s="225"/>
      <c r="R37" s="225"/>
      <c r="S37" s="225"/>
      <c r="T37" s="225"/>
      <c r="U37" s="225"/>
      <c r="V37" s="225"/>
      <c r="W37" s="226"/>
      <c r="X37" s="224"/>
      <c r="Y37" s="225"/>
      <c r="Z37" s="225"/>
      <c r="AA37" s="225"/>
      <c r="AB37" s="225"/>
      <c r="AC37" s="225"/>
      <c r="AD37" s="225"/>
      <c r="AE37" s="225"/>
      <c r="AF37" s="225"/>
      <c r="AG37" s="225"/>
      <c r="AH37" s="226"/>
      <c r="AI37" s="224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6"/>
      <c r="AU37" s="224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32"/>
    </row>
    <row r="38" spans="2:58" ht="13" customHeight="1" x14ac:dyDescent="0.25">
      <c r="B38" s="240"/>
      <c r="C38" s="228"/>
      <c r="D38" s="228"/>
      <c r="E38" s="228"/>
      <c r="F38" s="228"/>
      <c r="G38" s="228"/>
      <c r="H38" s="228"/>
      <c r="I38" s="228"/>
      <c r="J38" s="228"/>
      <c r="K38" s="228"/>
      <c r="L38" s="185"/>
      <c r="M38" s="227"/>
      <c r="N38" s="228"/>
      <c r="O38" s="228"/>
      <c r="P38" s="228"/>
      <c r="Q38" s="228"/>
      <c r="R38" s="228"/>
      <c r="S38" s="228"/>
      <c r="T38" s="228"/>
      <c r="U38" s="228"/>
      <c r="V38" s="228"/>
      <c r="W38" s="185"/>
      <c r="X38" s="227"/>
      <c r="Y38" s="228"/>
      <c r="Z38" s="228"/>
      <c r="AA38" s="228"/>
      <c r="AB38" s="228"/>
      <c r="AC38" s="228"/>
      <c r="AD38" s="228"/>
      <c r="AE38" s="228"/>
      <c r="AF38" s="228"/>
      <c r="AG38" s="228"/>
      <c r="AH38" s="185"/>
      <c r="AI38" s="227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185"/>
      <c r="AU38" s="227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33"/>
    </row>
    <row r="39" spans="2:58" ht="13" customHeight="1" x14ac:dyDescent="0.25">
      <c r="B39" s="217" t="s">
        <v>256</v>
      </c>
      <c r="C39" s="215"/>
      <c r="D39" s="215"/>
      <c r="E39" s="215"/>
      <c r="F39" s="215"/>
      <c r="G39" s="215"/>
      <c r="H39" s="215"/>
      <c r="I39" s="215"/>
      <c r="J39" s="215"/>
      <c r="K39" s="215"/>
      <c r="L39" s="186"/>
      <c r="M39" s="220" t="s">
        <v>257</v>
      </c>
      <c r="N39" s="215"/>
      <c r="O39" s="215"/>
      <c r="P39" s="215"/>
      <c r="Q39" s="215"/>
      <c r="R39" s="215"/>
      <c r="S39" s="215"/>
      <c r="T39" s="215"/>
      <c r="U39" s="215"/>
      <c r="V39" s="215"/>
      <c r="W39" s="186"/>
      <c r="X39" s="218" t="s">
        <v>258</v>
      </c>
      <c r="Y39" s="215"/>
      <c r="Z39" s="215"/>
      <c r="AA39" s="215"/>
      <c r="AB39" s="215"/>
      <c r="AC39" s="215"/>
      <c r="AD39" s="215"/>
      <c r="AE39" s="215"/>
      <c r="AF39" s="215"/>
      <c r="AG39" s="215"/>
      <c r="AH39" s="186"/>
      <c r="AI39" s="168" t="s">
        <v>259</v>
      </c>
      <c r="AJ39" s="215"/>
      <c r="AK39" s="215"/>
      <c r="AL39" s="215"/>
      <c r="AM39" s="215"/>
      <c r="AN39" s="215"/>
      <c r="AO39" s="215"/>
      <c r="AP39" s="215"/>
      <c r="AQ39" s="215"/>
      <c r="AR39" s="215"/>
      <c r="AS39" s="215"/>
      <c r="AT39" s="186"/>
      <c r="AU39" s="168" t="s">
        <v>260</v>
      </c>
      <c r="AV39" s="215"/>
      <c r="AW39" s="215"/>
      <c r="AX39" s="215"/>
      <c r="AY39" s="215"/>
      <c r="AZ39" s="215"/>
      <c r="BA39" s="215"/>
      <c r="BB39" s="215"/>
      <c r="BC39" s="215"/>
      <c r="BD39" s="215"/>
      <c r="BE39" s="215"/>
      <c r="BF39" s="219"/>
    </row>
    <row r="40" spans="2:58" ht="13" customHeight="1" x14ac:dyDescent="0.25">
      <c r="B40" s="238"/>
      <c r="C40" s="222"/>
      <c r="D40" s="222"/>
      <c r="E40" s="222"/>
      <c r="F40" s="222"/>
      <c r="G40" s="222"/>
      <c r="H40" s="222"/>
      <c r="I40" s="222"/>
      <c r="J40" s="222"/>
      <c r="K40" s="222"/>
      <c r="L40" s="223"/>
      <c r="M40" s="241"/>
      <c r="N40" s="222"/>
      <c r="O40" s="222"/>
      <c r="P40" s="222"/>
      <c r="Q40" s="222"/>
      <c r="R40" s="222"/>
      <c r="S40" s="222"/>
      <c r="T40" s="222"/>
      <c r="U40" s="222"/>
      <c r="V40" s="222"/>
      <c r="W40" s="223"/>
      <c r="X40" s="242"/>
      <c r="Y40" s="222"/>
      <c r="Z40" s="222"/>
      <c r="AA40" s="222"/>
      <c r="AB40" s="222"/>
      <c r="AC40" s="222"/>
      <c r="AD40" s="222"/>
      <c r="AE40" s="222"/>
      <c r="AF40" s="222"/>
      <c r="AG40" s="222"/>
      <c r="AH40" s="223"/>
      <c r="AI40" s="230"/>
      <c r="AJ40" s="222"/>
      <c r="AK40" s="222"/>
      <c r="AL40" s="222"/>
      <c r="AM40" s="222"/>
      <c r="AN40" s="222"/>
      <c r="AO40" s="222"/>
      <c r="AP40" s="222"/>
      <c r="AQ40" s="222"/>
      <c r="AR40" s="222"/>
      <c r="AS40" s="222"/>
      <c r="AT40" s="223"/>
      <c r="AU40" s="230"/>
      <c r="AV40" s="222"/>
      <c r="AW40" s="222"/>
      <c r="AX40" s="222"/>
      <c r="AY40" s="222"/>
      <c r="AZ40" s="222"/>
      <c r="BA40" s="222"/>
      <c r="BB40" s="222"/>
      <c r="BC40" s="222"/>
      <c r="BD40" s="222"/>
      <c r="BE40" s="222"/>
      <c r="BF40" s="231"/>
    </row>
    <row r="41" spans="2:58" ht="13" customHeight="1" x14ac:dyDescent="0.25">
      <c r="B41" s="239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24"/>
      <c r="N41" s="225"/>
      <c r="O41" s="225"/>
      <c r="P41" s="225"/>
      <c r="Q41" s="225"/>
      <c r="R41" s="225"/>
      <c r="S41" s="225"/>
      <c r="T41" s="225"/>
      <c r="U41" s="225"/>
      <c r="V41" s="225"/>
      <c r="W41" s="226"/>
      <c r="X41" s="224"/>
      <c r="Y41" s="225"/>
      <c r="Z41" s="225"/>
      <c r="AA41" s="225"/>
      <c r="AB41" s="225"/>
      <c r="AC41" s="225"/>
      <c r="AD41" s="225"/>
      <c r="AE41" s="225"/>
      <c r="AF41" s="225"/>
      <c r="AG41" s="225"/>
      <c r="AH41" s="226"/>
      <c r="AI41" s="224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6"/>
      <c r="AU41" s="224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32"/>
    </row>
    <row r="42" spans="2:58" ht="13" customHeight="1" x14ac:dyDescent="0.25">
      <c r="B42" s="239"/>
      <c r="C42" s="225"/>
      <c r="D42" s="225"/>
      <c r="E42" s="225"/>
      <c r="F42" s="225"/>
      <c r="G42" s="225"/>
      <c r="H42" s="225"/>
      <c r="I42" s="225"/>
      <c r="J42" s="225"/>
      <c r="K42" s="225"/>
      <c r="L42" s="226"/>
      <c r="M42" s="224"/>
      <c r="N42" s="225"/>
      <c r="O42" s="225"/>
      <c r="P42" s="225"/>
      <c r="Q42" s="225"/>
      <c r="R42" s="225"/>
      <c r="S42" s="225"/>
      <c r="T42" s="225"/>
      <c r="U42" s="225"/>
      <c r="V42" s="225"/>
      <c r="W42" s="226"/>
      <c r="X42" s="224"/>
      <c r="Y42" s="225"/>
      <c r="Z42" s="225"/>
      <c r="AA42" s="225"/>
      <c r="AB42" s="225"/>
      <c r="AC42" s="225"/>
      <c r="AD42" s="225"/>
      <c r="AE42" s="225"/>
      <c r="AF42" s="225"/>
      <c r="AG42" s="225"/>
      <c r="AH42" s="226"/>
      <c r="AI42" s="224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6"/>
      <c r="AU42" s="224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32"/>
    </row>
    <row r="43" spans="2:58" ht="13" customHeight="1" x14ac:dyDescent="0.25">
      <c r="B43" s="239"/>
      <c r="C43" s="225"/>
      <c r="D43" s="225"/>
      <c r="E43" s="225"/>
      <c r="F43" s="225"/>
      <c r="G43" s="225"/>
      <c r="H43" s="225"/>
      <c r="I43" s="225"/>
      <c r="J43" s="225"/>
      <c r="K43" s="225"/>
      <c r="L43" s="226"/>
      <c r="M43" s="224"/>
      <c r="N43" s="225"/>
      <c r="O43" s="225"/>
      <c r="P43" s="225"/>
      <c r="Q43" s="225"/>
      <c r="R43" s="225"/>
      <c r="S43" s="225"/>
      <c r="T43" s="225"/>
      <c r="U43" s="225"/>
      <c r="V43" s="225"/>
      <c r="W43" s="226"/>
      <c r="X43" s="224"/>
      <c r="Y43" s="225"/>
      <c r="Z43" s="225"/>
      <c r="AA43" s="225"/>
      <c r="AB43" s="225"/>
      <c r="AC43" s="225"/>
      <c r="AD43" s="225"/>
      <c r="AE43" s="225"/>
      <c r="AF43" s="225"/>
      <c r="AG43" s="225"/>
      <c r="AH43" s="226"/>
      <c r="AI43" s="224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6"/>
      <c r="AU43" s="224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32"/>
    </row>
    <row r="44" spans="2:58" ht="13" customHeight="1" x14ac:dyDescent="0.25">
      <c r="B44" s="239"/>
      <c r="C44" s="225"/>
      <c r="D44" s="225"/>
      <c r="E44" s="225"/>
      <c r="F44" s="225"/>
      <c r="G44" s="225"/>
      <c r="H44" s="225"/>
      <c r="I44" s="225"/>
      <c r="J44" s="225"/>
      <c r="K44" s="225"/>
      <c r="L44" s="226"/>
      <c r="M44" s="224"/>
      <c r="N44" s="225"/>
      <c r="O44" s="225"/>
      <c r="P44" s="225"/>
      <c r="Q44" s="225"/>
      <c r="R44" s="225"/>
      <c r="S44" s="225"/>
      <c r="T44" s="225"/>
      <c r="U44" s="225"/>
      <c r="V44" s="225"/>
      <c r="W44" s="226"/>
      <c r="X44" s="224"/>
      <c r="Y44" s="225"/>
      <c r="Z44" s="225"/>
      <c r="AA44" s="225"/>
      <c r="AB44" s="225"/>
      <c r="AC44" s="225"/>
      <c r="AD44" s="225"/>
      <c r="AE44" s="225"/>
      <c r="AF44" s="225"/>
      <c r="AG44" s="225"/>
      <c r="AH44" s="226"/>
      <c r="AI44" s="224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6"/>
      <c r="AU44" s="224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32"/>
    </row>
    <row r="45" spans="2:58" ht="13" customHeight="1" x14ac:dyDescent="0.25">
      <c r="B45" s="240"/>
      <c r="C45" s="228"/>
      <c r="D45" s="228"/>
      <c r="E45" s="228"/>
      <c r="F45" s="228"/>
      <c r="G45" s="228"/>
      <c r="H45" s="228"/>
      <c r="I45" s="228"/>
      <c r="J45" s="228"/>
      <c r="K45" s="228"/>
      <c r="L45" s="185"/>
      <c r="M45" s="227"/>
      <c r="N45" s="228"/>
      <c r="O45" s="228"/>
      <c r="P45" s="228"/>
      <c r="Q45" s="228"/>
      <c r="R45" s="228"/>
      <c r="S45" s="228"/>
      <c r="T45" s="228"/>
      <c r="U45" s="228"/>
      <c r="V45" s="228"/>
      <c r="W45" s="185"/>
      <c r="X45" s="227"/>
      <c r="Y45" s="228"/>
      <c r="Z45" s="228"/>
      <c r="AA45" s="228"/>
      <c r="AB45" s="228"/>
      <c r="AC45" s="228"/>
      <c r="AD45" s="228"/>
      <c r="AE45" s="228"/>
      <c r="AF45" s="228"/>
      <c r="AG45" s="228"/>
      <c r="AH45" s="185"/>
      <c r="AI45" s="227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185"/>
      <c r="AU45" s="227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33"/>
    </row>
    <row r="46" spans="2:58" ht="13" customHeight="1" x14ac:dyDescent="0.25">
      <c r="B46" s="217" t="s">
        <v>261</v>
      </c>
      <c r="C46" s="215"/>
      <c r="D46" s="215"/>
      <c r="E46" s="215"/>
      <c r="F46" s="215"/>
      <c r="G46" s="215"/>
      <c r="H46" s="215"/>
      <c r="I46" s="215"/>
      <c r="J46" s="215"/>
      <c r="K46" s="215"/>
      <c r="L46" s="186"/>
      <c r="M46" s="192" t="s">
        <v>262</v>
      </c>
      <c r="N46" s="215"/>
      <c r="O46" s="215"/>
      <c r="P46" s="215"/>
      <c r="Q46" s="215"/>
      <c r="R46" s="215"/>
      <c r="S46" s="215"/>
      <c r="T46" s="215"/>
      <c r="U46" s="215"/>
      <c r="V46" s="215"/>
      <c r="W46" s="186"/>
      <c r="X46" s="218" t="s">
        <v>263</v>
      </c>
      <c r="Y46" s="215"/>
      <c r="Z46" s="215"/>
      <c r="AA46" s="215"/>
      <c r="AB46" s="215"/>
      <c r="AC46" s="215"/>
      <c r="AD46" s="215"/>
      <c r="AE46" s="215"/>
      <c r="AF46" s="215"/>
      <c r="AG46" s="215"/>
      <c r="AH46" s="186"/>
      <c r="AI46" s="168" t="s">
        <v>264</v>
      </c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186"/>
      <c r="AU46" s="168" t="s">
        <v>265</v>
      </c>
      <c r="AV46" s="215"/>
      <c r="AW46" s="215"/>
      <c r="AX46" s="215"/>
      <c r="AY46" s="215"/>
      <c r="AZ46" s="215"/>
      <c r="BA46" s="215"/>
      <c r="BB46" s="215"/>
      <c r="BC46" s="215"/>
      <c r="BD46" s="215"/>
      <c r="BE46" s="215"/>
      <c r="BF46" s="219"/>
    </row>
    <row r="47" spans="2:58" ht="13" customHeight="1" x14ac:dyDescent="0.25">
      <c r="B47" s="238"/>
      <c r="C47" s="222"/>
      <c r="D47" s="222"/>
      <c r="E47" s="222"/>
      <c r="F47" s="222"/>
      <c r="G47" s="222"/>
      <c r="H47" s="222"/>
      <c r="I47" s="222"/>
      <c r="J47" s="222"/>
      <c r="K47" s="222"/>
      <c r="L47" s="223"/>
      <c r="M47" s="241"/>
      <c r="N47" s="222"/>
      <c r="O47" s="222"/>
      <c r="P47" s="222"/>
      <c r="Q47" s="222"/>
      <c r="R47" s="222"/>
      <c r="S47" s="222"/>
      <c r="T47" s="222"/>
      <c r="U47" s="222"/>
      <c r="V47" s="222"/>
      <c r="W47" s="223"/>
      <c r="X47" s="242"/>
      <c r="Y47" s="222"/>
      <c r="Z47" s="222"/>
      <c r="AA47" s="222"/>
      <c r="AB47" s="222"/>
      <c r="AC47" s="222"/>
      <c r="AD47" s="222"/>
      <c r="AE47" s="222"/>
      <c r="AF47" s="222"/>
      <c r="AG47" s="222"/>
      <c r="AH47" s="223"/>
      <c r="AI47" s="230"/>
      <c r="AJ47" s="222"/>
      <c r="AK47" s="222"/>
      <c r="AL47" s="222"/>
      <c r="AM47" s="222"/>
      <c r="AN47" s="222"/>
      <c r="AO47" s="222"/>
      <c r="AP47" s="222"/>
      <c r="AQ47" s="222"/>
      <c r="AR47" s="222"/>
      <c r="AS47" s="222"/>
      <c r="AT47" s="223"/>
      <c r="AU47" s="230"/>
      <c r="AV47" s="222"/>
      <c r="AW47" s="222"/>
      <c r="AX47" s="222"/>
      <c r="AY47" s="222"/>
      <c r="AZ47" s="222"/>
      <c r="BA47" s="222"/>
      <c r="BB47" s="222"/>
      <c r="BC47" s="222"/>
      <c r="BD47" s="222"/>
      <c r="BE47" s="222"/>
      <c r="BF47" s="231"/>
    </row>
    <row r="48" spans="2:58" ht="13" customHeight="1" x14ac:dyDescent="0.25">
      <c r="B48" s="239"/>
      <c r="C48" s="225"/>
      <c r="D48" s="225"/>
      <c r="E48" s="225"/>
      <c r="F48" s="225"/>
      <c r="G48" s="225"/>
      <c r="H48" s="225"/>
      <c r="I48" s="225"/>
      <c r="J48" s="225"/>
      <c r="K48" s="225"/>
      <c r="L48" s="226"/>
      <c r="M48" s="224"/>
      <c r="N48" s="225"/>
      <c r="O48" s="225"/>
      <c r="P48" s="225"/>
      <c r="Q48" s="225"/>
      <c r="R48" s="225"/>
      <c r="S48" s="225"/>
      <c r="T48" s="225"/>
      <c r="U48" s="225"/>
      <c r="V48" s="225"/>
      <c r="W48" s="226"/>
      <c r="X48" s="224"/>
      <c r="Y48" s="225"/>
      <c r="Z48" s="225"/>
      <c r="AA48" s="225"/>
      <c r="AB48" s="225"/>
      <c r="AC48" s="225"/>
      <c r="AD48" s="225"/>
      <c r="AE48" s="225"/>
      <c r="AF48" s="225"/>
      <c r="AG48" s="225"/>
      <c r="AH48" s="226"/>
      <c r="AI48" s="224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6"/>
      <c r="AU48" s="224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32"/>
    </row>
    <row r="49" spans="2:58" ht="13" customHeight="1" x14ac:dyDescent="0.25">
      <c r="B49" s="239"/>
      <c r="C49" s="225"/>
      <c r="D49" s="225"/>
      <c r="E49" s="225"/>
      <c r="F49" s="225"/>
      <c r="G49" s="225"/>
      <c r="H49" s="225"/>
      <c r="I49" s="225"/>
      <c r="J49" s="225"/>
      <c r="K49" s="225"/>
      <c r="L49" s="226"/>
      <c r="M49" s="224"/>
      <c r="N49" s="225"/>
      <c r="O49" s="225"/>
      <c r="P49" s="225"/>
      <c r="Q49" s="225"/>
      <c r="R49" s="225"/>
      <c r="S49" s="225"/>
      <c r="T49" s="225"/>
      <c r="U49" s="225"/>
      <c r="V49" s="225"/>
      <c r="W49" s="226"/>
      <c r="X49" s="224"/>
      <c r="Y49" s="225"/>
      <c r="Z49" s="225"/>
      <c r="AA49" s="225"/>
      <c r="AB49" s="225"/>
      <c r="AC49" s="225"/>
      <c r="AD49" s="225"/>
      <c r="AE49" s="225"/>
      <c r="AF49" s="225"/>
      <c r="AG49" s="225"/>
      <c r="AH49" s="226"/>
      <c r="AI49" s="224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6"/>
      <c r="AU49" s="224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32"/>
    </row>
    <row r="50" spans="2:58" ht="13" customHeight="1" x14ac:dyDescent="0.25">
      <c r="B50" s="239"/>
      <c r="C50" s="225"/>
      <c r="D50" s="225"/>
      <c r="E50" s="225"/>
      <c r="F50" s="225"/>
      <c r="G50" s="225"/>
      <c r="H50" s="225"/>
      <c r="I50" s="225"/>
      <c r="J50" s="225"/>
      <c r="K50" s="225"/>
      <c r="L50" s="226"/>
      <c r="M50" s="224"/>
      <c r="N50" s="225"/>
      <c r="O50" s="225"/>
      <c r="P50" s="225"/>
      <c r="Q50" s="225"/>
      <c r="R50" s="225"/>
      <c r="S50" s="225"/>
      <c r="T50" s="225"/>
      <c r="U50" s="225"/>
      <c r="V50" s="225"/>
      <c r="W50" s="226"/>
      <c r="X50" s="224"/>
      <c r="Y50" s="225"/>
      <c r="Z50" s="225"/>
      <c r="AA50" s="225"/>
      <c r="AB50" s="225"/>
      <c r="AC50" s="225"/>
      <c r="AD50" s="225"/>
      <c r="AE50" s="225"/>
      <c r="AF50" s="225"/>
      <c r="AG50" s="225"/>
      <c r="AH50" s="226"/>
      <c r="AI50" s="224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6"/>
      <c r="AU50" s="224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32"/>
    </row>
    <row r="51" spans="2:58" ht="13" customHeight="1" x14ac:dyDescent="0.25">
      <c r="B51" s="239"/>
      <c r="C51" s="225"/>
      <c r="D51" s="225"/>
      <c r="E51" s="225"/>
      <c r="F51" s="225"/>
      <c r="G51" s="225"/>
      <c r="H51" s="225"/>
      <c r="I51" s="225"/>
      <c r="J51" s="225"/>
      <c r="K51" s="225"/>
      <c r="L51" s="226"/>
      <c r="M51" s="224"/>
      <c r="N51" s="225"/>
      <c r="O51" s="225"/>
      <c r="P51" s="225"/>
      <c r="Q51" s="225"/>
      <c r="R51" s="225"/>
      <c r="S51" s="225"/>
      <c r="T51" s="225"/>
      <c r="U51" s="225"/>
      <c r="V51" s="225"/>
      <c r="W51" s="226"/>
      <c r="X51" s="224"/>
      <c r="Y51" s="225"/>
      <c r="Z51" s="225"/>
      <c r="AA51" s="225"/>
      <c r="AB51" s="225"/>
      <c r="AC51" s="225"/>
      <c r="AD51" s="225"/>
      <c r="AE51" s="225"/>
      <c r="AF51" s="225"/>
      <c r="AG51" s="225"/>
      <c r="AH51" s="226"/>
      <c r="AI51" s="224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6"/>
      <c r="AU51" s="224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32"/>
    </row>
    <row r="52" spans="2:58" ht="13" customHeight="1" x14ac:dyDescent="0.25">
      <c r="B52" s="240"/>
      <c r="C52" s="228"/>
      <c r="D52" s="228"/>
      <c r="E52" s="228"/>
      <c r="F52" s="228"/>
      <c r="G52" s="228"/>
      <c r="H52" s="228"/>
      <c r="I52" s="228"/>
      <c r="J52" s="228"/>
      <c r="K52" s="228"/>
      <c r="L52" s="185"/>
      <c r="M52" s="227"/>
      <c r="N52" s="228"/>
      <c r="O52" s="228"/>
      <c r="P52" s="228"/>
      <c r="Q52" s="228"/>
      <c r="R52" s="228"/>
      <c r="S52" s="228"/>
      <c r="T52" s="228"/>
      <c r="U52" s="228"/>
      <c r="V52" s="228"/>
      <c r="W52" s="185"/>
      <c r="X52" s="227"/>
      <c r="Y52" s="228"/>
      <c r="Z52" s="228"/>
      <c r="AA52" s="228"/>
      <c r="AB52" s="228"/>
      <c r="AC52" s="228"/>
      <c r="AD52" s="228"/>
      <c r="AE52" s="228"/>
      <c r="AF52" s="228"/>
      <c r="AG52" s="228"/>
      <c r="AH52" s="185"/>
      <c r="AI52" s="227"/>
      <c r="AJ52" s="228"/>
      <c r="AK52" s="228"/>
      <c r="AL52" s="228"/>
      <c r="AM52" s="228"/>
      <c r="AN52" s="228"/>
      <c r="AO52" s="228"/>
      <c r="AP52" s="228"/>
      <c r="AQ52" s="228"/>
      <c r="AR52" s="228"/>
      <c r="AS52" s="228"/>
      <c r="AT52" s="185"/>
      <c r="AU52" s="227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33"/>
    </row>
    <row r="53" spans="2:58" ht="13" customHeight="1" x14ac:dyDescent="0.25">
      <c r="B53" s="217" t="s">
        <v>266</v>
      </c>
      <c r="C53" s="215"/>
      <c r="D53" s="215"/>
      <c r="E53" s="215"/>
      <c r="F53" s="215"/>
      <c r="G53" s="215"/>
      <c r="H53" s="215"/>
      <c r="I53" s="215"/>
      <c r="J53" s="215"/>
      <c r="K53" s="215"/>
      <c r="L53" s="186"/>
      <c r="M53" s="220" t="s">
        <v>267</v>
      </c>
      <c r="N53" s="215"/>
      <c r="O53" s="215"/>
      <c r="P53" s="215"/>
      <c r="Q53" s="215"/>
      <c r="R53" s="215"/>
      <c r="S53" s="215"/>
      <c r="T53" s="215"/>
      <c r="U53" s="215"/>
      <c r="V53" s="215"/>
      <c r="W53" s="186"/>
      <c r="X53" s="218" t="s">
        <v>268</v>
      </c>
      <c r="Y53" s="215"/>
      <c r="Z53" s="215"/>
      <c r="AA53" s="215"/>
      <c r="AB53" s="215"/>
      <c r="AC53" s="215"/>
      <c r="AD53" s="215"/>
      <c r="AE53" s="215"/>
      <c r="AF53" s="215"/>
      <c r="AG53" s="215"/>
      <c r="AH53" s="186"/>
      <c r="AI53" s="168" t="s">
        <v>269</v>
      </c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186"/>
      <c r="AU53" s="168" t="s">
        <v>270</v>
      </c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9"/>
    </row>
    <row r="54" spans="2:58" ht="13" customHeight="1" x14ac:dyDescent="0.25">
      <c r="B54" s="238"/>
      <c r="C54" s="222"/>
      <c r="D54" s="222"/>
      <c r="E54" s="222"/>
      <c r="F54" s="222"/>
      <c r="G54" s="222"/>
      <c r="H54" s="222"/>
      <c r="I54" s="222"/>
      <c r="J54" s="222"/>
      <c r="K54" s="222"/>
      <c r="L54" s="223"/>
      <c r="M54" s="246"/>
      <c r="N54" s="222"/>
      <c r="O54" s="222"/>
      <c r="P54" s="222"/>
      <c r="Q54" s="222"/>
      <c r="R54" s="222"/>
      <c r="S54" s="222"/>
      <c r="T54" s="222"/>
      <c r="U54" s="222"/>
      <c r="V54" s="222"/>
      <c r="W54" s="223"/>
      <c r="X54" s="242"/>
      <c r="Y54" s="222"/>
      <c r="Z54" s="222"/>
      <c r="AA54" s="222"/>
      <c r="AB54" s="222"/>
      <c r="AC54" s="222"/>
      <c r="AD54" s="222"/>
      <c r="AE54" s="222"/>
      <c r="AF54" s="222"/>
      <c r="AG54" s="222"/>
      <c r="AH54" s="223"/>
      <c r="AI54" s="230"/>
      <c r="AJ54" s="222"/>
      <c r="AK54" s="222"/>
      <c r="AL54" s="222"/>
      <c r="AM54" s="222"/>
      <c r="AN54" s="222"/>
      <c r="AO54" s="222"/>
      <c r="AP54" s="222"/>
      <c r="AQ54" s="222"/>
      <c r="AR54" s="222"/>
      <c r="AS54" s="222"/>
      <c r="AT54" s="223"/>
      <c r="AU54" s="230"/>
      <c r="AV54" s="222"/>
      <c r="AW54" s="222"/>
      <c r="AX54" s="222"/>
      <c r="AY54" s="222"/>
      <c r="AZ54" s="222"/>
      <c r="BA54" s="222"/>
      <c r="BB54" s="222"/>
      <c r="BC54" s="222"/>
      <c r="BD54" s="222"/>
      <c r="BE54" s="222"/>
      <c r="BF54" s="231"/>
    </row>
    <row r="55" spans="2:58" ht="13" customHeight="1" x14ac:dyDescent="0.25">
      <c r="B55" s="239"/>
      <c r="C55" s="225"/>
      <c r="D55" s="225"/>
      <c r="E55" s="225"/>
      <c r="F55" s="225"/>
      <c r="G55" s="225"/>
      <c r="H55" s="225"/>
      <c r="I55" s="225"/>
      <c r="J55" s="225"/>
      <c r="K55" s="225"/>
      <c r="L55" s="226"/>
      <c r="M55" s="224"/>
      <c r="N55" s="225"/>
      <c r="O55" s="225"/>
      <c r="P55" s="225"/>
      <c r="Q55" s="225"/>
      <c r="R55" s="225"/>
      <c r="S55" s="225"/>
      <c r="T55" s="225"/>
      <c r="U55" s="225"/>
      <c r="V55" s="225"/>
      <c r="W55" s="226"/>
      <c r="X55" s="224"/>
      <c r="Y55" s="225"/>
      <c r="Z55" s="225"/>
      <c r="AA55" s="225"/>
      <c r="AB55" s="225"/>
      <c r="AC55" s="225"/>
      <c r="AD55" s="225"/>
      <c r="AE55" s="225"/>
      <c r="AF55" s="225"/>
      <c r="AG55" s="225"/>
      <c r="AH55" s="226"/>
      <c r="AI55" s="224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6"/>
      <c r="AU55" s="224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32"/>
    </row>
    <row r="56" spans="2:58" ht="13" customHeight="1" x14ac:dyDescent="0.25">
      <c r="B56" s="239"/>
      <c r="C56" s="225"/>
      <c r="D56" s="225"/>
      <c r="E56" s="225"/>
      <c r="F56" s="225"/>
      <c r="G56" s="225"/>
      <c r="H56" s="225"/>
      <c r="I56" s="225"/>
      <c r="J56" s="225"/>
      <c r="K56" s="225"/>
      <c r="L56" s="226"/>
      <c r="M56" s="224"/>
      <c r="N56" s="225"/>
      <c r="O56" s="225"/>
      <c r="P56" s="225"/>
      <c r="Q56" s="225"/>
      <c r="R56" s="225"/>
      <c r="S56" s="225"/>
      <c r="T56" s="225"/>
      <c r="U56" s="225"/>
      <c r="V56" s="225"/>
      <c r="W56" s="226"/>
      <c r="X56" s="224"/>
      <c r="Y56" s="225"/>
      <c r="Z56" s="225"/>
      <c r="AA56" s="225"/>
      <c r="AB56" s="225"/>
      <c r="AC56" s="225"/>
      <c r="AD56" s="225"/>
      <c r="AE56" s="225"/>
      <c r="AF56" s="225"/>
      <c r="AG56" s="225"/>
      <c r="AH56" s="226"/>
      <c r="AI56" s="224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6"/>
      <c r="AU56" s="224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32"/>
    </row>
    <row r="57" spans="2:58" ht="13" customHeight="1" x14ac:dyDescent="0.25">
      <c r="B57" s="239"/>
      <c r="C57" s="225"/>
      <c r="D57" s="225"/>
      <c r="E57" s="225"/>
      <c r="F57" s="225"/>
      <c r="G57" s="225"/>
      <c r="H57" s="225"/>
      <c r="I57" s="225"/>
      <c r="J57" s="225"/>
      <c r="K57" s="225"/>
      <c r="L57" s="226"/>
      <c r="M57" s="224"/>
      <c r="N57" s="225"/>
      <c r="O57" s="225"/>
      <c r="P57" s="225"/>
      <c r="Q57" s="225"/>
      <c r="R57" s="225"/>
      <c r="S57" s="225"/>
      <c r="T57" s="225"/>
      <c r="U57" s="225"/>
      <c r="V57" s="225"/>
      <c r="W57" s="226"/>
      <c r="X57" s="224"/>
      <c r="Y57" s="225"/>
      <c r="Z57" s="225"/>
      <c r="AA57" s="225"/>
      <c r="AB57" s="225"/>
      <c r="AC57" s="225"/>
      <c r="AD57" s="225"/>
      <c r="AE57" s="225"/>
      <c r="AF57" s="225"/>
      <c r="AG57" s="225"/>
      <c r="AH57" s="226"/>
      <c r="AI57" s="224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6"/>
      <c r="AU57" s="224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32"/>
    </row>
    <row r="58" spans="2:58" ht="13" customHeight="1" x14ac:dyDescent="0.25">
      <c r="B58" s="239"/>
      <c r="C58" s="225"/>
      <c r="D58" s="225"/>
      <c r="E58" s="225"/>
      <c r="F58" s="225"/>
      <c r="G58" s="225"/>
      <c r="H58" s="225"/>
      <c r="I58" s="225"/>
      <c r="J58" s="225"/>
      <c r="K58" s="225"/>
      <c r="L58" s="226"/>
      <c r="M58" s="224"/>
      <c r="N58" s="225"/>
      <c r="O58" s="225"/>
      <c r="P58" s="225"/>
      <c r="Q58" s="225"/>
      <c r="R58" s="225"/>
      <c r="S58" s="225"/>
      <c r="T58" s="225"/>
      <c r="U58" s="225"/>
      <c r="V58" s="225"/>
      <c r="W58" s="226"/>
      <c r="X58" s="224"/>
      <c r="Y58" s="225"/>
      <c r="Z58" s="225"/>
      <c r="AA58" s="225"/>
      <c r="AB58" s="225"/>
      <c r="AC58" s="225"/>
      <c r="AD58" s="225"/>
      <c r="AE58" s="225"/>
      <c r="AF58" s="225"/>
      <c r="AG58" s="225"/>
      <c r="AH58" s="226"/>
      <c r="AI58" s="224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6"/>
      <c r="AU58" s="224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32"/>
    </row>
    <row r="59" spans="2:58" ht="13" customHeight="1" x14ac:dyDescent="0.25">
      <c r="B59" s="243"/>
      <c r="C59" s="244"/>
      <c r="D59" s="244"/>
      <c r="E59" s="244"/>
      <c r="F59" s="244"/>
      <c r="G59" s="244"/>
      <c r="H59" s="244"/>
      <c r="I59" s="244"/>
      <c r="J59" s="244"/>
      <c r="K59" s="244"/>
      <c r="L59" s="245"/>
      <c r="M59" s="247"/>
      <c r="N59" s="244"/>
      <c r="O59" s="244"/>
      <c r="P59" s="244"/>
      <c r="Q59" s="244"/>
      <c r="R59" s="244"/>
      <c r="S59" s="244"/>
      <c r="T59" s="244"/>
      <c r="U59" s="244"/>
      <c r="V59" s="244"/>
      <c r="W59" s="245"/>
      <c r="X59" s="247"/>
      <c r="Y59" s="244"/>
      <c r="Z59" s="244"/>
      <c r="AA59" s="244"/>
      <c r="AB59" s="244"/>
      <c r="AC59" s="244"/>
      <c r="AD59" s="244"/>
      <c r="AE59" s="244"/>
      <c r="AF59" s="244"/>
      <c r="AG59" s="244"/>
      <c r="AH59" s="245"/>
      <c r="AI59" s="247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5"/>
      <c r="AU59" s="247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8"/>
    </row>
    <row r="60" spans="2:58" ht="13" customHeight="1" x14ac:dyDescent="0.25">
      <c r="B60" s="184" t="s">
        <v>471</v>
      </c>
      <c r="C60" s="185"/>
      <c r="D60" s="9" t="s">
        <v>19</v>
      </c>
      <c r="E60" s="161" t="s">
        <v>20</v>
      </c>
      <c r="F60" s="164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6"/>
      <c r="AP60" s="166"/>
      <c r="AQ60" s="166"/>
      <c r="AR60" s="166"/>
      <c r="AS60" s="166"/>
      <c r="AT60" s="166"/>
      <c r="AU60" s="166"/>
      <c r="AV60" s="166"/>
      <c r="AW60" s="166"/>
      <c r="AX60" s="166"/>
      <c r="AY60" s="166"/>
      <c r="AZ60" s="166"/>
      <c r="BA60" s="166"/>
      <c r="BB60" s="166"/>
      <c r="BC60" s="166"/>
      <c r="BD60" s="166"/>
      <c r="BE60" s="166"/>
      <c r="BF60" s="167"/>
    </row>
    <row r="61" spans="2:58" ht="13" customHeight="1" x14ac:dyDescent="0.25">
      <c r="B61" s="160" t="s">
        <v>226</v>
      </c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9"/>
    </row>
    <row r="62" spans="2:58" ht="13" customHeight="1" thickBot="1" x14ac:dyDescent="0.3">
      <c r="B62" s="172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170"/>
      <c r="BB62" s="170"/>
      <c r="BC62" s="170"/>
      <c r="BD62" s="170"/>
      <c r="BE62" s="170"/>
      <c r="BF62" s="17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7" t="s">
        <v>227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</row>
    <row r="3" spans="2:47" ht="20.15" customHeight="1" x14ac:dyDescent="0.25">
      <c r="B3" s="189" t="s">
        <v>181</v>
      </c>
      <c r="C3" s="147" t="s">
        <v>163</v>
      </c>
      <c r="D3" s="197"/>
      <c r="E3" s="197"/>
      <c r="F3" s="197"/>
      <c r="G3" s="197"/>
      <c r="H3" s="198"/>
      <c r="I3" s="201" t="s">
        <v>8</v>
      </c>
      <c r="J3" s="197"/>
      <c r="K3" s="197"/>
      <c r="L3" s="197"/>
      <c r="M3" s="197"/>
      <c r="N3" s="197"/>
      <c r="O3" s="197"/>
      <c r="P3" s="202"/>
      <c r="Q3" s="147" t="s">
        <v>77</v>
      </c>
      <c r="R3" s="197"/>
      <c r="S3" s="202"/>
      <c r="T3" s="147" t="s">
        <v>10</v>
      </c>
      <c r="U3" s="197"/>
      <c r="V3" s="197"/>
      <c r="W3" s="202"/>
      <c r="X3" s="147" t="s">
        <v>80</v>
      </c>
      <c r="Y3" s="148"/>
      <c r="Z3" s="147" t="s">
        <v>11</v>
      </c>
      <c r="AA3" s="148"/>
      <c r="AB3" s="13" t="s">
        <v>13</v>
      </c>
      <c r="AC3" s="147" t="s">
        <v>14</v>
      </c>
      <c r="AD3" s="148"/>
      <c r="AE3" s="151" t="s">
        <v>88</v>
      </c>
      <c r="AF3" s="152"/>
      <c r="AG3" s="152"/>
      <c r="AH3" s="152"/>
      <c r="AI3" s="152"/>
      <c r="AJ3" s="152"/>
      <c r="AK3" s="153"/>
      <c r="AL3" s="147" t="s">
        <v>18</v>
      </c>
      <c r="AM3" s="193"/>
      <c r="AN3" s="194"/>
      <c r="AO3" s="193" t="s">
        <v>16</v>
      </c>
      <c r="AP3" s="193"/>
      <c r="AQ3" s="193"/>
      <c r="AR3" s="196"/>
    </row>
    <row r="4" spans="2:47" ht="30" customHeight="1" x14ac:dyDescent="0.25">
      <c r="B4" s="190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9" t="s">
        <v>62</v>
      </c>
      <c r="J4" s="200"/>
      <c r="K4" s="3" t="s">
        <v>6</v>
      </c>
      <c r="L4" s="3" t="s">
        <v>66</v>
      </c>
      <c r="M4" s="3" t="s">
        <v>164</v>
      </c>
      <c r="N4" s="3" t="s">
        <v>165</v>
      </c>
      <c r="O4" s="154" t="s">
        <v>7</v>
      </c>
      <c r="P4" s="155"/>
      <c r="Q4" s="192" t="s">
        <v>71</v>
      </c>
      <c r="R4" s="155"/>
      <c r="S4" s="3" t="s">
        <v>51</v>
      </c>
      <c r="T4" s="3" t="s">
        <v>75</v>
      </c>
      <c r="U4" s="192" t="s">
        <v>78</v>
      </c>
      <c r="V4" s="155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9" t="s">
        <v>89</v>
      </c>
      <c r="AF4" s="150"/>
      <c r="AG4" s="149" t="s">
        <v>92</v>
      </c>
      <c r="AH4" s="150"/>
      <c r="AI4" s="10" t="s">
        <v>166</v>
      </c>
      <c r="AJ4" s="10" t="s">
        <v>167</v>
      </c>
      <c r="AK4" s="11" t="s">
        <v>115</v>
      </c>
      <c r="AL4" s="192" t="s">
        <v>110</v>
      </c>
      <c r="AM4" s="155"/>
      <c r="AN4" s="29" t="s">
        <v>111</v>
      </c>
      <c r="AO4" s="26" t="s">
        <v>12</v>
      </c>
      <c r="AP4" s="3" t="s">
        <v>1</v>
      </c>
      <c r="AQ4" s="168" t="s">
        <v>161</v>
      </c>
      <c r="AR4" s="195"/>
      <c r="AU4" s="20"/>
    </row>
    <row r="5" spans="2:47" ht="20.15" customHeight="1" x14ac:dyDescent="0.25">
      <c r="B5" s="191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408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91"/>
      <c r="D6" s="91"/>
      <c r="E6" s="91"/>
      <c r="F6" s="91"/>
      <c r="G6" s="91"/>
      <c r="H6" s="92"/>
      <c r="I6" s="93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 t="s">
        <v>4</v>
      </c>
      <c r="Z6" s="91"/>
      <c r="AA6" s="91"/>
      <c r="AB6" s="91"/>
      <c r="AC6" s="91"/>
      <c r="AD6" s="91"/>
      <c r="AE6" s="94"/>
      <c r="AF6" s="94"/>
      <c r="AG6" s="94"/>
      <c r="AH6" s="94"/>
      <c r="AI6" s="94"/>
      <c r="AJ6" s="94"/>
      <c r="AK6" s="94"/>
      <c r="AL6" s="91"/>
      <c r="AM6" s="95"/>
      <c r="AN6" s="96"/>
      <c r="AO6" s="97"/>
      <c r="AP6" s="98"/>
      <c r="AQ6" s="98"/>
      <c r="AR6" s="99"/>
    </row>
    <row r="7" spans="2:47" ht="13.5" customHeight="1" x14ac:dyDescent="0.25">
      <c r="B7" s="14">
        <v>0.875</v>
      </c>
      <c r="C7" s="91"/>
      <c r="D7" s="91"/>
      <c r="E7" s="91"/>
      <c r="F7" s="91"/>
      <c r="G7" s="91"/>
      <c r="H7" s="92"/>
      <c r="I7" s="93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 t="s">
        <v>82</v>
      </c>
      <c r="Z7" s="91"/>
      <c r="AA7" s="91"/>
      <c r="AB7" s="91"/>
      <c r="AC7" s="91"/>
      <c r="AD7" s="91"/>
      <c r="AE7" s="94"/>
      <c r="AF7" s="94"/>
      <c r="AG7" s="94"/>
      <c r="AH7" s="94"/>
      <c r="AI7" s="94"/>
      <c r="AJ7" s="94"/>
      <c r="AK7" s="94"/>
      <c r="AL7" s="91"/>
      <c r="AM7" s="95"/>
      <c r="AN7" s="96"/>
      <c r="AO7" s="97"/>
      <c r="AP7" s="98"/>
      <c r="AQ7" s="98"/>
      <c r="AR7" s="99"/>
    </row>
    <row r="8" spans="2:47" ht="13.5" customHeight="1" x14ac:dyDescent="0.25">
      <c r="B8" s="41" t="s">
        <v>271</v>
      </c>
      <c r="C8" s="91"/>
      <c r="D8" s="91"/>
      <c r="E8" s="91"/>
      <c r="F8" s="91"/>
      <c r="G8" s="91"/>
      <c r="H8" s="92"/>
      <c r="I8" s="93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 t="s">
        <v>82</v>
      </c>
      <c r="Z8" s="91"/>
      <c r="AA8" s="91"/>
      <c r="AB8" s="91"/>
      <c r="AC8" s="91"/>
      <c r="AD8" s="91"/>
      <c r="AE8" s="94"/>
      <c r="AF8" s="94"/>
      <c r="AG8" s="94"/>
      <c r="AH8" s="94"/>
      <c r="AI8" s="94"/>
      <c r="AJ8" s="94"/>
      <c r="AK8" s="94"/>
      <c r="AL8" s="91"/>
      <c r="AM8" s="95"/>
      <c r="AN8" s="96"/>
      <c r="AO8" s="97"/>
      <c r="AP8" s="98"/>
      <c r="AQ8" s="98"/>
      <c r="AR8" s="99"/>
    </row>
    <row r="9" spans="2:47" ht="13.5" customHeight="1" x14ac:dyDescent="0.25">
      <c r="B9" s="14">
        <v>0.95833333333333337</v>
      </c>
      <c r="C9" s="91"/>
      <c r="D9" s="91"/>
      <c r="E9" s="91"/>
      <c r="F9" s="91"/>
      <c r="G9" s="91"/>
      <c r="H9" s="92"/>
      <c r="I9" s="93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 t="s">
        <v>82</v>
      </c>
      <c r="Z9" s="91"/>
      <c r="AA9" s="91"/>
      <c r="AB9" s="91"/>
      <c r="AC9" s="91"/>
      <c r="AD9" s="91"/>
      <c r="AE9" s="94"/>
      <c r="AF9" s="94"/>
      <c r="AG9" s="94"/>
      <c r="AH9" s="94"/>
      <c r="AI9" s="94"/>
      <c r="AJ9" s="94"/>
      <c r="AK9" s="94"/>
      <c r="AL9" s="91"/>
      <c r="AM9" s="95"/>
      <c r="AN9" s="96"/>
      <c r="AO9" s="97"/>
      <c r="AP9" s="98"/>
      <c r="AQ9" s="98"/>
      <c r="AR9" s="99"/>
    </row>
    <row r="10" spans="2:47" ht="13.5" customHeight="1" x14ac:dyDescent="0.25">
      <c r="B10" s="41" t="s">
        <v>272</v>
      </c>
      <c r="C10" s="91"/>
      <c r="D10" s="91"/>
      <c r="E10" s="91"/>
      <c r="F10" s="91"/>
      <c r="G10" s="91"/>
      <c r="H10" s="92"/>
      <c r="I10" s="93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 t="s">
        <v>82</v>
      </c>
      <c r="Z10" s="91"/>
      <c r="AA10" s="91"/>
      <c r="AB10" s="91"/>
      <c r="AC10" s="91"/>
      <c r="AD10" s="91"/>
      <c r="AE10" s="94"/>
      <c r="AF10" s="94"/>
      <c r="AG10" s="94"/>
      <c r="AH10" s="94"/>
      <c r="AI10" s="94"/>
      <c r="AJ10" s="94"/>
      <c r="AK10" s="94"/>
      <c r="AL10" s="91"/>
      <c r="AM10" s="95"/>
      <c r="AN10" s="96"/>
      <c r="AO10" s="97"/>
      <c r="AP10" s="98"/>
      <c r="AQ10" s="98"/>
      <c r="AR10" s="99"/>
    </row>
    <row r="11" spans="2:47" ht="13.5" customHeight="1" x14ac:dyDescent="0.25">
      <c r="B11" s="14">
        <v>4.1666666666666664E-2</v>
      </c>
      <c r="C11" s="91"/>
      <c r="D11" s="91"/>
      <c r="E11" s="91"/>
      <c r="F11" s="91"/>
      <c r="G11" s="91"/>
      <c r="H11" s="92"/>
      <c r="I11" s="93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 t="s">
        <v>82</v>
      </c>
      <c r="Z11" s="91"/>
      <c r="AA11" s="91"/>
      <c r="AB11" s="91"/>
      <c r="AC11" s="91"/>
      <c r="AD11" s="91"/>
      <c r="AE11" s="94"/>
      <c r="AF11" s="94"/>
      <c r="AG11" s="94"/>
      <c r="AH11" s="94"/>
      <c r="AI11" s="94"/>
      <c r="AJ11" s="94"/>
      <c r="AK11" s="94"/>
      <c r="AL11" s="91"/>
      <c r="AM11" s="95"/>
      <c r="AN11" s="96"/>
      <c r="AO11" s="97"/>
      <c r="AP11" s="98"/>
      <c r="AQ11" s="98"/>
      <c r="AR11" s="99"/>
    </row>
    <row r="12" spans="2:47" ht="13.5" customHeight="1" x14ac:dyDescent="0.25">
      <c r="B12" s="41" t="s">
        <v>273</v>
      </c>
      <c r="C12" s="91"/>
      <c r="D12" s="91"/>
      <c r="E12" s="91"/>
      <c r="F12" s="91"/>
      <c r="G12" s="91"/>
      <c r="H12" s="92"/>
      <c r="I12" s="93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 t="s">
        <v>82</v>
      </c>
      <c r="Z12" s="91"/>
      <c r="AA12" s="91"/>
      <c r="AB12" s="91"/>
      <c r="AC12" s="91"/>
      <c r="AD12" s="91"/>
      <c r="AE12" s="94"/>
      <c r="AF12" s="94"/>
      <c r="AG12" s="94"/>
      <c r="AH12" s="94"/>
      <c r="AI12" s="94"/>
      <c r="AJ12" s="94"/>
      <c r="AK12" s="94"/>
      <c r="AL12" s="91"/>
      <c r="AM12" s="95"/>
      <c r="AN12" s="96"/>
      <c r="AO12" s="97"/>
      <c r="AP12" s="98"/>
      <c r="AQ12" s="98"/>
      <c r="AR12" s="99"/>
    </row>
    <row r="13" spans="2:47" ht="13.5" customHeight="1" x14ac:dyDescent="0.25">
      <c r="B13" s="14">
        <v>0.125</v>
      </c>
      <c r="C13" s="91"/>
      <c r="D13" s="91"/>
      <c r="E13" s="91"/>
      <c r="F13" s="91"/>
      <c r="G13" s="91"/>
      <c r="H13" s="92"/>
      <c r="I13" s="93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 t="s">
        <v>82</v>
      </c>
      <c r="Z13" s="91"/>
      <c r="AA13" s="91"/>
      <c r="AB13" s="91"/>
      <c r="AC13" s="91"/>
      <c r="AD13" s="91"/>
      <c r="AE13" s="94"/>
      <c r="AF13" s="94"/>
      <c r="AG13" s="94"/>
      <c r="AH13" s="94"/>
      <c r="AI13" s="94"/>
      <c r="AJ13" s="94"/>
      <c r="AK13" s="94"/>
      <c r="AL13" s="91"/>
      <c r="AM13" s="95"/>
      <c r="AN13" s="96"/>
      <c r="AO13" s="97"/>
      <c r="AP13" s="98"/>
      <c r="AQ13" s="98"/>
      <c r="AR13" s="99"/>
    </row>
    <row r="14" spans="2:47" ht="13.5" customHeight="1" x14ac:dyDescent="0.25">
      <c r="B14" s="14">
        <v>0.16666666666666666</v>
      </c>
      <c r="C14" s="91"/>
      <c r="D14" s="91"/>
      <c r="E14" s="91"/>
      <c r="F14" s="91"/>
      <c r="G14" s="91"/>
      <c r="H14" s="92"/>
      <c r="I14" s="93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 t="s">
        <v>82</v>
      </c>
      <c r="Z14" s="91"/>
      <c r="AA14" s="91"/>
      <c r="AB14" s="91"/>
      <c r="AC14" s="91"/>
      <c r="AD14" s="91"/>
      <c r="AE14" s="94"/>
      <c r="AF14" s="94"/>
      <c r="AG14" s="94"/>
      <c r="AH14" s="94"/>
      <c r="AI14" s="94"/>
      <c r="AJ14" s="94"/>
      <c r="AK14" s="94"/>
      <c r="AL14" s="91"/>
      <c r="AM14" s="95"/>
      <c r="AN14" s="96"/>
      <c r="AO14" s="97"/>
      <c r="AP14" s="98"/>
      <c r="AQ14" s="98"/>
      <c r="AR14" s="99"/>
    </row>
    <row r="15" spans="2:47" ht="13.5" customHeight="1" x14ac:dyDescent="0.25">
      <c r="B15" s="14">
        <v>0.20833333333333334</v>
      </c>
      <c r="C15" s="91"/>
      <c r="D15" s="91"/>
      <c r="E15" s="91"/>
      <c r="F15" s="91"/>
      <c r="G15" s="91"/>
      <c r="H15" s="92"/>
      <c r="I15" s="93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 t="s">
        <v>82</v>
      </c>
      <c r="Z15" s="91"/>
      <c r="AA15" s="91"/>
      <c r="AB15" s="91"/>
      <c r="AC15" s="91"/>
      <c r="AD15" s="91"/>
      <c r="AE15" s="94"/>
      <c r="AF15" s="94"/>
      <c r="AG15" s="94"/>
      <c r="AH15" s="94"/>
      <c r="AI15" s="94"/>
      <c r="AJ15" s="94"/>
      <c r="AK15" s="94"/>
      <c r="AL15" s="91"/>
      <c r="AM15" s="95"/>
      <c r="AN15" s="96"/>
      <c r="AO15" s="97"/>
      <c r="AP15" s="98"/>
      <c r="AQ15" s="98"/>
      <c r="AR15" s="99"/>
    </row>
    <row r="16" spans="2:47" ht="13.5" customHeight="1" x14ac:dyDescent="0.25">
      <c r="B16" s="14">
        <v>0.25</v>
      </c>
      <c r="C16" s="91"/>
      <c r="D16" s="91"/>
      <c r="E16" s="91"/>
      <c r="F16" s="91"/>
      <c r="G16" s="91"/>
      <c r="H16" s="92"/>
      <c r="I16" s="93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 t="s">
        <v>82</v>
      </c>
      <c r="Z16" s="91"/>
      <c r="AA16" s="91"/>
      <c r="AB16" s="91"/>
      <c r="AC16" s="91"/>
      <c r="AD16" s="91"/>
      <c r="AE16" s="94"/>
      <c r="AF16" s="94"/>
      <c r="AG16" s="94"/>
      <c r="AH16" s="94"/>
      <c r="AI16" s="94"/>
      <c r="AJ16" s="94"/>
      <c r="AK16" s="94"/>
      <c r="AL16" s="91"/>
      <c r="AM16" s="95"/>
      <c r="AN16" s="96"/>
      <c r="AO16" s="97"/>
      <c r="AP16" s="98"/>
      <c r="AQ16" s="98"/>
      <c r="AR16" s="99"/>
    </row>
    <row r="17" spans="2:44" ht="13.5" customHeight="1" x14ac:dyDescent="0.25">
      <c r="B17" s="14">
        <v>0.29166666666666669</v>
      </c>
      <c r="C17" s="91"/>
      <c r="D17" s="91"/>
      <c r="E17" s="91"/>
      <c r="F17" s="91"/>
      <c r="G17" s="91"/>
      <c r="H17" s="92"/>
      <c r="I17" s="93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 t="s">
        <v>82</v>
      </c>
      <c r="Z17" s="91"/>
      <c r="AA17" s="91"/>
      <c r="AB17" s="91"/>
      <c r="AC17" s="91"/>
      <c r="AD17" s="91"/>
      <c r="AE17" s="94"/>
      <c r="AF17" s="94"/>
      <c r="AG17" s="94"/>
      <c r="AH17" s="94"/>
      <c r="AI17" s="94"/>
      <c r="AJ17" s="94"/>
      <c r="AK17" s="94"/>
      <c r="AL17" s="91"/>
      <c r="AM17" s="95"/>
      <c r="AN17" s="96"/>
      <c r="AO17" s="97"/>
      <c r="AP17" s="98"/>
      <c r="AQ17" s="98"/>
      <c r="AR17" s="99"/>
    </row>
    <row r="18" spans="2:44" ht="13.5" customHeight="1" x14ac:dyDescent="0.25">
      <c r="B18" s="42">
        <v>0.33333333333333331</v>
      </c>
      <c r="C18" s="100"/>
      <c r="D18" s="100"/>
      <c r="E18" s="100"/>
      <c r="F18" s="100"/>
      <c r="G18" s="100"/>
      <c r="H18" s="101"/>
      <c r="I18" s="102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3"/>
      <c r="AF18" s="103"/>
      <c r="AG18" s="103"/>
      <c r="AH18" s="103"/>
      <c r="AI18" s="103"/>
      <c r="AJ18" s="103"/>
      <c r="AK18" s="103"/>
      <c r="AL18" s="100"/>
      <c r="AM18" s="104"/>
      <c r="AN18" s="105"/>
      <c r="AO18" s="97"/>
      <c r="AP18" s="98"/>
      <c r="AQ18" s="98"/>
      <c r="AR18" s="106"/>
    </row>
    <row r="19" spans="2:44" ht="18" customHeight="1" x14ac:dyDescent="0.25">
      <c r="B19" s="159" t="s">
        <v>181</v>
      </c>
      <c r="C19" s="36" t="s">
        <v>168</v>
      </c>
      <c r="D19" s="36" t="s">
        <v>171</v>
      </c>
      <c r="E19" s="174" t="s">
        <v>17</v>
      </c>
      <c r="F19" s="175"/>
      <c r="G19" s="176"/>
      <c r="H19" s="177" t="s">
        <v>108</v>
      </c>
      <c r="I19" s="175"/>
      <c r="J19" s="175"/>
      <c r="K19" s="175"/>
      <c r="L19" s="178"/>
      <c r="M19" s="179" t="s">
        <v>123</v>
      </c>
      <c r="N19" s="175"/>
      <c r="O19" s="175"/>
      <c r="P19" s="175"/>
      <c r="Q19" s="176"/>
      <c r="R19" s="177" t="s">
        <v>147</v>
      </c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6"/>
      <c r="AG19" s="180" t="s">
        <v>24</v>
      </c>
      <c r="AH19" s="176"/>
      <c r="AI19" s="156" t="s">
        <v>173</v>
      </c>
      <c r="AJ19" s="157"/>
      <c r="AK19" s="157"/>
      <c r="AL19" s="157"/>
      <c r="AM19" s="158"/>
      <c r="AN19" s="180" t="s">
        <v>47</v>
      </c>
      <c r="AO19" s="181"/>
      <c r="AP19" s="175" t="s">
        <v>180</v>
      </c>
      <c r="AQ19" s="182"/>
      <c r="AR19" s="183"/>
    </row>
    <row r="20" spans="2:44" ht="20.15" customHeight="1" x14ac:dyDescent="0.25">
      <c r="B20" s="160"/>
      <c r="C20" s="3" t="s">
        <v>169</v>
      </c>
      <c r="D20" s="3" t="s">
        <v>113</v>
      </c>
      <c r="E20" s="3" t="s">
        <v>15</v>
      </c>
      <c r="F20" s="154" t="s">
        <v>100</v>
      </c>
      <c r="G20" s="155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68" t="s">
        <v>148</v>
      </c>
      <c r="AE20" s="155"/>
      <c r="AF20" s="17" t="s">
        <v>151</v>
      </c>
      <c r="AG20" s="17" t="s">
        <v>153</v>
      </c>
      <c r="AH20" s="17" t="s">
        <v>155</v>
      </c>
      <c r="AI20" s="149" t="s">
        <v>89</v>
      </c>
      <c r="AJ20" s="150"/>
      <c r="AK20" s="149" t="s">
        <v>92</v>
      </c>
      <c r="AL20" s="150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0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91"/>
      <c r="D22" s="91"/>
      <c r="E22" s="91"/>
      <c r="F22" s="91"/>
      <c r="G22" s="91"/>
      <c r="H22" s="91"/>
      <c r="I22" s="91"/>
      <c r="J22" s="91"/>
      <c r="K22" s="91"/>
      <c r="L22" s="92"/>
      <c r="M22" s="107"/>
      <c r="N22" s="91"/>
      <c r="O22" s="91"/>
      <c r="P22" s="91"/>
      <c r="Q22" s="91"/>
      <c r="R22" s="91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95"/>
      <c r="AD22" s="95"/>
      <c r="AE22" s="95"/>
      <c r="AF22" s="95"/>
      <c r="AG22" s="95"/>
      <c r="AH22" s="95"/>
      <c r="AI22" s="109"/>
      <c r="AJ22" s="109"/>
      <c r="AK22" s="109"/>
      <c r="AL22" s="109"/>
      <c r="AM22" s="109"/>
      <c r="AN22" s="95"/>
      <c r="AO22" s="96"/>
      <c r="AP22" s="97"/>
      <c r="AQ22" s="98"/>
      <c r="AR22" s="99"/>
    </row>
    <row r="23" spans="2:44" ht="13.5" customHeight="1" x14ac:dyDescent="0.25">
      <c r="B23" s="14">
        <v>0.875</v>
      </c>
      <c r="C23" s="91"/>
      <c r="D23" s="91"/>
      <c r="E23" s="91"/>
      <c r="F23" s="91"/>
      <c r="G23" s="91"/>
      <c r="H23" s="91"/>
      <c r="I23" s="91"/>
      <c r="J23" s="91"/>
      <c r="K23" s="91"/>
      <c r="L23" s="92"/>
      <c r="M23" s="107"/>
      <c r="N23" s="91"/>
      <c r="O23" s="91"/>
      <c r="P23" s="91"/>
      <c r="Q23" s="91"/>
      <c r="R23" s="91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95"/>
      <c r="AD23" s="95"/>
      <c r="AE23" s="95"/>
      <c r="AF23" s="95"/>
      <c r="AG23" s="95"/>
      <c r="AH23" s="95"/>
      <c r="AI23" s="109"/>
      <c r="AJ23" s="109"/>
      <c r="AK23" s="109"/>
      <c r="AL23" s="109"/>
      <c r="AM23" s="109"/>
      <c r="AN23" s="95"/>
      <c r="AO23" s="96"/>
      <c r="AP23" s="97"/>
      <c r="AQ23" s="98"/>
      <c r="AR23" s="99"/>
    </row>
    <row r="24" spans="2:44" ht="13.5" customHeight="1" x14ac:dyDescent="0.25">
      <c r="B24" s="41" t="s">
        <v>271</v>
      </c>
      <c r="C24" s="91"/>
      <c r="D24" s="91"/>
      <c r="E24" s="91"/>
      <c r="F24" s="91"/>
      <c r="G24" s="91"/>
      <c r="H24" s="91"/>
      <c r="I24" s="91"/>
      <c r="J24" s="91"/>
      <c r="K24" s="91"/>
      <c r="L24" s="92"/>
      <c r="M24" s="107"/>
      <c r="N24" s="91"/>
      <c r="O24" s="91"/>
      <c r="P24" s="91"/>
      <c r="Q24" s="91"/>
      <c r="R24" s="91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95"/>
      <c r="AD24" s="95"/>
      <c r="AE24" s="95"/>
      <c r="AF24" s="95"/>
      <c r="AG24" s="95"/>
      <c r="AH24" s="95"/>
      <c r="AI24" s="109"/>
      <c r="AJ24" s="109"/>
      <c r="AK24" s="109"/>
      <c r="AL24" s="109"/>
      <c r="AM24" s="109"/>
      <c r="AN24" s="95"/>
      <c r="AO24" s="96"/>
      <c r="AP24" s="97"/>
      <c r="AQ24" s="98"/>
      <c r="AR24" s="99"/>
    </row>
    <row r="25" spans="2:44" ht="13.5" customHeight="1" x14ac:dyDescent="0.25">
      <c r="B25" s="14">
        <v>0.95833333333333337</v>
      </c>
      <c r="C25" s="91"/>
      <c r="D25" s="91"/>
      <c r="E25" s="91"/>
      <c r="F25" s="91"/>
      <c r="G25" s="91"/>
      <c r="H25" s="91"/>
      <c r="I25" s="91"/>
      <c r="J25" s="91"/>
      <c r="K25" s="91"/>
      <c r="L25" s="92"/>
      <c r="M25" s="107"/>
      <c r="N25" s="91"/>
      <c r="O25" s="91"/>
      <c r="P25" s="91"/>
      <c r="Q25" s="91"/>
      <c r="R25" s="91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95"/>
      <c r="AD25" s="95"/>
      <c r="AE25" s="95"/>
      <c r="AF25" s="95"/>
      <c r="AG25" s="95"/>
      <c r="AH25" s="95"/>
      <c r="AI25" s="109"/>
      <c r="AJ25" s="109"/>
      <c r="AK25" s="109"/>
      <c r="AL25" s="109"/>
      <c r="AM25" s="109"/>
      <c r="AN25" s="95"/>
      <c r="AO25" s="96"/>
      <c r="AP25" s="97"/>
      <c r="AQ25" s="98"/>
      <c r="AR25" s="99"/>
    </row>
    <row r="26" spans="2:44" ht="13.5" customHeight="1" x14ac:dyDescent="0.25">
      <c r="B26" s="41" t="s">
        <v>272</v>
      </c>
      <c r="C26" s="91"/>
      <c r="D26" s="91"/>
      <c r="E26" s="91"/>
      <c r="F26" s="91"/>
      <c r="G26" s="91"/>
      <c r="H26" s="91"/>
      <c r="I26" s="91"/>
      <c r="J26" s="91"/>
      <c r="K26" s="91"/>
      <c r="L26" s="92"/>
      <c r="M26" s="107"/>
      <c r="N26" s="91"/>
      <c r="O26" s="91"/>
      <c r="P26" s="91"/>
      <c r="Q26" s="91"/>
      <c r="R26" s="91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95"/>
      <c r="AD26" s="95"/>
      <c r="AE26" s="95"/>
      <c r="AF26" s="95"/>
      <c r="AG26" s="95"/>
      <c r="AH26" s="95"/>
      <c r="AI26" s="109"/>
      <c r="AJ26" s="109"/>
      <c r="AK26" s="109"/>
      <c r="AL26" s="109"/>
      <c r="AM26" s="109"/>
      <c r="AN26" s="95"/>
      <c r="AO26" s="96"/>
      <c r="AP26" s="97"/>
      <c r="AQ26" s="98"/>
      <c r="AR26" s="99"/>
    </row>
    <row r="27" spans="2:44" ht="13.5" customHeight="1" x14ac:dyDescent="0.25">
      <c r="B27" s="14">
        <v>4.1666666666666664E-2</v>
      </c>
      <c r="C27" s="91"/>
      <c r="D27" s="91"/>
      <c r="E27" s="91"/>
      <c r="F27" s="91"/>
      <c r="G27" s="91"/>
      <c r="H27" s="91"/>
      <c r="I27" s="91"/>
      <c r="J27" s="91"/>
      <c r="K27" s="91"/>
      <c r="L27" s="92"/>
      <c r="M27" s="107"/>
      <c r="N27" s="91"/>
      <c r="O27" s="91"/>
      <c r="P27" s="91"/>
      <c r="Q27" s="91"/>
      <c r="R27" s="91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95"/>
      <c r="AD27" s="95"/>
      <c r="AE27" s="95"/>
      <c r="AF27" s="95"/>
      <c r="AG27" s="95"/>
      <c r="AH27" s="95"/>
      <c r="AI27" s="109"/>
      <c r="AJ27" s="109"/>
      <c r="AK27" s="109"/>
      <c r="AL27" s="109"/>
      <c r="AM27" s="109"/>
      <c r="AN27" s="95"/>
      <c r="AO27" s="96"/>
      <c r="AP27" s="97"/>
      <c r="AQ27" s="98"/>
      <c r="AR27" s="99"/>
    </row>
    <row r="28" spans="2:44" ht="13.5" customHeight="1" x14ac:dyDescent="0.25">
      <c r="B28" s="41" t="s">
        <v>273</v>
      </c>
      <c r="C28" s="91"/>
      <c r="D28" s="91"/>
      <c r="E28" s="91"/>
      <c r="F28" s="91"/>
      <c r="G28" s="91"/>
      <c r="H28" s="91"/>
      <c r="I28" s="91"/>
      <c r="J28" s="91"/>
      <c r="K28" s="91"/>
      <c r="L28" s="92"/>
      <c r="M28" s="107"/>
      <c r="N28" s="91"/>
      <c r="O28" s="91"/>
      <c r="P28" s="91"/>
      <c r="Q28" s="91"/>
      <c r="R28" s="91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95"/>
      <c r="AD28" s="95"/>
      <c r="AE28" s="95"/>
      <c r="AF28" s="95"/>
      <c r="AG28" s="95"/>
      <c r="AH28" s="95"/>
      <c r="AI28" s="109"/>
      <c r="AJ28" s="109"/>
      <c r="AK28" s="109"/>
      <c r="AL28" s="109"/>
      <c r="AM28" s="109"/>
      <c r="AN28" s="95"/>
      <c r="AO28" s="96"/>
      <c r="AP28" s="97"/>
      <c r="AQ28" s="98"/>
      <c r="AR28" s="99"/>
    </row>
    <row r="29" spans="2:44" ht="13.5" customHeight="1" x14ac:dyDescent="0.25">
      <c r="B29" s="14">
        <v>0.125</v>
      </c>
      <c r="C29" s="91"/>
      <c r="D29" s="91"/>
      <c r="E29" s="91"/>
      <c r="F29" s="91"/>
      <c r="G29" s="91"/>
      <c r="H29" s="91"/>
      <c r="I29" s="91"/>
      <c r="J29" s="91"/>
      <c r="K29" s="91"/>
      <c r="L29" s="92"/>
      <c r="M29" s="107"/>
      <c r="N29" s="91"/>
      <c r="O29" s="91"/>
      <c r="P29" s="91"/>
      <c r="Q29" s="91"/>
      <c r="R29" s="91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95"/>
      <c r="AD29" s="95"/>
      <c r="AE29" s="95"/>
      <c r="AF29" s="95"/>
      <c r="AG29" s="95"/>
      <c r="AH29" s="95"/>
      <c r="AI29" s="109"/>
      <c r="AJ29" s="109"/>
      <c r="AK29" s="109"/>
      <c r="AL29" s="109"/>
      <c r="AM29" s="109"/>
      <c r="AN29" s="95"/>
      <c r="AO29" s="96"/>
      <c r="AP29" s="97"/>
      <c r="AQ29" s="98"/>
      <c r="AR29" s="99"/>
    </row>
    <row r="30" spans="2:44" ht="13.5" customHeight="1" x14ac:dyDescent="0.25">
      <c r="B30" s="14">
        <v>0.16666666666666666</v>
      </c>
      <c r="C30" s="91"/>
      <c r="D30" s="91"/>
      <c r="E30" s="91"/>
      <c r="F30" s="91"/>
      <c r="G30" s="91"/>
      <c r="H30" s="91"/>
      <c r="I30" s="91"/>
      <c r="J30" s="91"/>
      <c r="K30" s="91"/>
      <c r="L30" s="92"/>
      <c r="M30" s="107"/>
      <c r="N30" s="91"/>
      <c r="O30" s="91"/>
      <c r="P30" s="91"/>
      <c r="Q30" s="91"/>
      <c r="R30" s="91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95"/>
      <c r="AD30" s="95"/>
      <c r="AE30" s="95"/>
      <c r="AF30" s="95"/>
      <c r="AG30" s="95"/>
      <c r="AH30" s="95"/>
      <c r="AI30" s="109"/>
      <c r="AJ30" s="109"/>
      <c r="AK30" s="109"/>
      <c r="AL30" s="109"/>
      <c r="AM30" s="109"/>
      <c r="AN30" s="95"/>
      <c r="AO30" s="96"/>
      <c r="AP30" s="97"/>
      <c r="AQ30" s="98"/>
      <c r="AR30" s="99"/>
    </row>
    <row r="31" spans="2:44" ht="13.5" customHeight="1" x14ac:dyDescent="0.25">
      <c r="B31" s="14">
        <v>0.20833333333333334</v>
      </c>
      <c r="C31" s="91"/>
      <c r="D31" s="91"/>
      <c r="E31" s="91"/>
      <c r="F31" s="91"/>
      <c r="G31" s="91"/>
      <c r="H31" s="91"/>
      <c r="I31" s="91"/>
      <c r="J31" s="91"/>
      <c r="K31" s="91"/>
      <c r="L31" s="92"/>
      <c r="M31" s="107"/>
      <c r="N31" s="91"/>
      <c r="O31" s="91"/>
      <c r="P31" s="91"/>
      <c r="Q31" s="91"/>
      <c r="R31" s="91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95"/>
      <c r="AD31" s="95"/>
      <c r="AE31" s="95"/>
      <c r="AF31" s="95"/>
      <c r="AG31" s="95"/>
      <c r="AH31" s="95"/>
      <c r="AI31" s="109"/>
      <c r="AJ31" s="109"/>
      <c r="AK31" s="109"/>
      <c r="AL31" s="109"/>
      <c r="AM31" s="109"/>
      <c r="AN31" s="95"/>
      <c r="AO31" s="96"/>
      <c r="AP31" s="97"/>
      <c r="AQ31" s="98"/>
      <c r="AR31" s="99"/>
    </row>
    <row r="32" spans="2:44" ht="13.5" customHeight="1" x14ac:dyDescent="0.25">
      <c r="B32" s="14">
        <v>0.25</v>
      </c>
      <c r="C32" s="91"/>
      <c r="D32" s="91"/>
      <c r="E32" s="91"/>
      <c r="F32" s="91"/>
      <c r="G32" s="91"/>
      <c r="H32" s="91"/>
      <c r="I32" s="91"/>
      <c r="J32" s="91"/>
      <c r="K32" s="91"/>
      <c r="L32" s="92"/>
      <c r="M32" s="107"/>
      <c r="N32" s="91"/>
      <c r="O32" s="91"/>
      <c r="P32" s="91"/>
      <c r="Q32" s="91"/>
      <c r="R32" s="91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95"/>
      <c r="AD32" s="95"/>
      <c r="AE32" s="95"/>
      <c r="AF32" s="95"/>
      <c r="AG32" s="95"/>
      <c r="AH32" s="95"/>
      <c r="AI32" s="109"/>
      <c r="AJ32" s="109"/>
      <c r="AK32" s="109"/>
      <c r="AL32" s="109"/>
      <c r="AM32" s="109"/>
      <c r="AN32" s="95"/>
      <c r="AO32" s="96"/>
      <c r="AP32" s="97"/>
      <c r="AQ32" s="98"/>
      <c r="AR32" s="99"/>
    </row>
    <row r="33" spans="2:44" ht="13.5" customHeight="1" x14ac:dyDescent="0.25">
      <c r="B33" s="14">
        <v>0.29166666666666669</v>
      </c>
      <c r="C33" s="91"/>
      <c r="D33" s="91"/>
      <c r="E33" s="91"/>
      <c r="F33" s="91"/>
      <c r="G33" s="91"/>
      <c r="H33" s="91"/>
      <c r="I33" s="91"/>
      <c r="J33" s="91"/>
      <c r="K33" s="91"/>
      <c r="L33" s="92"/>
      <c r="M33" s="107"/>
      <c r="N33" s="91"/>
      <c r="O33" s="91"/>
      <c r="P33" s="91"/>
      <c r="Q33" s="91"/>
      <c r="R33" s="91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95"/>
      <c r="AD33" s="95"/>
      <c r="AE33" s="95"/>
      <c r="AF33" s="95"/>
      <c r="AG33" s="95"/>
      <c r="AH33" s="95"/>
      <c r="AI33" s="109"/>
      <c r="AJ33" s="109"/>
      <c r="AK33" s="109"/>
      <c r="AL33" s="109"/>
      <c r="AM33" s="109"/>
      <c r="AN33" s="95"/>
      <c r="AO33" s="96"/>
      <c r="AP33" s="97"/>
      <c r="AQ33" s="98"/>
      <c r="AR33" s="99"/>
    </row>
    <row r="34" spans="2:44" ht="13.5" customHeight="1" x14ac:dyDescent="0.25">
      <c r="B34" s="42">
        <v>0.33333333333333331</v>
      </c>
      <c r="C34" s="100"/>
      <c r="D34" s="100"/>
      <c r="E34" s="100"/>
      <c r="F34" s="100"/>
      <c r="G34" s="100"/>
      <c r="H34" s="100"/>
      <c r="I34" s="100"/>
      <c r="J34" s="100"/>
      <c r="K34" s="100"/>
      <c r="L34" s="101"/>
      <c r="M34" s="110"/>
      <c r="N34" s="100"/>
      <c r="O34" s="100"/>
      <c r="P34" s="100"/>
      <c r="Q34" s="100"/>
      <c r="R34" s="100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04"/>
      <c r="AD34" s="104"/>
      <c r="AE34" s="104"/>
      <c r="AF34" s="104"/>
      <c r="AG34" s="104"/>
      <c r="AH34" s="104"/>
      <c r="AI34" s="112"/>
      <c r="AJ34" s="112"/>
      <c r="AK34" s="112"/>
      <c r="AL34" s="112"/>
      <c r="AM34" s="112"/>
      <c r="AN34" s="104"/>
      <c r="AO34" s="105"/>
      <c r="AP34" s="113"/>
      <c r="AQ34" s="114"/>
      <c r="AR34" s="115"/>
    </row>
    <row r="35" spans="2:44" ht="15" customHeight="1" x14ac:dyDescent="0.25">
      <c r="B35" s="173" t="s">
        <v>181</v>
      </c>
      <c r="C35" s="174" t="s">
        <v>38</v>
      </c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4" t="s">
        <v>216</v>
      </c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6"/>
      <c r="AK35" s="180" t="s">
        <v>48</v>
      </c>
      <c r="AL35" s="178"/>
      <c r="AM35" s="207" t="s">
        <v>223</v>
      </c>
      <c r="AN35" s="208"/>
      <c r="AO35" s="43"/>
      <c r="AP35" s="43"/>
      <c r="AQ35" s="43"/>
      <c r="AR35" s="44"/>
    </row>
    <row r="36" spans="2:44" ht="20.15" customHeight="1" x14ac:dyDescent="0.25">
      <c r="B36" s="160"/>
      <c r="C36" s="154" t="s">
        <v>32</v>
      </c>
      <c r="D36" s="186"/>
      <c r="E36" s="154" t="s">
        <v>33</v>
      </c>
      <c r="F36" s="215"/>
      <c r="G36" s="186"/>
      <c r="H36" s="209" t="s">
        <v>276</v>
      </c>
      <c r="I36" s="210"/>
      <c r="J36" s="4" t="s">
        <v>27</v>
      </c>
      <c r="K36" s="4" t="s">
        <v>30</v>
      </c>
      <c r="L36" s="4" t="s">
        <v>191</v>
      </c>
      <c r="M36" s="211" t="s">
        <v>192</v>
      </c>
      <c r="N36" s="212"/>
      <c r="O36" s="4" t="s">
        <v>26</v>
      </c>
      <c r="P36" s="4" t="s">
        <v>197</v>
      </c>
      <c r="Q36" s="154" t="s">
        <v>199</v>
      </c>
      <c r="R36" s="216"/>
      <c r="S36" s="154" t="s">
        <v>202</v>
      </c>
      <c r="T36" s="216"/>
      <c r="U36" s="154" t="s">
        <v>201</v>
      </c>
      <c r="V36" s="21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68" t="s">
        <v>46</v>
      </c>
      <c r="AI36" s="214"/>
      <c r="AJ36" s="155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0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0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409</v>
      </c>
      <c r="N38" s="1" t="s">
        <v>410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8"/>
      <c r="V39" s="89"/>
      <c r="W39" s="90"/>
      <c r="X39" s="88"/>
      <c r="Y39" s="88"/>
      <c r="Z39" s="88"/>
      <c r="AA39" s="88"/>
      <c r="AB39" s="88"/>
      <c r="AC39" s="88"/>
      <c r="AD39" s="88"/>
      <c r="AE39" s="79"/>
      <c r="AF39" s="79"/>
      <c r="AG39" s="79"/>
      <c r="AH39" s="79"/>
      <c r="AI39" s="79"/>
      <c r="AJ39" s="79"/>
      <c r="AK39" s="79"/>
      <c r="AL39" s="81"/>
      <c r="AM39" s="83"/>
      <c r="AN39" s="80"/>
      <c r="AO39" s="79"/>
      <c r="AP39" s="79"/>
      <c r="AQ39" s="79"/>
      <c r="AR39" s="82"/>
    </row>
    <row r="40" spans="2:44" ht="13.5" customHeight="1" x14ac:dyDescent="0.25">
      <c r="B40" s="14">
        <v>0.875</v>
      </c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108"/>
      <c r="V40" s="116"/>
      <c r="W40" s="117"/>
      <c r="X40" s="108"/>
      <c r="Y40" s="108"/>
      <c r="Z40" s="108"/>
      <c r="AA40" s="108"/>
      <c r="AB40" s="108"/>
      <c r="AC40" s="108"/>
      <c r="AD40" s="108"/>
      <c r="AE40" s="95"/>
      <c r="AF40" s="95"/>
      <c r="AG40" s="95"/>
      <c r="AH40" s="95"/>
      <c r="AI40" s="95"/>
      <c r="AJ40" s="95"/>
      <c r="AK40" s="95"/>
      <c r="AL40" s="96"/>
      <c r="AM40" s="118"/>
      <c r="AN40" s="109"/>
      <c r="AO40" s="95"/>
      <c r="AP40" s="95"/>
      <c r="AQ40" s="95"/>
      <c r="AR40" s="99"/>
    </row>
    <row r="41" spans="2:44" ht="13.5" customHeight="1" x14ac:dyDescent="0.25">
      <c r="B41" s="41" t="s">
        <v>271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108"/>
      <c r="V41" s="116"/>
      <c r="W41" s="117"/>
      <c r="X41" s="108"/>
      <c r="Y41" s="108"/>
      <c r="Z41" s="108"/>
      <c r="AA41" s="108"/>
      <c r="AB41" s="108"/>
      <c r="AC41" s="108"/>
      <c r="AD41" s="108"/>
      <c r="AE41" s="95"/>
      <c r="AF41" s="95"/>
      <c r="AG41" s="95"/>
      <c r="AH41" s="95"/>
      <c r="AI41" s="95"/>
      <c r="AJ41" s="95"/>
      <c r="AK41" s="95"/>
      <c r="AL41" s="96"/>
      <c r="AM41" s="118"/>
      <c r="AN41" s="109"/>
      <c r="AO41" s="95"/>
      <c r="AP41" s="95"/>
      <c r="AQ41" s="95"/>
      <c r="AR41" s="99"/>
    </row>
    <row r="42" spans="2:44" ht="13.5" customHeight="1" x14ac:dyDescent="0.25">
      <c r="B42" s="14">
        <v>0.95833333333333337</v>
      </c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108"/>
      <c r="V42" s="116"/>
      <c r="W42" s="117"/>
      <c r="X42" s="108"/>
      <c r="Y42" s="108"/>
      <c r="Z42" s="108"/>
      <c r="AA42" s="108"/>
      <c r="AB42" s="108"/>
      <c r="AC42" s="108"/>
      <c r="AD42" s="108"/>
      <c r="AE42" s="95"/>
      <c r="AF42" s="95"/>
      <c r="AG42" s="95"/>
      <c r="AH42" s="95"/>
      <c r="AI42" s="95"/>
      <c r="AJ42" s="95"/>
      <c r="AK42" s="95"/>
      <c r="AL42" s="96"/>
      <c r="AM42" s="118"/>
      <c r="AN42" s="109"/>
      <c r="AO42" s="95"/>
      <c r="AP42" s="95"/>
      <c r="AQ42" s="95"/>
      <c r="AR42" s="99"/>
    </row>
    <row r="43" spans="2:44" ht="13.5" customHeight="1" x14ac:dyDescent="0.25">
      <c r="B43" s="41" t="s">
        <v>272</v>
      </c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108"/>
      <c r="V43" s="116"/>
      <c r="W43" s="117"/>
      <c r="X43" s="108"/>
      <c r="Y43" s="108"/>
      <c r="Z43" s="108"/>
      <c r="AA43" s="108"/>
      <c r="AB43" s="108"/>
      <c r="AC43" s="108"/>
      <c r="AD43" s="108"/>
      <c r="AE43" s="95"/>
      <c r="AF43" s="95"/>
      <c r="AG43" s="95"/>
      <c r="AH43" s="95"/>
      <c r="AI43" s="95"/>
      <c r="AJ43" s="95"/>
      <c r="AK43" s="95"/>
      <c r="AL43" s="96"/>
      <c r="AM43" s="118"/>
      <c r="AN43" s="109"/>
      <c r="AO43" s="95"/>
      <c r="AP43" s="95"/>
      <c r="AQ43" s="95"/>
      <c r="AR43" s="99"/>
    </row>
    <row r="44" spans="2:44" ht="13.5" customHeight="1" x14ac:dyDescent="0.25">
      <c r="B44" s="14">
        <v>4.1666666666666664E-2</v>
      </c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108"/>
      <c r="V44" s="116"/>
      <c r="W44" s="117"/>
      <c r="X44" s="108"/>
      <c r="Y44" s="108"/>
      <c r="Z44" s="108"/>
      <c r="AA44" s="108"/>
      <c r="AB44" s="108"/>
      <c r="AC44" s="108"/>
      <c r="AD44" s="108"/>
      <c r="AE44" s="95"/>
      <c r="AF44" s="95"/>
      <c r="AG44" s="95"/>
      <c r="AH44" s="95"/>
      <c r="AI44" s="95"/>
      <c r="AJ44" s="95"/>
      <c r="AK44" s="95"/>
      <c r="AL44" s="96"/>
      <c r="AM44" s="118"/>
      <c r="AN44" s="109"/>
      <c r="AO44" s="95"/>
      <c r="AP44" s="95"/>
      <c r="AQ44" s="95"/>
      <c r="AR44" s="99"/>
    </row>
    <row r="45" spans="2:44" ht="13.5" customHeight="1" x14ac:dyDescent="0.25">
      <c r="B45" s="41" t="s">
        <v>273</v>
      </c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108"/>
      <c r="V45" s="116"/>
      <c r="W45" s="117"/>
      <c r="X45" s="108"/>
      <c r="Y45" s="108"/>
      <c r="Z45" s="108"/>
      <c r="AA45" s="108"/>
      <c r="AB45" s="108"/>
      <c r="AC45" s="108"/>
      <c r="AD45" s="108"/>
      <c r="AE45" s="95"/>
      <c r="AF45" s="95"/>
      <c r="AG45" s="95"/>
      <c r="AH45" s="95"/>
      <c r="AI45" s="95"/>
      <c r="AJ45" s="95"/>
      <c r="AK45" s="95"/>
      <c r="AL45" s="96"/>
      <c r="AM45" s="118"/>
      <c r="AN45" s="109"/>
      <c r="AO45" s="95"/>
      <c r="AP45" s="95"/>
      <c r="AQ45" s="95"/>
      <c r="AR45" s="99"/>
    </row>
    <row r="46" spans="2:44" ht="13.5" customHeight="1" x14ac:dyDescent="0.25">
      <c r="B46" s="14">
        <v>0.125</v>
      </c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108"/>
      <c r="V46" s="116"/>
      <c r="W46" s="117"/>
      <c r="X46" s="108"/>
      <c r="Y46" s="108"/>
      <c r="Z46" s="108"/>
      <c r="AA46" s="108"/>
      <c r="AB46" s="108"/>
      <c r="AC46" s="108"/>
      <c r="AD46" s="108"/>
      <c r="AE46" s="95"/>
      <c r="AF46" s="95"/>
      <c r="AG46" s="95"/>
      <c r="AH46" s="95"/>
      <c r="AI46" s="95"/>
      <c r="AJ46" s="95"/>
      <c r="AK46" s="95"/>
      <c r="AL46" s="96"/>
      <c r="AM46" s="118"/>
      <c r="AN46" s="109"/>
      <c r="AO46" s="95"/>
      <c r="AP46" s="95"/>
      <c r="AQ46" s="95"/>
      <c r="AR46" s="99"/>
    </row>
    <row r="47" spans="2:44" ht="13.5" customHeight="1" x14ac:dyDescent="0.25">
      <c r="B47" s="14">
        <v>0.16666666666666666</v>
      </c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108"/>
      <c r="V47" s="116"/>
      <c r="W47" s="117"/>
      <c r="X47" s="108"/>
      <c r="Y47" s="108"/>
      <c r="Z47" s="108"/>
      <c r="AA47" s="108"/>
      <c r="AB47" s="108"/>
      <c r="AC47" s="108"/>
      <c r="AD47" s="108"/>
      <c r="AE47" s="95"/>
      <c r="AF47" s="95"/>
      <c r="AG47" s="95"/>
      <c r="AH47" s="95"/>
      <c r="AI47" s="95"/>
      <c r="AJ47" s="95"/>
      <c r="AK47" s="95"/>
      <c r="AL47" s="96"/>
      <c r="AM47" s="118"/>
      <c r="AN47" s="109"/>
      <c r="AO47" s="95"/>
      <c r="AP47" s="95"/>
      <c r="AQ47" s="95"/>
      <c r="AR47" s="99"/>
    </row>
    <row r="48" spans="2:44" ht="13.5" customHeight="1" x14ac:dyDescent="0.25">
      <c r="B48" s="14">
        <v>0.20833333333333334</v>
      </c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108"/>
      <c r="V48" s="116"/>
      <c r="W48" s="117"/>
      <c r="X48" s="108"/>
      <c r="Y48" s="108"/>
      <c r="Z48" s="108"/>
      <c r="AA48" s="108"/>
      <c r="AB48" s="108"/>
      <c r="AC48" s="108"/>
      <c r="AD48" s="108"/>
      <c r="AE48" s="95"/>
      <c r="AF48" s="95"/>
      <c r="AG48" s="95"/>
      <c r="AH48" s="95"/>
      <c r="AI48" s="95"/>
      <c r="AJ48" s="95"/>
      <c r="AK48" s="95"/>
      <c r="AL48" s="96"/>
      <c r="AM48" s="118"/>
      <c r="AN48" s="109"/>
      <c r="AO48" s="95"/>
      <c r="AP48" s="95"/>
      <c r="AQ48" s="95"/>
      <c r="AR48" s="99"/>
    </row>
    <row r="49" spans="2:44" ht="13.5" customHeight="1" x14ac:dyDescent="0.25">
      <c r="B49" s="14">
        <v>0.25</v>
      </c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108"/>
      <c r="V49" s="116"/>
      <c r="W49" s="117"/>
      <c r="X49" s="108"/>
      <c r="Y49" s="108"/>
      <c r="Z49" s="108"/>
      <c r="AA49" s="108"/>
      <c r="AB49" s="108"/>
      <c r="AC49" s="108"/>
      <c r="AD49" s="108"/>
      <c r="AE49" s="95"/>
      <c r="AF49" s="95"/>
      <c r="AG49" s="95"/>
      <c r="AH49" s="95"/>
      <c r="AI49" s="95"/>
      <c r="AJ49" s="95"/>
      <c r="AK49" s="95"/>
      <c r="AL49" s="96"/>
      <c r="AM49" s="118"/>
      <c r="AN49" s="109"/>
      <c r="AO49" s="95"/>
      <c r="AP49" s="95"/>
      <c r="AQ49" s="95"/>
      <c r="AR49" s="99"/>
    </row>
    <row r="50" spans="2:44" ht="13.5" customHeight="1" x14ac:dyDescent="0.25">
      <c r="B50" s="14">
        <v>0.29166666666666669</v>
      </c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108"/>
      <c r="V50" s="116"/>
      <c r="W50" s="117"/>
      <c r="X50" s="108"/>
      <c r="Y50" s="108"/>
      <c r="Z50" s="108"/>
      <c r="AA50" s="108"/>
      <c r="AB50" s="108"/>
      <c r="AC50" s="108"/>
      <c r="AD50" s="108"/>
      <c r="AE50" s="95"/>
      <c r="AF50" s="95"/>
      <c r="AG50" s="95"/>
      <c r="AH50" s="95"/>
      <c r="AI50" s="95"/>
      <c r="AJ50" s="95"/>
      <c r="AK50" s="95"/>
      <c r="AL50" s="96"/>
      <c r="AM50" s="118"/>
      <c r="AN50" s="109"/>
      <c r="AO50" s="95"/>
      <c r="AP50" s="95"/>
      <c r="AQ50" s="95"/>
      <c r="AR50" s="99"/>
    </row>
    <row r="51" spans="2:44" ht="13.5" customHeight="1" x14ac:dyDescent="0.25">
      <c r="B51" s="42">
        <v>0.33333333333333331</v>
      </c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11"/>
      <c r="V51" s="119"/>
      <c r="W51" s="120"/>
      <c r="X51" s="111"/>
      <c r="Y51" s="111"/>
      <c r="Z51" s="111"/>
      <c r="AA51" s="111"/>
      <c r="AB51" s="111"/>
      <c r="AC51" s="111"/>
      <c r="AD51" s="111"/>
      <c r="AE51" s="104"/>
      <c r="AF51" s="104"/>
      <c r="AG51" s="104"/>
      <c r="AH51" s="104"/>
      <c r="AI51" s="104"/>
      <c r="AJ51" s="104"/>
      <c r="AK51" s="104"/>
      <c r="AL51" s="105"/>
      <c r="AM51" s="121"/>
      <c r="AN51" s="112"/>
      <c r="AO51" s="104"/>
      <c r="AP51" s="104"/>
      <c r="AQ51" s="104"/>
      <c r="AR51" s="115"/>
    </row>
    <row r="52" spans="2:44" ht="13.5" customHeight="1" x14ac:dyDescent="0.25">
      <c r="B52" s="184" t="s">
        <v>471</v>
      </c>
      <c r="C52" s="185"/>
      <c r="D52" s="9" t="s">
        <v>274</v>
      </c>
      <c r="E52" s="161" t="s">
        <v>20</v>
      </c>
      <c r="F52" s="164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  <c r="AO52" s="166"/>
      <c r="AP52" s="166"/>
      <c r="AQ52" s="166"/>
      <c r="AR52" s="167"/>
    </row>
    <row r="53" spans="2:44" ht="13.5" customHeight="1" x14ac:dyDescent="0.25">
      <c r="B53" s="160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8"/>
      <c r="AP53" s="168"/>
      <c r="AQ53" s="168"/>
      <c r="AR53" s="169"/>
    </row>
    <row r="54" spans="2:44" ht="13.5" customHeight="1" thickBot="1" x14ac:dyDescent="0.3">
      <c r="B54" s="172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70"/>
      <c r="AP54" s="170"/>
      <c r="AQ54" s="170"/>
      <c r="AR54" s="17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7" t="s">
        <v>230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88"/>
    </row>
    <row r="2" spans="2:58" ht="13" customHeight="1" x14ac:dyDescent="0.25">
      <c r="B2" s="234" t="s">
        <v>232</v>
      </c>
      <c r="C2" s="197"/>
      <c r="D2" s="197"/>
      <c r="E2" s="197"/>
      <c r="F2" s="197"/>
      <c r="G2" s="197"/>
      <c r="H2" s="197"/>
      <c r="I2" s="197"/>
      <c r="J2" s="197"/>
      <c r="K2" s="197"/>
      <c r="L2" s="202"/>
      <c r="M2" s="235" t="s">
        <v>231</v>
      </c>
      <c r="N2" s="197"/>
      <c r="O2" s="197"/>
      <c r="P2" s="197"/>
      <c r="Q2" s="197"/>
      <c r="R2" s="197"/>
      <c r="S2" s="197"/>
      <c r="T2" s="197"/>
      <c r="U2" s="197"/>
      <c r="V2" s="197"/>
      <c r="W2" s="202"/>
      <c r="X2" s="147" t="s">
        <v>233</v>
      </c>
      <c r="Y2" s="197"/>
      <c r="Z2" s="197"/>
      <c r="AA2" s="197"/>
      <c r="AB2" s="197"/>
      <c r="AC2" s="197"/>
      <c r="AD2" s="197"/>
      <c r="AE2" s="197"/>
      <c r="AF2" s="197"/>
      <c r="AG2" s="197"/>
      <c r="AH2" s="202"/>
      <c r="AI2" s="235" t="s">
        <v>234</v>
      </c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202"/>
      <c r="AU2" s="147" t="s">
        <v>235</v>
      </c>
      <c r="AV2" s="197"/>
      <c r="AW2" s="197"/>
      <c r="AX2" s="197"/>
      <c r="AY2" s="197"/>
      <c r="AZ2" s="197"/>
      <c r="BA2" s="197"/>
      <c r="BB2" s="197"/>
      <c r="BC2" s="197"/>
      <c r="BD2" s="197"/>
      <c r="BE2" s="197"/>
      <c r="BF2" s="236"/>
    </row>
    <row r="3" spans="2:58" ht="13" customHeight="1" x14ac:dyDescent="0.25">
      <c r="B3" s="238"/>
      <c r="C3" s="222"/>
      <c r="D3" s="222"/>
      <c r="E3" s="222"/>
      <c r="F3" s="222"/>
      <c r="G3" s="222"/>
      <c r="H3" s="222"/>
      <c r="I3" s="222"/>
      <c r="J3" s="222"/>
      <c r="K3" s="222"/>
      <c r="L3" s="223"/>
      <c r="M3" s="241"/>
      <c r="N3" s="222"/>
      <c r="O3" s="222"/>
      <c r="P3" s="222"/>
      <c r="Q3" s="222"/>
      <c r="R3" s="222"/>
      <c r="S3" s="222"/>
      <c r="T3" s="222"/>
      <c r="U3" s="222"/>
      <c r="V3" s="222"/>
      <c r="W3" s="223"/>
      <c r="X3" s="229"/>
      <c r="Y3" s="222"/>
      <c r="Z3" s="222"/>
      <c r="AA3" s="222"/>
      <c r="AB3" s="222"/>
      <c r="AC3" s="222"/>
      <c r="AD3" s="222"/>
      <c r="AE3" s="222"/>
      <c r="AF3" s="222"/>
      <c r="AG3" s="222"/>
      <c r="AH3" s="223"/>
      <c r="AI3" s="251"/>
      <c r="AJ3" s="222"/>
      <c r="AK3" s="222"/>
      <c r="AL3" s="222"/>
      <c r="AM3" s="222"/>
      <c r="AN3" s="222"/>
      <c r="AO3" s="222"/>
      <c r="AP3" s="222"/>
      <c r="AQ3" s="222"/>
      <c r="AR3" s="222"/>
      <c r="AS3" s="222"/>
      <c r="AT3" s="223"/>
      <c r="AU3" s="229"/>
      <c r="AV3" s="222"/>
      <c r="AW3" s="222"/>
      <c r="AX3" s="222"/>
      <c r="AY3" s="222"/>
      <c r="AZ3" s="222"/>
      <c r="BA3" s="222"/>
      <c r="BB3" s="222"/>
      <c r="BC3" s="222"/>
      <c r="BD3" s="222"/>
      <c r="BE3" s="222"/>
      <c r="BF3" s="231"/>
    </row>
    <row r="4" spans="2:58" ht="13" customHeight="1" x14ac:dyDescent="0.25">
      <c r="B4" s="239"/>
      <c r="C4" s="225"/>
      <c r="D4" s="225"/>
      <c r="E4" s="225"/>
      <c r="F4" s="225"/>
      <c r="G4" s="225"/>
      <c r="H4" s="225"/>
      <c r="I4" s="225"/>
      <c r="J4" s="225"/>
      <c r="K4" s="225"/>
      <c r="L4" s="226"/>
      <c r="M4" s="224"/>
      <c r="N4" s="225"/>
      <c r="O4" s="225"/>
      <c r="P4" s="225"/>
      <c r="Q4" s="225"/>
      <c r="R4" s="225"/>
      <c r="S4" s="225"/>
      <c r="T4" s="225"/>
      <c r="U4" s="225"/>
      <c r="V4" s="225"/>
      <c r="W4" s="226"/>
      <c r="X4" s="224"/>
      <c r="Y4" s="225"/>
      <c r="Z4" s="225"/>
      <c r="AA4" s="225"/>
      <c r="AB4" s="225"/>
      <c r="AC4" s="225"/>
      <c r="AD4" s="225"/>
      <c r="AE4" s="225"/>
      <c r="AF4" s="225"/>
      <c r="AG4" s="225"/>
      <c r="AH4" s="226"/>
      <c r="AI4" s="224"/>
      <c r="AJ4" s="225"/>
      <c r="AK4" s="225"/>
      <c r="AL4" s="225"/>
      <c r="AM4" s="225"/>
      <c r="AN4" s="225"/>
      <c r="AO4" s="225"/>
      <c r="AP4" s="225"/>
      <c r="AQ4" s="225"/>
      <c r="AR4" s="225"/>
      <c r="AS4" s="225"/>
      <c r="AT4" s="226"/>
      <c r="AU4" s="224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32"/>
    </row>
    <row r="5" spans="2:58" ht="13" customHeight="1" x14ac:dyDescent="0.25">
      <c r="B5" s="239"/>
      <c r="C5" s="225"/>
      <c r="D5" s="225"/>
      <c r="E5" s="225"/>
      <c r="F5" s="225"/>
      <c r="G5" s="225"/>
      <c r="H5" s="225"/>
      <c r="I5" s="225"/>
      <c r="J5" s="225"/>
      <c r="K5" s="225"/>
      <c r="L5" s="226"/>
      <c r="M5" s="224"/>
      <c r="N5" s="225"/>
      <c r="O5" s="225"/>
      <c r="P5" s="225"/>
      <c r="Q5" s="225"/>
      <c r="R5" s="225"/>
      <c r="S5" s="225"/>
      <c r="T5" s="225"/>
      <c r="U5" s="225"/>
      <c r="V5" s="225"/>
      <c r="W5" s="226"/>
      <c r="X5" s="224"/>
      <c r="Y5" s="225"/>
      <c r="Z5" s="225"/>
      <c r="AA5" s="225"/>
      <c r="AB5" s="225"/>
      <c r="AC5" s="225"/>
      <c r="AD5" s="225"/>
      <c r="AE5" s="225"/>
      <c r="AF5" s="225"/>
      <c r="AG5" s="225"/>
      <c r="AH5" s="226"/>
      <c r="AI5" s="224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6"/>
      <c r="AU5" s="224"/>
      <c r="AV5" s="225"/>
      <c r="AW5" s="225"/>
      <c r="AX5" s="225"/>
      <c r="AY5" s="225"/>
      <c r="AZ5" s="225"/>
      <c r="BA5" s="225"/>
      <c r="BB5" s="225"/>
      <c r="BC5" s="225"/>
      <c r="BD5" s="225"/>
      <c r="BE5" s="225"/>
      <c r="BF5" s="232"/>
    </row>
    <row r="6" spans="2:58" ht="13" customHeight="1" x14ac:dyDescent="0.25">
      <c r="B6" s="239"/>
      <c r="C6" s="225"/>
      <c r="D6" s="225"/>
      <c r="E6" s="225"/>
      <c r="F6" s="225"/>
      <c r="G6" s="225"/>
      <c r="H6" s="225"/>
      <c r="I6" s="225"/>
      <c r="J6" s="225"/>
      <c r="K6" s="225"/>
      <c r="L6" s="226"/>
      <c r="M6" s="224"/>
      <c r="N6" s="225"/>
      <c r="O6" s="225"/>
      <c r="P6" s="225"/>
      <c r="Q6" s="225"/>
      <c r="R6" s="225"/>
      <c r="S6" s="225"/>
      <c r="T6" s="225"/>
      <c r="U6" s="225"/>
      <c r="V6" s="225"/>
      <c r="W6" s="226"/>
      <c r="X6" s="224"/>
      <c r="Y6" s="225"/>
      <c r="Z6" s="225"/>
      <c r="AA6" s="225"/>
      <c r="AB6" s="225"/>
      <c r="AC6" s="225"/>
      <c r="AD6" s="225"/>
      <c r="AE6" s="225"/>
      <c r="AF6" s="225"/>
      <c r="AG6" s="225"/>
      <c r="AH6" s="226"/>
      <c r="AI6" s="224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6"/>
      <c r="AU6" s="224"/>
      <c r="AV6" s="225"/>
      <c r="AW6" s="225"/>
      <c r="AX6" s="225"/>
      <c r="AY6" s="225"/>
      <c r="AZ6" s="225"/>
      <c r="BA6" s="225"/>
      <c r="BB6" s="225"/>
      <c r="BC6" s="225"/>
      <c r="BD6" s="225"/>
      <c r="BE6" s="225"/>
      <c r="BF6" s="232"/>
    </row>
    <row r="7" spans="2:58" ht="13" customHeight="1" x14ac:dyDescent="0.25">
      <c r="B7" s="239"/>
      <c r="C7" s="225"/>
      <c r="D7" s="225"/>
      <c r="E7" s="225"/>
      <c r="F7" s="225"/>
      <c r="G7" s="225"/>
      <c r="H7" s="225"/>
      <c r="I7" s="225"/>
      <c r="J7" s="225"/>
      <c r="K7" s="225"/>
      <c r="L7" s="226"/>
      <c r="M7" s="224"/>
      <c r="N7" s="225"/>
      <c r="O7" s="225"/>
      <c r="P7" s="225"/>
      <c r="Q7" s="225"/>
      <c r="R7" s="225"/>
      <c r="S7" s="225"/>
      <c r="T7" s="225"/>
      <c r="U7" s="225"/>
      <c r="V7" s="225"/>
      <c r="W7" s="226"/>
      <c r="X7" s="224"/>
      <c r="Y7" s="225"/>
      <c r="Z7" s="225"/>
      <c r="AA7" s="225"/>
      <c r="AB7" s="225"/>
      <c r="AC7" s="225"/>
      <c r="AD7" s="225"/>
      <c r="AE7" s="225"/>
      <c r="AF7" s="225"/>
      <c r="AG7" s="225"/>
      <c r="AH7" s="226"/>
      <c r="AI7" s="224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6"/>
      <c r="AU7" s="224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32"/>
    </row>
    <row r="8" spans="2:58" ht="13" customHeight="1" x14ac:dyDescent="0.25">
      <c r="B8" s="239"/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24"/>
      <c r="N8" s="225"/>
      <c r="O8" s="225"/>
      <c r="P8" s="225"/>
      <c r="Q8" s="225"/>
      <c r="R8" s="225"/>
      <c r="S8" s="225"/>
      <c r="T8" s="225"/>
      <c r="U8" s="225"/>
      <c r="V8" s="225"/>
      <c r="W8" s="226"/>
      <c r="X8" s="224"/>
      <c r="Y8" s="225"/>
      <c r="Z8" s="225"/>
      <c r="AA8" s="225"/>
      <c r="AB8" s="225"/>
      <c r="AC8" s="225"/>
      <c r="AD8" s="225"/>
      <c r="AE8" s="225"/>
      <c r="AF8" s="225"/>
      <c r="AG8" s="225"/>
      <c r="AH8" s="226"/>
      <c r="AI8" s="224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6"/>
      <c r="AU8" s="224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32"/>
    </row>
    <row r="9" spans="2:58" ht="13" customHeight="1" x14ac:dyDescent="0.25">
      <c r="B9" s="240"/>
      <c r="C9" s="228"/>
      <c r="D9" s="228"/>
      <c r="E9" s="228"/>
      <c r="F9" s="228"/>
      <c r="G9" s="228"/>
      <c r="H9" s="228"/>
      <c r="I9" s="228"/>
      <c r="J9" s="228"/>
      <c r="K9" s="228"/>
      <c r="L9" s="185"/>
      <c r="M9" s="227"/>
      <c r="N9" s="228"/>
      <c r="O9" s="228"/>
      <c r="P9" s="228"/>
      <c r="Q9" s="228"/>
      <c r="R9" s="228"/>
      <c r="S9" s="228"/>
      <c r="T9" s="228"/>
      <c r="U9" s="228"/>
      <c r="V9" s="228"/>
      <c r="W9" s="185"/>
      <c r="X9" s="227"/>
      <c r="Y9" s="228"/>
      <c r="Z9" s="228"/>
      <c r="AA9" s="228"/>
      <c r="AB9" s="228"/>
      <c r="AC9" s="228"/>
      <c r="AD9" s="228"/>
      <c r="AE9" s="228"/>
      <c r="AF9" s="228"/>
      <c r="AG9" s="228"/>
      <c r="AH9" s="185"/>
      <c r="AI9" s="227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185"/>
      <c r="AU9" s="227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33"/>
    </row>
    <row r="10" spans="2:58" ht="13" customHeight="1" x14ac:dyDescent="0.25">
      <c r="B10" s="217" t="s">
        <v>236</v>
      </c>
      <c r="C10" s="215"/>
      <c r="D10" s="215"/>
      <c r="E10" s="215"/>
      <c r="F10" s="215"/>
      <c r="G10" s="215"/>
      <c r="H10" s="215"/>
      <c r="I10" s="215"/>
      <c r="J10" s="215"/>
      <c r="K10" s="215"/>
      <c r="L10" s="186"/>
      <c r="M10" s="237" t="s">
        <v>237</v>
      </c>
      <c r="N10" s="215"/>
      <c r="O10" s="215"/>
      <c r="P10" s="215"/>
      <c r="Q10" s="215"/>
      <c r="R10" s="215"/>
      <c r="S10" s="215"/>
      <c r="T10" s="215"/>
      <c r="U10" s="215"/>
      <c r="V10" s="215"/>
      <c r="W10" s="186"/>
      <c r="X10" s="192" t="s">
        <v>238</v>
      </c>
      <c r="Y10" s="215"/>
      <c r="Z10" s="215"/>
      <c r="AA10" s="215"/>
      <c r="AB10" s="215"/>
      <c r="AC10" s="215"/>
      <c r="AD10" s="215"/>
      <c r="AE10" s="215"/>
      <c r="AF10" s="215"/>
      <c r="AG10" s="215"/>
      <c r="AH10" s="186"/>
      <c r="AI10" s="192" t="s">
        <v>239</v>
      </c>
      <c r="AJ10" s="215"/>
      <c r="AK10" s="215"/>
      <c r="AL10" s="215"/>
      <c r="AM10" s="215"/>
      <c r="AN10" s="215"/>
      <c r="AO10" s="215"/>
      <c r="AP10" s="215"/>
      <c r="AQ10" s="215"/>
      <c r="AR10" s="215"/>
      <c r="AS10" s="215"/>
      <c r="AT10" s="186"/>
      <c r="AU10" s="168" t="s">
        <v>240</v>
      </c>
      <c r="AV10" s="215"/>
      <c r="AW10" s="215"/>
      <c r="AX10" s="215"/>
      <c r="AY10" s="215"/>
      <c r="AZ10" s="215"/>
      <c r="BA10" s="215"/>
      <c r="BB10" s="215"/>
      <c r="BC10" s="215"/>
      <c r="BD10" s="215"/>
      <c r="BE10" s="215"/>
      <c r="BF10" s="219"/>
    </row>
    <row r="11" spans="2:58" ht="13" customHeight="1" x14ac:dyDescent="0.25">
      <c r="B11" s="238"/>
      <c r="C11" s="222"/>
      <c r="D11" s="222"/>
      <c r="E11" s="222"/>
      <c r="F11" s="222"/>
      <c r="G11" s="222"/>
      <c r="H11" s="222"/>
      <c r="I11" s="222"/>
      <c r="J11" s="222"/>
      <c r="K11" s="222"/>
      <c r="L11" s="223"/>
      <c r="M11" s="241"/>
      <c r="N11" s="222"/>
      <c r="O11" s="222"/>
      <c r="P11" s="222"/>
      <c r="Q11" s="222"/>
      <c r="R11" s="222"/>
      <c r="S11" s="222"/>
      <c r="T11" s="222"/>
      <c r="U11" s="222"/>
      <c r="V11" s="222"/>
      <c r="W11" s="223"/>
      <c r="X11" s="241"/>
      <c r="Y11" s="222"/>
      <c r="Z11" s="222"/>
      <c r="AA11" s="222"/>
      <c r="AB11" s="222"/>
      <c r="AC11" s="222"/>
      <c r="AD11" s="222"/>
      <c r="AE11" s="222"/>
      <c r="AF11" s="222"/>
      <c r="AG11" s="222"/>
      <c r="AH11" s="223"/>
      <c r="AI11" s="241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3"/>
      <c r="AU11" s="230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31"/>
    </row>
    <row r="12" spans="2:58" ht="13" customHeight="1" x14ac:dyDescent="0.25">
      <c r="B12" s="239"/>
      <c r="C12" s="225"/>
      <c r="D12" s="225"/>
      <c r="E12" s="225"/>
      <c r="F12" s="225"/>
      <c r="G12" s="225"/>
      <c r="H12" s="225"/>
      <c r="I12" s="225"/>
      <c r="J12" s="225"/>
      <c r="K12" s="225"/>
      <c r="L12" s="226"/>
      <c r="M12" s="224"/>
      <c r="N12" s="225"/>
      <c r="O12" s="225"/>
      <c r="P12" s="225"/>
      <c r="Q12" s="225"/>
      <c r="R12" s="225"/>
      <c r="S12" s="225"/>
      <c r="T12" s="225"/>
      <c r="U12" s="225"/>
      <c r="V12" s="225"/>
      <c r="W12" s="226"/>
      <c r="X12" s="224"/>
      <c r="Y12" s="225"/>
      <c r="Z12" s="225"/>
      <c r="AA12" s="225"/>
      <c r="AB12" s="225"/>
      <c r="AC12" s="225"/>
      <c r="AD12" s="225"/>
      <c r="AE12" s="225"/>
      <c r="AF12" s="225"/>
      <c r="AG12" s="225"/>
      <c r="AH12" s="226"/>
      <c r="AI12" s="224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6"/>
      <c r="AU12" s="224"/>
      <c r="AV12" s="225"/>
      <c r="AW12" s="225"/>
      <c r="AX12" s="225"/>
      <c r="AY12" s="225"/>
      <c r="AZ12" s="225"/>
      <c r="BA12" s="225"/>
      <c r="BB12" s="225"/>
      <c r="BC12" s="225"/>
      <c r="BD12" s="225"/>
      <c r="BE12" s="225"/>
      <c r="BF12" s="232"/>
    </row>
    <row r="13" spans="2:58" ht="13" customHeight="1" x14ac:dyDescent="0.25">
      <c r="B13" s="239"/>
      <c r="C13" s="225"/>
      <c r="D13" s="225"/>
      <c r="E13" s="225"/>
      <c r="F13" s="225"/>
      <c r="G13" s="225"/>
      <c r="H13" s="225"/>
      <c r="I13" s="225"/>
      <c r="J13" s="225"/>
      <c r="K13" s="225"/>
      <c r="L13" s="226"/>
      <c r="M13" s="224"/>
      <c r="N13" s="225"/>
      <c r="O13" s="225"/>
      <c r="P13" s="225"/>
      <c r="Q13" s="225"/>
      <c r="R13" s="225"/>
      <c r="S13" s="225"/>
      <c r="T13" s="225"/>
      <c r="U13" s="225"/>
      <c r="V13" s="225"/>
      <c r="W13" s="226"/>
      <c r="X13" s="224"/>
      <c r="Y13" s="225"/>
      <c r="Z13" s="225"/>
      <c r="AA13" s="225"/>
      <c r="AB13" s="225"/>
      <c r="AC13" s="225"/>
      <c r="AD13" s="225"/>
      <c r="AE13" s="225"/>
      <c r="AF13" s="225"/>
      <c r="AG13" s="225"/>
      <c r="AH13" s="226"/>
      <c r="AI13" s="224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6"/>
      <c r="AU13" s="224"/>
      <c r="AV13" s="225"/>
      <c r="AW13" s="225"/>
      <c r="AX13" s="225"/>
      <c r="AY13" s="225"/>
      <c r="AZ13" s="225"/>
      <c r="BA13" s="225"/>
      <c r="BB13" s="225"/>
      <c r="BC13" s="225"/>
      <c r="BD13" s="225"/>
      <c r="BE13" s="225"/>
      <c r="BF13" s="232"/>
    </row>
    <row r="14" spans="2:58" ht="13" customHeight="1" x14ac:dyDescent="0.25">
      <c r="B14" s="239"/>
      <c r="C14" s="225"/>
      <c r="D14" s="225"/>
      <c r="E14" s="225"/>
      <c r="F14" s="225"/>
      <c r="G14" s="225"/>
      <c r="H14" s="225"/>
      <c r="I14" s="225"/>
      <c r="J14" s="225"/>
      <c r="K14" s="225"/>
      <c r="L14" s="226"/>
      <c r="M14" s="224"/>
      <c r="N14" s="225"/>
      <c r="O14" s="225"/>
      <c r="P14" s="225"/>
      <c r="Q14" s="225"/>
      <c r="R14" s="225"/>
      <c r="S14" s="225"/>
      <c r="T14" s="225"/>
      <c r="U14" s="225"/>
      <c r="V14" s="225"/>
      <c r="W14" s="226"/>
      <c r="X14" s="224"/>
      <c r="Y14" s="225"/>
      <c r="Z14" s="225"/>
      <c r="AA14" s="225"/>
      <c r="AB14" s="225"/>
      <c r="AC14" s="225"/>
      <c r="AD14" s="225"/>
      <c r="AE14" s="225"/>
      <c r="AF14" s="225"/>
      <c r="AG14" s="225"/>
      <c r="AH14" s="226"/>
      <c r="AI14" s="224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6"/>
      <c r="AU14" s="224"/>
      <c r="AV14" s="225"/>
      <c r="AW14" s="225"/>
      <c r="AX14" s="225"/>
      <c r="AY14" s="225"/>
      <c r="AZ14" s="225"/>
      <c r="BA14" s="225"/>
      <c r="BB14" s="225"/>
      <c r="BC14" s="225"/>
      <c r="BD14" s="225"/>
      <c r="BE14" s="225"/>
      <c r="BF14" s="232"/>
    </row>
    <row r="15" spans="2:58" ht="13" customHeight="1" x14ac:dyDescent="0.25">
      <c r="B15" s="239"/>
      <c r="C15" s="225"/>
      <c r="D15" s="225"/>
      <c r="E15" s="225"/>
      <c r="F15" s="225"/>
      <c r="G15" s="225"/>
      <c r="H15" s="225"/>
      <c r="I15" s="225"/>
      <c r="J15" s="225"/>
      <c r="K15" s="225"/>
      <c r="L15" s="226"/>
      <c r="M15" s="224"/>
      <c r="N15" s="225"/>
      <c r="O15" s="225"/>
      <c r="P15" s="225"/>
      <c r="Q15" s="225"/>
      <c r="R15" s="225"/>
      <c r="S15" s="225"/>
      <c r="T15" s="225"/>
      <c r="U15" s="225"/>
      <c r="V15" s="225"/>
      <c r="W15" s="226"/>
      <c r="X15" s="224"/>
      <c r="Y15" s="225"/>
      <c r="Z15" s="225"/>
      <c r="AA15" s="225"/>
      <c r="AB15" s="225"/>
      <c r="AC15" s="225"/>
      <c r="AD15" s="225"/>
      <c r="AE15" s="225"/>
      <c r="AF15" s="225"/>
      <c r="AG15" s="225"/>
      <c r="AH15" s="226"/>
      <c r="AI15" s="224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6"/>
      <c r="AU15" s="224"/>
      <c r="AV15" s="225"/>
      <c r="AW15" s="225"/>
      <c r="AX15" s="225"/>
      <c r="AY15" s="225"/>
      <c r="AZ15" s="225"/>
      <c r="BA15" s="225"/>
      <c r="BB15" s="225"/>
      <c r="BC15" s="225"/>
      <c r="BD15" s="225"/>
      <c r="BE15" s="225"/>
      <c r="BF15" s="232"/>
    </row>
    <row r="16" spans="2:58" ht="13" customHeight="1" x14ac:dyDescent="0.25">
      <c r="B16" s="239"/>
      <c r="C16" s="225"/>
      <c r="D16" s="225"/>
      <c r="E16" s="225"/>
      <c r="F16" s="225"/>
      <c r="G16" s="225"/>
      <c r="H16" s="225"/>
      <c r="I16" s="225"/>
      <c r="J16" s="225"/>
      <c r="K16" s="225"/>
      <c r="L16" s="226"/>
      <c r="M16" s="224"/>
      <c r="N16" s="225"/>
      <c r="O16" s="225"/>
      <c r="P16" s="225"/>
      <c r="Q16" s="225"/>
      <c r="R16" s="225"/>
      <c r="S16" s="225"/>
      <c r="T16" s="225"/>
      <c r="U16" s="225"/>
      <c r="V16" s="225"/>
      <c r="W16" s="226"/>
      <c r="X16" s="224"/>
      <c r="Y16" s="225"/>
      <c r="Z16" s="225"/>
      <c r="AA16" s="225"/>
      <c r="AB16" s="225"/>
      <c r="AC16" s="225"/>
      <c r="AD16" s="225"/>
      <c r="AE16" s="225"/>
      <c r="AF16" s="225"/>
      <c r="AG16" s="225"/>
      <c r="AH16" s="226"/>
      <c r="AI16" s="224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6"/>
      <c r="AU16" s="224"/>
      <c r="AV16" s="225"/>
      <c r="AW16" s="225"/>
      <c r="AX16" s="225"/>
      <c r="AY16" s="225"/>
      <c r="AZ16" s="225"/>
      <c r="BA16" s="225"/>
      <c r="BB16" s="225"/>
      <c r="BC16" s="225"/>
      <c r="BD16" s="225"/>
      <c r="BE16" s="225"/>
      <c r="BF16" s="232"/>
    </row>
    <row r="17" spans="2:58" ht="13" customHeight="1" x14ac:dyDescent="0.25">
      <c r="B17" s="240"/>
      <c r="C17" s="228"/>
      <c r="D17" s="228"/>
      <c r="E17" s="228"/>
      <c r="F17" s="228"/>
      <c r="G17" s="228"/>
      <c r="H17" s="228"/>
      <c r="I17" s="228"/>
      <c r="J17" s="228"/>
      <c r="K17" s="228"/>
      <c r="L17" s="185"/>
      <c r="M17" s="227"/>
      <c r="N17" s="228"/>
      <c r="O17" s="228"/>
      <c r="P17" s="228"/>
      <c r="Q17" s="228"/>
      <c r="R17" s="228"/>
      <c r="S17" s="228"/>
      <c r="T17" s="228"/>
      <c r="U17" s="228"/>
      <c r="V17" s="228"/>
      <c r="W17" s="185"/>
      <c r="X17" s="227"/>
      <c r="Y17" s="228"/>
      <c r="Z17" s="228"/>
      <c r="AA17" s="228"/>
      <c r="AB17" s="228"/>
      <c r="AC17" s="228"/>
      <c r="AD17" s="228"/>
      <c r="AE17" s="228"/>
      <c r="AF17" s="228"/>
      <c r="AG17" s="228"/>
      <c r="AH17" s="185"/>
      <c r="AI17" s="227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185"/>
      <c r="AU17" s="227"/>
      <c r="AV17" s="228"/>
      <c r="AW17" s="228"/>
      <c r="AX17" s="228"/>
      <c r="AY17" s="228"/>
      <c r="AZ17" s="228"/>
      <c r="BA17" s="228"/>
      <c r="BB17" s="228"/>
      <c r="BC17" s="228"/>
      <c r="BD17" s="228"/>
      <c r="BE17" s="228"/>
      <c r="BF17" s="233"/>
    </row>
    <row r="18" spans="2:58" ht="13" customHeight="1" x14ac:dyDescent="0.25">
      <c r="B18" s="217" t="s">
        <v>241</v>
      </c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50" t="s">
        <v>242</v>
      </c>
      <c r="N18" s="215"/>
      <c r="O18" s="215"/>
      <c r="P18" s="215"/>
      <c r="Q18" s="215"/>
      <c r="R18" s="215"/>
      <c r="S18" s="215"/>
      <c r="T18" s="215"/>
      <c r="U18" s="215"/>
      <c r="V18" s="215"/>
      <c r="W18" s="186"/>
      <c r="X18" s="249" t="s">
        <v>243</v>
      </c>
      <c r="Y18" s="215"/>
      <c r="Z18" s="215"/>
      <c r="AA18" s="215"/>
      <c r="AB18" s="215"/>
      <c r="AC18" s="215"/>
      <c r="AD18" s="215"/>
      <c r="AE18" s="215"/>
      <c r="AF18" s="215"/>
      <c r="AG18" s="215"/>
      <c r="AH18" s="186"/>
      <c r="AI18" s="154" t="s">
        <v>244</v>
      </c>
      <c r="AJ18" s="215"/>
      <c r="AK18" s="215"/>
      <c r="AL18" s="215"/>
      <c r="AM18" s="215"/>
      <c r="AN18" s="215"/>
      <c r="AO18" s="215"/>
      <c r="AP18" s="215"/>
      <c r="AQ18" s="215"/>
      <c r="AR18" s="215"/>
      <c r="AS18" s="215"/>
      <c r="AT18" s="186"/>
      <c r="AU18" s="168" t="s">
        <v>245</v>
      </c>
      <c r="AV18" s="215"/>
      <c r="AW18" s="215"/>
      <c r="AX18" s="215"/>
      <c r="AY18" s="215"/>
      <c r="AZ18" s="215"/>
      <c r="BA18" s="215"/>
      <c r="BB18" s="215"/>
      <c r="BC18" s="215"/>
      <c r="BD18" s="215"/>
      <c r="BE18" s="215"/>
      <c r="BF18" s="219"/>
    </row>
    <row r="19" spans="2:58" ht="13" customHeight="1" x14ac:dyDescent="0.25">
      <c r="B19" s="238"/>
      <c r="C19" s="222"/>
      <c r="D19" s="222"/>
      <c r="E19" s="222"/>
      <c r="F19" s="222"/>
      <c r="G19" s="222"/>
      <c r="H19" s="222"/>
      <c r="I19" s="222"/>
      <c r="J19" s="222"/>
      <c r="K19" s="222"/>
      <c r="L19" s="223"/>
      <c r="M19" s="252"/>
      <c r="N19" s="222"/>
      <c r="O19" s="222"/>
      <c r="P19" s="222"/>
      <c r="Q19" s="222"/>
      <c r="R19" s="222"/>
      <c r="S19" s="222"/>
      <c r="T19" s="222"/>
      <c r="U19" s="222"/>
      <c r="V19" s="222"/>
      <c r="W19" s="223"/>
      <c r="X19" s="221"/>
      <c r="Y19" s="222"/>
      <c r="Z19" s="222"/>
      <c r="AA19" s="222"/>
      <c r="AB19" s="222"/>
      <c r="AC19" s="222"/>
      <c r="AD19" s="222"/>
      <c r="AE19" s="222"/>
      <c r="AF19" s="222"/>
      <c r="AG19" s="222"/>
      <c r="AH19" s="223"/>
      <c r="AI19" s="229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3"/>
      <c r="AU19" s="230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31"/>
    </row>
    <row r="20" spans="2:58" ht="13" customHeight="1" x14ac:dyDescent="0.25">
      <c r="B20" s="239"/>
      <c r="C20" s="225"/>
      <c r="D20" s="225"/>
      <c r="E20" s="225"/>
      <c r="F20" s="225"/>
      <c r="G20" s="225"/>
      <c r="H20" s="225"/>
      <c r="I20" s="225"/>
      <c r="J20" s="225"/>
      <c r="K20" s="225"/>
      <c r="L20" s="226"/>
      <c r="M20" s="224"/>
      <c r="N20" s="225"/>
      <c r="O20" s="225"/>
      <c r="P20" s="225"/>
      <c r="Q20" s="225"/>
      <c r="R20" s="225"/>
      <c r="S20" s="225"/>
      <c r="T20" s="225"/>
      <c r="U20" s="225"/>
      <c r="V20" s="225"/>
      <c r="W20" s="226"/>
      <c r="X20" s="224"/>
      <c r="Y20" s="225"/>
      <c r="Z20" s="225"/>
      <c r="AA20" s="225"/>
      <c r="AB20" s="225"/>
      <c r="AC20" s="225"/>
      <c r="AD20" s="225"/>
      <c r="AE20" s="225"/>
      <c r="AF20" s="225"/>
      <c r="AG20" s="225"/>
      <c r="AH20" s="226"/>
      <c r="AI20" s="224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6"/>
      <c r="AU20" s="224"/>
      <c r="AV20" s="225"/>
      <c r="AW20" s="225"/>
      <c r="AX20" s="225"/>
      <c r="AY20" s="225"/>
      <c r="AZ20" s="225"/>
      <c r="BA20" s="225"/>
      <c r="BB20" s="225"/>
      <c r="BC20" s="225"/>
      <c r="BD20" s="225"/>
      <c r="BE20" s="225"/>
      <c r="BF20" s="232"/>
    </row>
    <row r="21" spans="2:58" ht="13" customHeight="1" x14ac:dyDescent="0.25">
      <c r="B21" s="239"/>
      <c r="C21" s="225"/>
      <c r="D21" s="225"/>
      <c r="E21" s="225"/>
      <c r="F21" s="225"/>
      <c r="G21" s="225"/>
      <c r="H21" s="225"/>
      <c r="I21" s="225"/>
      <c r="J21" s="225"/>
      <c r="K21" s="225"/>
      <c r="L21" s="226"/>
      <c r="M21" s="224"/>
      <c r="N21" s="225"/>
      <c r="O21" s="225"/>
      <c r="P21" s="225"/>
      <c r="Q21" s="225"/>
      <c r="R21" s="225"/>
      <c r="S21" s="225"/>
      <c r="T21" s="225"/>
      <c r="U21" s="225"/>
      <c r="V21" s="225"/>
      <c r="W21" s="226"/>
      <c r="X21" s="224"/>
      <c r="Y21" s="225"/>
      <c r="Z21" s="225"/>
      <c r="AA21" s="225"/>
      <c r="AB21" s="225"/>
      <c r="AC21" s="225"/>
      <c r="AD21" s="225"/>
      <c r="AE21" s="225"/>
      <c r="AF21" s="225"/>
      <c r="AG21" s="225"/>
      <c r="AH21" s="226"/>
      <c r="AI21" s="224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6"/>
      <c r="AU21" s="224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32"/>
    </row>
    <row r="22" spans="2:58" ht="13" customHeight="1" x14ac:dyDescent="0.25">
      <c r="B22" s="239"/>
      <c r="C22" s="225"/>
      <c r="D22" s="225"/>
      <c r="E22" s="225"/>
      <c r="F22" s="225"/>
      <c r="G22" s="225"/>
      <c r="H22" s="225"/>
      <c r="I22" s="225"/>
      <c r="J22" s="225"/>
      <c r="K22" s="225"/>
      <c r="L22" s="226"/>
      <c r="M22" s="224"/>
      <c r="N22" s="225"/>
      <c r="O22" s="225"/>
      <c r="P22" s="225"/>
      <c r="Q22" s="225"/>
      <c r="R22" s="225"/>
      <c r="S22" s="225"/>
      <c r="T22" s="225"/>
      <c r="U22" s="225"/>
      <c r="V22" s="225"/>
      <c r="W22" s="226"/>
      <c r="X22" s="224"/>
      <c r="Y22" s="225"/>
      <c r="Z22" s="225"/>
      <c r="AA22" s="225"/>
      <c r="AB22" s="225"/>
      <c r="AC22" s="225"/>
      <c r="AD22" s="225"/>
      <c r="AE22" s="225"/>
      <c r="AF22" s="225"/>
      <c r="AG22" s="225"/>
      <c r="AH22" s="226"/>
      <c r="AI22" s="224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6"/>
      <c r="AU22" s="224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32"/>
    </row>
    <row r="23" spans="2:58" ht="13" customHeight="1" x14ac:dyDescent="0.25">
      <c r="B23" s="239"/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M23" s="224"/>
      <c r="N23" s="225"/>
      <c r="O23" s="225"/>
      <c r="P23" s="225"/>
      <c r="Q23" s="225"/>
      <c r="R23" s="225"/>
      <c r="S23" s="225"/>
      <c r="T23" s="225"/>
      <c r="U23" s="225"/>
      <c r="V23" s="225"/>
      <c r="W23" s="226"/>
      <c r="X23" s="224"/>
      <c r="Y23" s="225"/>
      <c r="Z23" s="225"/>
      <c r="AA23" s="225"/>
      <c r="AB23" s="225"/>
      <c r="AC23" s="225"/>
      <c r="AD23" s="225"/>
      <c r="AE23" s="225"/>
      <c r="AF23" s="225"/>
      <c r="AG23" s="225"/>
      <c r="AH23" s="226"/>
      <c r="AI23" s="224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6"/>
      <c r="AU23" s="224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32"/>
    </row>
    <row r="24" spans="2:58" ht="13" customHeight="1" x14ac:dyDescent="0.25">
      <c r="B24" s="240"/>
      <c r="C24" s="228"/>
      <c r="D24" s="228"/>
      <c r="E24" s="228"/>
      <c r="F24" s="228"/>
      <c r="G24" s="228"/>
      <c r="H24" s="228"/>
      <c r="I24" s="228"/>
      <c r="J24" s="228"/>
      <c r="K24" s="228"/>
      <c r="L24" s="185"/>
      <c r="M24" s="227"/>
      <c r="N24" s="228"/>
      <c r="O24" s="228"/>
      <c r="P24" s="228"/>
      <c r="Q24" s="228"/>
      <c r="R24" s="228"/>
      <c r="S24" s="228"/>
      <c r="T24" s="228"/>
      <c r="U24" s="228"/>
      <c r="V24" s="228"/>
      <c r="W24" s="185"/>
      <c r="X24" s="227"/>
      <c r="Y24" s="228"/>
      <c r="Z24" s="228"/>
      <c r="AA24" s="228"/>
      <c r="AB24" s="228"/>
      <c r="AC24" s="228"/>
      <c r="AD24" s="228"/>
      <c r="AE24" s="228"/>
      <c r="AF24" s="228"/>
      <c r="AG24" s="228"/>
      <c r="AH24" s="185"/>
      <c r="AI24" s="227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185"/>
      <c r="AU24" s="227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33"/>
    </row>
    <row r="25" spans="2:58" ht="13" customHeight="1" x14ac:dyDescent="0.25">
      <c r="B25" s="217" t="s">
        <v>246</v>
      </c>
      <c r="C25" s="215"/>
      <c r="D25" s="215"/>
      <c r="E25" s="215"/>
      <c r="F25" s="215"/>
      <c r="G25" s="215"/>
      <c r="H25" s="215"/>
      <c r="I25" s="215"/>
      <c r="J25" s="215"/>
      <c r="K25" s="215"/>
      <c r="L25" s="186"/>
      <c r="M25" s="192" t="s">
        <v>247</v>
      </c>
      <c r="N25" s="215"/>
      <c r="O25" s="215"/>
      <c r="P25" s="215"/>
      <c r="Q25" s="215"/>
      <c r="R25" s="215"/>
      <c r="S25" s="215"/>
      <c r="T25" s="215"/>
      <c r="U25" s="215"/>
      <c r="V25" s="215"/>
      <c r="W25" s="186"/>
      <c r="X25" s="218" t="s">
        <v>248</v>
      </c>
      <c r="Y25" s="215"/>
      <c r="Z25" s="215"/>
      <c r="AA25" s="215"/>
      <c r="AB25" s="215"/>
      <c r="AC25" s="215"/>
      <c r="AD25" s="215"/>
      <c r="AE25" s="215"/>
      <c r="AF25" s="215"/>
      <c r="AG25" s="215"/>
      <c r="AH25" s="186"/>
      <c r="AI25" s="168" t="s">
        <v>249</v>
      </c>
      <c r="AJ25" s="215"/>
      <c r="AK25" s="215"/>
      <c r="AL25" s="215"/>
      <c r="AM25" s="215"/>
      <c r="AN25" s="215"/>
      <c r="AO25" s="215"/>
      <c r="AP25" s="215"/>
      <c r="AQ25" s="215"/>
      <c r="AR25" s="215"/>
      <c r="AS25" s="215"/>
      <c r="AT25" s="186"/>
      <c r="AU25" s="168" t="s">
        <v>250</v>
      </c>
      <c r="AV25" s="215"/>
      <c r="AW25" s="215"/>
      <c r="AX25" s="215"/>
      <c r="AY25" s="215"/>
      <c r="AZ25" s="215"/>
      <c r="BA25" s="215"/>
      <c r="BB25" s="215"/>
      <c r="BC25" s="215"/>
      <c r="BD25" s="215"/>
      <c r="BE25" s="215"/>
      <c r="BF25" s="219"/>
    </row>
    <row r="26" spans="2:58" ht="13" customHeight="1" x14ac:dyDescent="0.25">
      <c r="B26" s="238"/>
      <c r="C26" s="222"/>
      <c r="D26" s="222"/>
      <c r="E26" s="222"/>
      <c r="F26" s="222"/>
      <c r="G26" s="222"/>
      <c r="H26" s="222"/>
      <c r="I26" s="222"/>
      <c r="J26" s="222"/>
      <c r="K26" s="222"/>
      <c r="L26" s="223"/>
      <c r="M26" s="246"/>
      <c r="N26" s="222"/>
      <c r="O26" s="222"/>
      <c r="P26" s="222"/>
      <c r="Q26" s="222"/>
      <c r="R26" s="222"/>
      <c r="S26" s="222"/>
      <c r="T26" s="222"/>
      <c r="U26" s="222"/>
      <c r="V26" s="222"/>
      <c r="W26" s="223"/>
      <c r="X26" s="242"/>
      <c r="Y26" s="222"/>
      <c r="Z26" s="222"/>
      <c r="AA26" s="222"/>
      <c r="AB26" s="222"/>
      <c r="AC26" s="222"/>
      <c r="AD26" s="222"/>
      <c r="AE26" s="222"/>
      <c r="AF26" s="222"/>
      <c r="AG26" s="222"/>
      <c r="AH26" s="223"/>
      <c r="AI26" s="230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3"/>
      <c r="AU26" s="230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31"/>
    </row>
    <row r="27" spans="2:58" ht="13" customHeight="1" x14ac:dyDescent="0.25">
      <c r="B27" s="239"/>
      <c r="C27" s="225"/>
      <c r="D27" s="225"/>
      <c r="E27" s="225"/>
      <c r="F27" s="225"/>
      <c r="G27" s="225"/>
      <c r="H27" s="225"/>
      <c r="I27" s="225"/>
      <c r="J27" s="225"/>
      <c r="K27" s="225"/>
      <c r="L27" s="226"/>
      <c r="M27" s="224"/>
      <c r="N27" s="225"/>
      <c r="O27" s="225"/>
      <c r="P27" s="225"/>
      <c r="Q27" s="225"/>
      <c r="R27" s="225"/>
      <c r="S27" s="225"/>
      <c r="T27" s="225"/>
      <c r="U27" s="225"/>
      <c r="V27" s="225"/>
      <c r="W27" s="226"/>
      <c r="X27" s="224"/>
      <c r="Y27" s="225"/>
      <c r="Z27" s="225"/>
      <c r="AA27" s="225"/>
      <c r="AB27" s="225"/>
      <c r="AC27" s="225"/>
      <c r="AD27" s="225"/>
      <c r="AE27" s="225"/>
      <c r="AF27" s="225"/>
      <c r="AG27" s="225"/>
      <c r="AH27" s="226"/>
      <c r="AI27" s="224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6"/>
      <c r="AU27" s="224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32"/>
    </row>
    <row r="28" spans="2:58" ht="13" customHeight="1" x14ac:dyDescent="0.25">
      <c r="B28" s="239"/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M28" s="224"/>
      <c r="N28" s="225"/>
      <c r="O28" s="225"/>
      <c r="P28" s="225"/>
      <c r="Q28" s="225"/>
      <c r="R28" s="225"/>
      <c r="S28" s="225"/>
      <c r="T28" s="225"/>
      <c r="U28" s="225"/>
      <c r="V28" s="225"/>
      <c r="W28" s="226"/>
      <c r="X28" s="224"/>
      <c r="Y28" s="225"/>
      <c r="Z28" s="225"/>
      <c r="AA28" s="225"/>
      <c r="AB28" s="225"/>
      <c r="AC28" s="225"/>
      <c r="AD28" s="225"/>
      <c r="AE28" s="225"/>
      <c r="AF28" s="225"/>
      <c r="AG28" s="225"/>
      <c r="AH28" s="226"/>
      <c r="AI28" s="224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6"/>
      <c r="AU28" s="224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32"/>
    </row>
    <row r="29" spans="2:58" ht="13" customHeight="1" x14ac:dyDescent="0.25">
      <c r="B29" s="239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M29" s="224"/>
      <c r="N29" s="225"/>
      <c r="O29" s="225"/>
      <c r="P29" s="225"/>
      <c r="Q29" s="225"/>
      <c r="R29" s="225"/>
      <c r="S29" s="225"/>
      <c r="T29" s="225"/>
      <c r="U29" s="225"/>
      <c r="V29" s="225"/>
      <c r="W29" s="226"/>
      <c r="X29" s="224"/>
      <c r="Y29" s="225"/>
      <c r="Z29" s="225"/>
      <c r="AA29" s="225"/>
      <c r="AB29" s="225"/>
      <c r="AC29" s="225"/>
      <c r="AD29" s="225"/>
      <c r="AE29" s="225"/>
      <c r="AF29" s="225"/>
      <c r="AG29" s="225"/>
      <c r="AH29" s="226"/>
      <c r="AI29" s="224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6"/>
      <c r="AU29" s="224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32"/>
    </row>
    <row r="30" spans="2:58" ht="13" customHeight="1" x14ac:dyDescent="0.25">
      <c r="B30" s="239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M30" s="224"/>
      <c r="N30" s="225"/>
      <c r="O30" s="225"/>
      <c r="P30" s="225"/>
      <c r="Q30" s="225"/>
      <c r="R30" s="225"/>
      <c r="S30" s="225"/>
      <c r="T30" s="225"/>
      <c r="U30" s="225"/>
      <c r="V30" s="225"/>
      <c r="W30" s="226"/>
      <c r="X30" s="224"/>
      <c r="Y30" s="225"/>
      <c r="Z30" s="225"/>
      <c r="AA30" s="225"/>
      <c r="AB30" s="225"/>
      <c r="AC30" s="225"/>
      <c r="AD30" s="225"/>
      <c r="AE30" s="225"/>
      <c r="AF30" s="225"/>
      <c r="AG30" s="225"/>
      <c r="AH30" s="226"/>
      <c r="AI30" s="224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6"/>
      <c r="AU30" s="224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32"/>
    </row>
    <row r="31" spans="2:58" ht="13" customHeight="1" x14ac:dyDescent="0.25">
      <c r="B31" s="240"/>
      <c r="C31" s="228"/>
      <c r="D31" s="228"/>
      <c r="E31" s="228"/>
      <c r="F31" s="228"/>
      <c r="G31" s="228"/>
      <c r="H31" s="228"/>
      <c r="I31" s="228"/>
      <c r="J31" s="228"/>
      <c r="K31" s="228"/>
      <c r="L31" s="185"/>
      <c r="M31" s="227"/>
      <c r="N31" s="228"/>
      <c r="O31" s="228"/>
      <c r="P31" s="228"/>
      <c r="Q31" s="228"/>
      <c r="R31" s="228"/>
      <c r="S31" s="228"/>
      <c r="T31" s="228"/>
      <c r="U31" s="228"/>
      <c r="V31" s="228"/>
      <c r="W31" s="185"/>
      <c r="X31" s="227"/>
      <c r="Y31" s="228"/>
      <c r="Z31" s="228"/>
      <c r="AA31" s="228"/>
      <c r="AB31" s="228"/>
      <c r="AC31" s="228"/>
      <c r="AD31" s="228"/>
      <c r="AE31" s="228"/>
      <c r="AF31" s="228"/>
      <c r="AG31" s="228"/>
      <c r="AH31" s="185"/>
      <c r="AI31" s="227"/>
      <c r="AJ31" s="228"/>
      <c r="AK31" s="228"/>
      <c r="AL31" s="228"/>
      <c r="AM31" s="228"/>
      <c r="AN31" s="228"/>
      <c r="AO31" s="228"/>
      <c r="AP31" s="228"/>
      <c r="AQ31" s="228"/>
      <c r="AR31" s="228"/>
      <c r="AS31" s="228"/>
      <c r="AT31" s="185"/>
      <c r="AU31" s="227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33"/>
    </row>
    <row r="32" spans="2:58" ht="13" customHeight="1" x14ac:dyDescent="0.25">
      <c r="B32" s="217" t="s">
        <v>251</v>
      </c>
      <c r="C32" s="215"/>
      <c r="D32" s="215"/>
      <c r="E32" s="215"/>
      <c r="F32" s="215"/>
      <c r="G32" s="215"/>
      <c r="H32" s="215"/>
      <c r="I32" s="215"/>
      <c r="J32" s="215"/>
      <c r="K32" s="215"/>
      <c r="L32" s="186"/>
      <c r="M32" s="220" t="s">
        <v>252</v>
      </c>
      <c r="N32" s="215"/>
      <c r="O32" s="215"/>
      <c r="P32" s="215"/>
      <c r="Q32" s="215"/>
      <c r="R32" s="215"/>
      <c r="S32" s="215"/>
      <c r="T32" s="215"/>
      <c r="U32" s="215"/>
      <c r="V32" s="215"/>
      <c r="W32" s="186"/>
      <c r="X32" s="218" t="s">
        <v>253</v>
      </c>
      <c r="Y32" s="215"/>
      <c r="Z32" s="215"/>
      <c r="AA32" s="215"/>
      <c r="AB32" s="215"/>
      <c r="AC32" s="215"/>
      <c r="AD32" s="215"/>
      <c r="AE32" s="215"/>
      <c r="AF32" s="215"/>
      <c r="AG32" s="215"/>
      <c r="AH32" s="186"/>
      <c r="AI32" s="168" t="s">
        <v>254</v>
      </c>
      <c r="AJ32" s="215"/>
      <c r="AK32" s="215"/>
      <c r="AL32" s="215"/>
      <c r="AM32" s="215"/>
      <c r="AN32" s="215"/>
      <c r="AO32" s="215"/>
      <c r="AP32" s="215"/>
      <c r="AQ32" s="215"/>
      <c r="AR32" s="215"/>
      <c r="AS32" s="215"/>
      <c r="AT32" s="186"/>
      <c r="AU32" s="168" t="s">
        <v>255</v>
      </c>
      <c r="AV32" s="215"/>
      <c r="AW32" s="215"/>
      <c r="AX32" s="215"/>
      <c r="AY32" s="215"/>
      <c r="AZ32" s="215"/>
      <c r="BA32" s="215"/>
      <c r="BB32" s="215"/>
      <c r="BC32" s="215"/>
      <c r="BD32" s="215"/>
      <c r="BE32" s="215"/>
      <c r="BF32" s="219"/>
    </row>
    <row r="33" spans="2:58" ht="13" customHeight="1" x14ac:dyDescent="0.25">
      <c r="B33" s="238"/>
      <c r="C33" s="222"/>
      <c r="D33" s="222"/>
      <c r="E33" s="222"/>
      <c r="F33" s="222"/>
      <c r="G33" s="222"/>
      <c r="H33" s="222"/>
      <c r="I33" s="222"/>
      <c r="J33" s="222"/>
      <c r="K33" s="222"/>
      <c r="L33" s="223"/>
      <c r="M33" s="241"/>
      <c r="N33" s="222"/>
      <c r="O33" s="222"/>
      <c r="P33" s="222"/>
      <c r="Q33" s="222"/>
      <c r="R33" s="222"/>
      <c r="S33" s="222"/>
      <c r="T33" s="222"/>
      <c r="U33" s="222"/>
      <c r="V33" s="222"/>
      <c r="W33" s="223"/>
      <c r="X33" s="242"/>
      <c r="Y33" s="222"/>
      <c r="Z33" s="222"/>
      <c r="AA33" s="222"/>
      <c r="AB33" s="222"/>
      <c r="AC33" s="222"/>
      <c r="AD33" s="222"/>
      <c r="AE33" s="222"/>
      <c r="AF33" s="222"/>
      <c r="AG33" s="222"/>
      <c r="AH33" s="223"/>
      <c r="AI33" s="230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3"/>
      <c r="AU33" s="230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31"/>
    </row>
    <row r="34" spans="2:58" ht="13" customHeight="1" x14ac:dyDescent="0.25">
      <c r="B34" s="239"/>
      <c r="C34" s="225"/>
      <c r="D34" s="225"/>
      <c r="E34" s="225"/>
      <c r="F34" s="225"/>
      <c r="G34" s="225"/>
      <c r="H34" s="225"/>
      <c r="I34" s="225"/>
      <c r="J34" s="225"/>
      <c r="K34" s="225"/>
      <c r="L34" s="226"/>
      <c r="M34" s="224"/>
      <c r="N34" s="225"/>
      <c r="O34" s="225"/>
      <c r="P34" s="225"/>
      <c r="Q34" s="225"/>
      <c r="R34" s="225"/>
      <c r="S34" s="225"/>
      <c r="T34" s="225"/>
      <c r="U34" s="225"/>
      <c r="V34" s="225"/>
      <c r="W34" s="226"/>
      <c r="X34" s="224"/>
      <c r="Y34" s="225"/>
      <c r="Z34" s="225"/>
      <c r="AA34" s="225"/>
      <c r="AB34" s="225"/>
      <c r="AC34" s="225"/>
      <c r="AD34" s="225"/>
      <c r="AE34" s="225"/>
      <c r="AF34" s="225"/>
      <c r="AG34" s="225"/>
      <c r="AH34" s="226"/>
      <c r="AI34" s="224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6"/>
      <c r="AU34" s="224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32"/>
    </row>
    <row r="35" spans="2:58" ht="13" customHeight="1" x14ac:dyDescent="0.25">
      <c r="B35" s="239"/>
      <c r="C35" s="225"/>
      <c r="D35" s="225"/>
      <c r="E35" s="225"/>
      <c r="F35" s="225"/>
      <c r="G35" s="225"/>
      <c r="H35" s="225"/>
      <c r="I35" s="225"/>
      <c r="J35" s="225"/>
      <c r="K35" s="225"/>
      <c r="L35" s="226"/>
      <c r="M35" s="224"/>
      <c r="N35" s="225"/>
      <c r="O35" s="225"/>
      <c r="P35" s="225"/>
      <c r="Q35" s="225"/>
      <c r="R35" s="225"/>
      <c r="S35" s="225"/>
      <c r="T35" s="225"/>
      <c r="U35" s="225"/>
      <c r="V35" s="225"/>
      <c r="W35" s="226"/>
      <c r="X35" s="224"/>
      <c r="Y35" s="225"/>
      <c r="Z35" s="225"/>
      <c r="AA35" s="225"/>
      <c r="AB35" s="225"/>
      <c r="AC35" s="225"/>
      <c r="AD35" s="225"/>
      <c r="AE35" s="225"/>
      <c r="AF35" s="225"/>
      <c r="AG35" s="225"/>
      <c r="AH35" s="226"/>
      <c r="AI35" s="224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6"/>
      <c r="AU35" s="224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32"/>
    </row>
    <row r="36" spans="2:58" ht="13" customHeight="1" x14ac:dyDescent="0.25">
      <c r="B36" s="239"/>
      <c r="C36" s="225"/>
      <c r="D36" s="225"/>
      <c r="E36" s="225"/>
      <c r="F36" s="225"/>
      <c r="G36" s="225"/>
      <c r="H36" s="225"/>
      <c r="I36" s="225"/>
      <c r="J36" s="225"/>
      <c r="K36" s="225"/>
      <c r="L36" s="226"/>
      <c r="M36" s="224"/>
      <c r="N36" s="225"/>
      <c r="O36" s="225"/>
      <c r="P36" s="225"/>
      <c r="Q36" s="225"/>
      <c r="R36" s="225"/>
      <c r="S36" s="225"/>
      <c r="T36" s="225"/>
      <c r="U36" s="225"/>
      <c r="V36" s="225"/>
      <c r="W36" s="226"/>
      <c r="X36" s="224"/>
      <c r="Y36" s="225"/>
      <c r="Z36" s="225"/>
      <c r="AA36" s="225"/>
      <c r="AB36" s="225"/>
      <c r="AC36" s="225"/>
      <c r="AD36" s="225"/>
      <c r="AE36" s="225"/>
      <c r="AF36" s="225"/>
      <c r="AG36" s="225"/>
      <c r="AH36" s="226"/>
      <c r="AI36" s="224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6"/>
      <c r="AU36" s="224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32"/>
    </row>
    <row r="37" spans="2:58" ht="13" customHeight="1" x14ac:dyDescent="0.25">
      <c r="B37" s="239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M37" s="224"/>
      <c r="N37" s="225"/>
      <c r="O37" s="225"/>
      <c r="P37" s="225"/>
      <c r="Q37" s="225"/>
      <c r="R37" s="225"/>
      <c r="S37" s="225"/>
      <c r="T37" s="225"/>
      <c r="U37" s="225"/>
      <c r="V37" s="225"/>
      <c r="W37" s="226"/>
      <c r="X37" s="224"/>
      <c r="Y37" s="225"/>
      <c r="Z37" s="225"/>
      <c r="AA37" s="225"/>
      <c r="AB37" s="225"/>
      <c r="AC37" s="225"/>
      <c r="AD37" s="225"/>
      <c r="AE37" s="225"/>
      <c r="AF37" s="225"/>
      <c r="AG37" s="225"/>
      <c r="AH37" s="226"/>
      <c r="AI37" s="224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6"/>
      <c r="AU37" s="224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32"/>
    </row>
    <row r="38" spans="2:58" ht="13" customHeight="1" x14ac:dyDescent="0.25">
      <c r="B38" s="240"/>
      <c r="C38" s="228"/>
      <c r="D38" s="228"/>
      <c r="E38" s="228"/>
      <c r="F38" s="228"/>
      <c r="G38" s="228"/>
      <c r="H38" s="228"/>
      <c r="I38" s="228"/>
      <c r="J38" s="228"/>
      <c r="K38" s="228"/>
      <c r="L38" s="185"/>
      <c r="M38" s="227"/>
      <c r="N38" s="228"/>
      <c r="O38" s="228"/>
      <c r="P38" s="228"/>
      <c r="Q38" s="228"/>
      <c r="R38" s="228"/>
      <c r="S38" s="228"/>
      <c r="T38" s="228"/>
      <c r="U38" s="228"/>
      <c r="V38" s="228"/>
      <c r="W38" s="185"/>
      <c r="X38" s="227"/>
      <c r="Y38" s="228"/>
      <c r="Z38" s="228"/>
      <c r="AA38" s="228"/>
      <c r="AB38" s="228"/>
      <c r="AC38" s="228"/>
      <c r="AD38" s="228"/>
      <c r="AE38" s="228"/>
      <c r="AF38" s="228"/>
      <c r="AG38" s="228"/>
      <c r="AH38" s="185"/>
      <c r="AI38" s="227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185"/>
      <c r="AU38" s="227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33"/>
    </row>
    <row r="39" spans="2:58" ht="13" customHeight="1" x14ac:dyDescent="0.25">
      <c r="B39" s="217" t="s">
        <v>256</v>
      </c>
      <c r="C39" s="215"/>
      <c r="D39" s="215"/>
      <c r="E39" s="215"/>
      <c r="F39" s="215"/>
      <c r="G39" s="215"/>
      <c r="H39" s="215"/>
      <c r="I39" s="215"/>
      <c r="J39" s="215"/>
      <c r="K39" s="215"/>
      <c r="L39" s="186"/>
      <c r="M39" s="220" t="s">
        <v>257</v>
      </c>
      <c r="N39" s="215"/>
      <c r="O39" s="215"/>
      <c r="P39" s="215"/>
      <c r="Q39" s="215"/>
      <c r="R39" s="215"/>
      <c r="S39" s="215"/>
      <c r="T39" s="215"/>
      <c r="U39" s="215"/>
      <c r="V39" s="215"/>
      <c r="W39" s="186"/>
      <c r="X39" s="218" t="s">
        <v>258</v>
      </c>
      <c r="Y39" s="215"/>
      <c r="Z39" s="215"/>
      <c r="AA39" s="215"/>
      <c r="AB39" s="215"/>
      <c r="AC39" s="215"/>
      <c r="AD39" s="215"/>
      <c r="AE39" s="215"/>
      <c r="AF39" s="215"/>
      <c r="AG39" s="215"/>
      <c r="AH39" s="186"/>
      <c r="AI39" s="168" t="s">
        <v>259</v>
      </c>
      <c r="AJ39" s="215"/>
      <c r="AK39" s="215"/>
      <c r="AL39" s="215"/>
      <c r="AM39" s="215"/>
      <c r="AN39" s="215"/>
      <c r="AO39" s="215"/>
      <c r="AP39" s="215"/>
      <c r="AQ39" s="215"/>
      <c r="AR39" s="215"/>
      <c r="AS39" s="215"/>
      <c r="AT39" s="186"/>
      <c r="AU39" s="168" t="s">
        <v>260</v>
      </c>
      <c r="AV39" s="215"/>
      <c r="AW39" s="215"/>
      <c r="AX39" s="215"/>
      <c r="AY39" s="215"/>
      <c r="AZ39" s="215"/>
      <c r="BA39" s="215"/>
      <c r="BB39" s="215"/>
      <c r="BC39" s="215"/>
      <c r="BD39" s="215"/>
      <c r="BE39" s="215"/>
      <c r="BF39" s="219"/>
    </row>
    <row r="40" spans="2:58" ht="13" customHeight="1" x14ac:dyDescent="0.25">
      <c r="B40" s="238"/>
      <c r="C40" s="222"/>
      <c r="D40" s="222"/>
      <c r="E40" s="222"/>
      <c r="F40" s="222"/>
      <c r="G40" s="222"/>
      <c r="H40" s="222"/>
      <c r="I40" s="222"/>
      <c r="J40" s="222"/>
      <c r="K40" s="222"/>
      <c r="L40" s="223"/>
      <c r="M40" s="241"/>
      <c r="N40" s="222"/>
      <c r="O40" s="222"/>
      <c r="P40" s="222"/>
      <c r="Q40" s="222"/>
      <c r="R40" s="222"/>
      <c r="S40" s="222"/>
      <c r="T40" s="222"/>
      <c r="U40" s="222"/>
      <c r="V40" s="222"/>
      <c r="W40" s="223"/>
      <c r="X40" s="242"/>
      <c r="Y40" s="222"/>
      <c r="Z40" s="222"/>
      <c r="AA40" s="222"/>
      <c r="AB40" s="222"/>
      <c r="AC40" s="222"/>
      <c r="AD40" s="222"/>
      <c r="AE40" s="222"/>
      <c r="AF40" s="222"/>
      <c r="AG40" s="222"/>
      <c r="AH40" s="223"/>
      <c r="AI40" s="230"/>
      <c r="AJ40" s="222"/>
      <c r="AK40" s="222"/>
      <c r="AL40" s="222"/>
      <c r="AM40" s="222"/>
      <c r="AN40" s="222"/>
      <c r="AO40" s="222"/>
      <c r="AP40" s="222"/>
      <c r="AQ40" s="222"/>
      <c r="AR40" s="222"/>
      <c r="AS40" s="222"/>
      <c r="AT40" s="223"/>
      <c r="AU40" s="230"/>
      <c r="AV40" s="222"/>
      <c r="AW40" s="222"/>
      <c r="AX40" s="222"/>
      <c r="AY40" s="222"/>
      <c r="AZ40" s="222"/>
      <c r="BA40" s="222"/>
      <c r="BB40" s="222"/>
      <c r="BC40" s="222"/>
      <c r="BD40" s="222"/>
      <c r="BE40" s="222"/>
      <c r="BF40" s="231"/>
    </row>
    <row r="41" spans="2:58" ht="13" customHeight="1" x14ac:dyDescent="0.25">
      <c r="B41" s="239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24"/>
      <c r="N41" s="225"/>
      <c r="O41" s="225"/>
      <c r="P41" s="225"/>
      <c r="Q41" s="225"/>
      <c r="R41" s="225"/>
      <c r="S41" s="225"/>
      <c r="T41" s="225"/>
      <c r="U41" s="225"/>
      <c r="V41" s="225"/>
      <c r="W41" s="226"/>
      <c r="X41" s="224"/>
      <c r="Y41" s="225"/>
      <c r="Z41" s="225"/>
      <c r="AA41" s="225"/>
      <c r="AB41" s="225"/>
      <c r="AC41" s="225"/>
      <c r="AD41" s="225"/>
      <c r="AE41" s="225"/>
      <c r="AF41" s="225"/>
      <c r="AG41" s="225"/>
      <c r="AH41" s="226"/>
      <c r="AI41" s="224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6"/>
      <c r="AU41" s="224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32"/>
    </row>
    <row r="42" spans="2:58" ht="13" customHeight="1" x14ac:dyDescent="0.25">
      <c r="B42" s="239"/>
      <c r="C42" s="225"/>
      <c r="D42" s="225"/>
      <c r="E42" s="225"/>
      <c r="F42" s="225"/>
      <c r="G42" s="225"/>
      <c r="H42" s="225"/>
      <c r="I42" s="225"/>
      <c r="J42" s="225"/>
      <c r="K42" s="225"/>
      <c r="L42" s="226"/>
      <c r="M42" s="224"/>
      <c r="N42" s="225"/>
      <c r="O42" s="225"/>
      <c r="P42" s="225"/>
      <c r="Q42" s="225"/>
      <c r="R42" s="225"/>
      <c r="S42" s="225"/>
      <c r="T42" s="225"/>
      <c r="U42" s="225"/>
      <c r="V42" s="225"/>
      <c r="W42" s="226"/>
      <c r="X42" s="224"/>
      <c r="Y42" s="225"/>
      <c r="Z42" s="225"/>
      <c r="AA42" s="225"/>
      <c r="AB42" s="225"/>
      <c r="AC42" s="225"/>
      <c r="AD42" s="225"/>
      <c r="AE42" s="225"/>
      <c r="AF42" s="225"/>
      <c r="AG42" s="225"/>
      <c r="AH42" s="226"/>
      <c r="AI42" s="224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6"/>
      <c r="AU42" s="224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32"/>
    </row>
    <row r="43" spans="2:58" ht="13" customHeight="1" x14ac:dyDescent="0.25">
      <c r="B43" s="239"/>
      <c r="C43" s="225"/>
      <c r="D43" s="225"/>
      <c r="E43" s="225"/>
      <c r="F43" s="225"/>
      <c r="G43" s="225"/>
      <c r="H43" s="225"/>
      <c r="I43" s="225"/>
      <c r="J43" s="225"/>
      <c r="K43" s="225"/>
      <c r="L43" s="226"/>
      <c r="M43" s="224"/>
      <c r="N43" s="225"/>
      <c r="O43" s="225"/>
      <c r="P43" s="225"/>
      <c r="Q43" s="225"/>
      <c r="R43" s="225"/>
      <c r="S43" s="225"/>
      <c r="T43" s="225"/>
      <c r="U43" s="225"/>
      <c r="V43" s="225"/>
      <c r="W43" s="226"/>
      <c r="X43" s="224"/>
      <c r="Y43" s="225"/>
      <c r="Z43" s="225"/>
      <c r="AA43" s="225"/>
      <c r="AB43" s="225"/>
      <c r="AC43" s="225"/>
      <c r="AD43" s="225"/>
      <c r="AE43" s="225"/>
      <c r="AF43" s="225"/>
      <c r="AG43" s="225"/>
      <c r="AH43" s="226"/>
      <c r="AI43" s="224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6"/>
      <c r="AU43" s="224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32"/>
    </row>
    <row r="44" spans="2:58" ht="13" customHeight="1" x14ac:dyDescent="0.25">
      <c r="B44" s="239"/>
      <c r="C44" s="225"/>
      <c r="D44" s="225"/>
      <c r="E44" s="225"/>
      <c r="F44" s="225"/>
      <c r="G44" s="225"/>
      <c r="H44" s="225"/>
      <c r="I44" s="225"/>
      <c r="J44" s="225"/>
      <c r="K44" s="225"/>
      <c r="L44" s="226"/>
      <c r="M44" s="224"/>
      <c r="N44" s="225"/>
      <c r="O44" s="225"/>
      <c r="P44" s="225"/>
      <c r="Q44" s="225"/>
      <c r="R44" s="225"/>
      <c r="S44" s="225"/>
      <c r="T44" s="225"/>
      <c r="U44" s="225"/>
      <c r="V44" s="225"/>
      <c r="W44" s="226"/>
      <c r="X44" s="224"/>
      <c r="Y44" s="225"/>
      <c r="Z44" s="225"/>
      <c r="AA44" s="225"/>
      <c r="AB44" s="225"/>
      <c r="AC44" s="225"/>
      <c r="AD44" s="225"/>
      <c r="AE44" s="225"/>
      <c r="AF44" s="225"/>
      <c r="AG44" s="225"/>
      <c r="AH44" s="226"/>
      <c r="AI44" s="224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6"/>
      <c r="AU44" s="224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32"/>
    </row>
    <row r="45" spans="2:58" ht="13" customHeight="1" x14ac:dyDescent="0.25">
      <c r="B45" s="240"/>
      <c r="C45" s="228"/>
      <c r="D45" s="228"/>
      <c r="E45" s="228"/>
      <c r="F45" s="228"/>
      <c r="G45" s="228"/>
      <c r="H45" s="228"/>
      <c r="I45" s="228"/>
      <c r="J45" s="228"/>
      <c r="K45" s="228"/>
      <c r="L45" s="185"/>
      <c r="M45" s="227"/>
      <c r="N45" s="228"/>
      <c r="O45" s="228"/>
      <c r="P45" s="228"/>
      <c r="Q45" s="228"/>
      <c r="R45" s="228"/>
      <c r="S45" s="228"/>
      <c r="T45" s="228"/>
      <c r="U45" s="228"/>
      <c r="V45" s="228"/>
      <c r="W45" s="185"/>
      <c r="X45" s="227"/>
      <c r="Y45" s="228"/>
      <c r="Z45" s="228"/>
      <c r="AA45" s="228"/>
      <c r="AB45" s="228"/>
      <c r="AC45" s="228"/>
      <c r="AD45" s="228"/>
      <c r="AE45" s="228"/>
      <c r="AF45" s="228"/>
      <c r="AG45" s="228"/>
      <c r="AH45" s="185"/>
      <c r="AI45" s="227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185"/>
      <c r="AU45" s="227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33"/>
    </row>
    <row r="46" spans="2:58" ht="13" customHeight="1" x14ac:dyDescent="0.25">
      <c r="B46" s="217" t="s">
        <v>261</v>
      </c>
      <c r="C46" s="215"/>
      <c r="D46" s="215"/>
      <c r="E46" s="215"/>
      <c r="F46" s="215"/>
      <c r="G46" s="215"/>
      <c r="H46" s="215"/>
      <c r="I46" s="215"/>
      <c r="J46" s="215"/>
      <c r="K46" s="215"/>
      <c r="L46" s="186"/>
      <c r="M46" s="192" t="s">
        <v>262</v>
      </c>
      <c r="N46" s="215"/>
      <c r="O46" s="215"/>
      <c r="P46" s="215"/>
      <c r="Q46" s="215"/>
      <c r="R46" s="215"/>
      <c r="S46" s="215"/>
      <c r="T46" s="215"/>
      <c r="U46" s="215"/>
      <c r="V46" s="215"/>
      <c r="W46" s="186"/>
      <c r="X46" s="218" t="s">
        <v>263</v>
      </c>
      <c r="Y46" s="215"/>
      <c r="Z46" s="215"/>
      <c r="AA46" s="215"/>
      <c r="AB46" s="215"/>
      <c r="AC46" s="215"/>
      <c r="AD46" s="215"/>
      <c r="AE46" s="215"/>
      <c r="AF46" s="215"/>
      <c r="AG46" s="215"/>
      <c r="AH46" s="186"/>
      <c r="AI46" s="168" t="s">
        <v>264</v>
      </c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186"/>
      <c r="AU46" s="168" t="s">
        <v>265</v>
      </c>
      <c r="AV46" s="215"/>
      <c r="AW46" s="215"/>
      <c r="AX46" s="215"/>
      <c r="AY46" s="215"/>
      <c r="AZ46" s="215"/>
      <c r="BA46" s="215"/>
      <c r="BB46" s="215"/>
      <c r="BC46" s="215"/>
      <c r="BD46" s="215"/>
      <c r="BE46" s="215"/>
      <c r="BF46" s="219"/>
    </row>
    <row r="47" spans="2:58" ht="13" customHeight="1" x14ac:dyDescent="0.25">
      <c r="B47" s="238"/>
      <c r="C47" s="222"/>
      <c r="D47" s="222"/>
      <c r="E47" s="222"/>
      <c r="F47" s="222"/>
      <c r="G47" s="222"/>
      <c r="H47" s="222"/>
      <c r="I47" s="222"/>
      <c r="J47" s="222"/>
      <c r="K47" s="222"/>
      <c r="L47" s="223"/>
      <c r="M47" s="241"/>
      <c r="N47" s="222"/>
      <c r="O47" s="222"/>
      <c r="P47" s="222"/>
      <c r="Q47" s="222"/>
      <c r="R47" s="222"/>
      <c r="S47" s="222"/>
      <c r="T47" s="222"/>
      <c r="U47" s="222"/>
      <c r="V47" s="222"/>
      <c r="W47" s="223"/>
      <c r="X47" s="242"/>
      <c r="Y47" s="222"/>
      <c r="Z47" s="222"/>
      <c r="AA47" s="222"/>
      <c r="AB47" s="222"/>
      <c r="AC47" s="222"/>
      <c r="AD47" s="222"/>
      <c r="AE47" s="222"/>
      <c r="AF47" s="222"/>
      <c r="AG47" s="222"/>
      <c r="AH47" s="223"/>
      <c r="AI47" s="230"/>
      <c r="AJ47" s="222"/>
      <c r="AK47" s="222"/>
      <c r="AL47" s="222"/>
      <c r="AM47" s="222"/>
      <c r="AN47" s="222"/>
      <c r="AO47" s="222"/>
      <c r="AP47" s="222"/>
      <c r="AQ47" s="222"/>
      <c r="AR47" s="222"/>
      <c r="AS47" s="222"/>
      <c r="AT47" s="223"/>
      <c r="AU47" s="230"/>
      <c r="AV47" s="222"/>
      <c r="AW47" s="222"/>
      <c r="AX47" s="222"/>
      <c r="AY47" s="222"/>
      <c r="AZ47" s="222"/>
      <c r="BA47" s="222"/>
      <c r="BB47" s="222"/>
      <c r="BC47" s="222"/>
      <c r="BD47" s="222"/>
      <c r="BE47" s="222"/>
      <c r="BF47" s="231"/>
    </row>
    <row r="48" spans="2:58" ht="13" customHeight="1" x14ac:dyDescent="0.25">
      <c r="B48" s="239"/>
      <c r="C48" s="225"/>
      <c r="D48" s="225"/>
      <c r="E48" s="225"/>
      <c r="F48" s="225"/>
      <c r="G48" s="225"/>
      <c r="H48" s="225"/>
      <c r="I48" s="225"/>
      <c r="J48" s="225"/>
      <c r="K48" s="225"/>
      <c r="L48" s="226"/>
      <c r="M48" s="224"/>
      <c r="N48" s="225"/>
      <c r="O48" s="225"/>
      <c r="P48" s="225"/>
      <c r="Q48" s="225"/>
      <c r="R48" s="225"/>
      <c r="S48" s="225"/>
      <c r="T48" s="225"/>
      <c r="U48" s="225"/>
      <c r="V48" s="225"/>
      <c r="W48" s="226"/>
      <c r="X48" s="224"/>
      <c r="Y48" s="225"/>
      <c r="Z48" s="225"/>
      <c r="AA48" s="225"/>
      <c r="AB48" s="225"/>
      <c r="AC48" s="225"/>
      <c r="AD48" s="225"/>
      <c r="AE48" s="225"/>
      <c r="AF48" s="225"/>
      <c r="AG48" s="225"/>
      <c r="AH48" s="226"/>
      <c r="AI48" s="224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6"/>
      <c r="AU48" s="224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32"/>
    </row>
    <row r="49" spans="2:58" ht="13" customHeight="1" x14ac:dyDescent="0.25">
      <c r="B49" s="239"/>
      <c r="C49" s="225"/>
      <c r="D49" s="225"/>
      <c r="E49" s="225"/>
      <c r="F49" s="225"/>
      <c r="G49" s="225"/>
      <c r="H49" s="225"/>
      <c r="I49" s="225"/>
      <c r="J49" s="225"/>
      <c r="K49" s="225"/>
      <c r="L49" s="226"/>
      <c r="M49" s="224"/>
      <c r="N49" s="225"/>
      <c r="O49" s="225"/>
      <c r="P49" s="225"/>
      <c r="Q49" s="225"/>
      <c r="R49" s="225"/>
      <c r="S49" s="225"/>
      <c r="T49" s="225"/>
      <c r="U49" s="225"/>
      <c r="V49" s="225"/>
      <c r="W49" s="226"/>
      <c r="X49" s="224"/>
      <c r="Y49" s="225"/>
      <c r="Z49" s="225"/>
      <c r="AA49" s="225"/>
      <c r="AB49" s="225"/>
      <c r="AC49" s="225"/>
      <c r="AD49" s="225"/>
      <c r="AE49" s="225"/>
      <c r="AF49" s="225"/>
      <c r="AG49" s="225"/>
      <c r="AH49" s="226"/>
      <c r="AI49" s="224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6"/>
      <c r="AU49" s="224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32"/>
    </row>
    <row r="50" spans="2:58" ht="13" customHeight="1" x14ac:dyDescent="0.25">
      <c r="B50" s="239"/>
      <c r="C50" s="225"/>
      <c r="D50" s="225"/>
      <c r="E50" s="225"/>
      <c r="F50" s="225"/>
      <c r="G50" s="225"/>
      <c r="H50" s="225"/>
      <c r="I50" s="225"/>
      <c r="J50" s="225"/>
      <c r="K50" s="225"/>
      <c r="L50" s="226"/>
      <c r="M50" s="224"/>
      <c r="N50" s="225"/>
      <c r="O50" s="225"/>
      <c r="P50" s="225"/>
      <c r="Q50" s="225"/>
      <c r="R50" s="225"/>
      <c r="S50" s="225"/>
      <c r="T50" s="225"/>
      <c r="U50" s="225"/>
      <c r="V50" s="225"/>
      <c r="W50" s="226"/>
      <c r="X50" s="224"/>
      <c r="Y50" s="225"/>
      <c r="Z50" s="225"/>
      <c r="AA50" s="225"/>
      <c r="AB50" s="225"/>
      <c r="AC50" s="225"/>
      <c r="AD50" s="225"/>
      <c r="AE50" s="225"/>
      <c r="AF50" s="225"/>
      <c r="AG50" s="225"/>
      <c r="AH50" s="226"/>
      <c r="AI50" s="224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6"/>
      <c r="AU50" s="224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32"/>
    </row>
    <row r="51" spans="2:58" ht="13" customHeight="1" x14ac:dyDescent="0.25">
      <c r="B51" s="239"/>
      <c r="C51" s="225"/>
      <c r="D51" s="225"/>
      <c r="E51" s="225"/>
      <c r="F51" s="225"/>
      <c r="G51" s="225"/>
      <c r="H51" s="225"/>
      <c r="I51" s="225"/>
      <c r="J51" s="225"/>
      <c r="K51" s="225"/>
      <c r="L51" s="226"/>
      <c r="M51" s="224"/>
      <c r="N51" s="225"/>
      <c r="O51" s="225"/>
      <c r="P51" s="225"/>
      <c r="Q51" s="225"/>
      <c r="R51" s="225"/>
      <c r="S51" s="225"/>
      <c r="T51" s="225"/>
      <c r="U51" s="225"/>
      <c r="V51" s="225"/>
      <c r="W51" s="226"/>
      <c r="X51" s="224"/>
      <c r="Y51" s="225"/>
      <c r="Z51" s="225"/>
      <c r="AA51" s="225"/>
      <c r="AB51" s="225"/>
      <c r="AC51" s="225"/>
      <c r="AD51" s="225"/>
      <c r="AE51" s="225"/>
      <c r="AF51" s="225"/>
      <c r="AG51" s="225"/>
      <c r="AH51" s="226"/>
      <c r="AI51" s="224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6"/>
      <c r="AU51" s="224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32"/>
    </row>
    <row r="52" spans="2:58" ht="13" customHeight="1" x14ac:dyDescent="0.25">
      <c r="B52" s="240"/>
      <c r="C52" s="228"/>
      <c r="D52" s="228"/>
      <c r="E52" s="228"/>
      <c r="F52" s="228"/>
      <c r="G52" s="228"/>
      <c r="H52" s="228"/>
      <c r="I52" s="228"/>
      <c r="J52" s="228"/>
      <c r="K52" s="228"/>
      <c r="L52" s="185"/>
      <c r="M52" s="227"/>
      <c r="N52" s="228"/>
      <c r="O52" s="228"/>
      <c r="P52" s="228"/>
      <c r="Q52" s="228"/>
      <c r="R52" s="228"/>
      <c r="S52" s="228"/>
      <c r="T52" s="228"/>
      <c r="U52" s="228"/>
      <c r="V52" s="228"/>
      <c r="W52" s="185"/>
      <c r="X52" s="227"/>
      <c r="Y52" s="228"/>
      <c r="Z52" s="228"/>
      <c r="AA52" s="228"/>
      <c r="AB52" s="228"/>
      <c r="AC52" s="228"/>
      <c r="AD52" s="228"/>
      <c r="AE52" s="228"/>
      <c r="AF52" s="228"/>
      <c r="AG52" s="228"/>
      <c r="AH52" s="185"/>
      <c r="AI52" s="227"/>
      <c r="AJ52" s="228"/>
      <c r="AK52" s="228"/>
      <c r="AL52" s="228"/>
      <c r="AM52" s="228"/>
      <c r="AN52" s="228"/>
      <c r="AO52" s="228"/>
      <c r="AP52" s="228"/>
      <c r="AQ52" s="228"/>
      <c r="AR52" s="228"/>
      <c r="AS52" s="228"/>
      <c r="AT52" s="185"/>
      <c r="AU52" s="227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33"/>
    </row>
    <row r="53" spans="2:58" ht="13" customHeight="1" x14ac:dyDescent="0.25">
      <c r="B53" s="217" t="s">
        <v>266</v>
      </c>
      <c r="C53" s="215"/>
      <c r="D53" s="215"/>
      <c r="E53" s="215"/>
      <c r="F53" s="215"/>
      <c r="G53" s="215"/>
      <c r="H53" s="215"/>
      <c r="I53" s="215"/>
      <c r="J53" s="215"/>
      <c r="K53" s="215"/>
      <c r="L53" s="186"/>
      <c r="M53" s="220" t="s">
        <v>267</v>
      </c>
      <c r="N53" s="215"/>
      <c r="O53" s="215"/>
      <c r="P53" s="215"/>
      <c r="Q53" s="215"/>
      <c r="R53" s="215"/>
      <c r="S53" s="215"/>
      <c r="T53" s="215"/>
      <c r="U53" s="215"/>
      <c r="V53" s="215"/>
      <c r="W53" s="186"/>
      <c r="X53" s="218" t="s">
        <v>268</v>
      </c>
      <c r="Y53" s="215"/>
      <c r="Z53" s="215"/>
      <c r="AA53" s="215"/>
      <c r="AB53" s="215"/>
      <c r="AC53" s="215"/>
      <c r="AD53" s="215"/>
      <c r="AE53" s="215"/>
      <c r="AF53" s="215"/>
      <c r="AG53" s="215"/>
      <c r="AH53" s="186"/>
      <c r="AI53" s="168" t="s">
        <v>269</v>
      </c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186"/>
      <c r="AU53" s="168" t="s">
        <v>270</v>
      </c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9"/>
    </row>
    <row r="54" spans="2:58" ht="13" customHeight="1" x14ac:dyDescent="0.25">
      <c r="B54" s="238"/>
      <c r="C54" s="222"/>
      <c r="D54" s="222"/>
      <c r="E54" s="222"/>
      <c r="F54" s="222"/>
      <c r="G54" s="222"/>
      <c r="H54" s="222"/>
      <c r="I54" s="222"/>
      <c r="J54" s="222"/>
      <c r="K54" s="222"/>
      <c r="L54" s="223"/>
      <c r="M54" s="246"/>
      <c r="N54" s="222"/>
      <c r="O54" s="222"/>
      <c r="P54" s="222"/>
      <c r="Q54" s="222"/>
      <c r="R54" s="222"/>
      <c r="S54" s="222"/>
      <c r="T54" s="222"/>
      <c r="U54" s="222"/>
      <c r="V54" s="222"/>
      <c r="W54" s="223"/>
      <c r="X54" s="242"/>
      <c r="Y54" s="222"/>
      <c r="Z54" s="222"/>
      <c r="AA54" s="222"/>
      <c r="AB54" s="222"/>
      <c r="AC54" s="222"/>
      <c r="AD54" s="222"/>
      <c r="AE54" s="222"/>
      <c r="AF54" s="222"/>
      <c r="AG54" s="222"/>
      <c r="AH54" s="223"/>
      <c r="AI54" s="230"/>
      <c r="AJ54" s="222"/>
      <c r="AK54" s="222"/>
      <c r="AL54" s="222"/>
      <c r="AM54" s="222"/>
      <c r="AN54" s="222"/>
      <c r="AO54" s="222"/>
      <c r="AP54" s="222"/>
      <c r="AQ54" s="222"/>
      <c r="AR54" s="222"/>
      <c r="AS54" s="222"/>
      <c r="AT54" s="223"/>
      <c r="AU54" s="230"/>
      <c r="AV54" s="222"/>
      <c r="AW54" s="222"/>
      <c r="AX54" s="222"/>
      <c r="AY54" s="222"/>
      <c r="AZ54" s="222"/>
      <c r="BA54" s="222"/>
      <c r="BB54" s="222"/>
      <c r="BC54" s="222"/>
      <c r="BD54" s="222"/>
      <c r="BE54" s="222"/>
      <c r="BF54" s="231"/>
    </row>
    <row r="55" spans="2:58" ht="13" customHeight="1" x14ac:dyDescent="0.25">
      <c r="B55" s="239"/>
      <c r="C55" s="225"/>
      <c r="D55" s="225"/>
      <c r="E55" s="225"/>
      <c r="F55" s="225"/>
      <c r="G55" s="225"/>
      <c r="H55" s="225"/>
      <c r="I55" s="225"/>
      <c r="J55" s="225"/>
      <c r="K55" s="225"/>
      <c r="L55" s="226"/>
      <c r="M55" s="224"/>
      <c r="N55" s="225"/>
      <c r="O55" s="225"/>
      <c r="P55" s="225"/>
      <c r="Q55" s="225"/>
      <c r="R55" s="225"/>
      <c r="S55" s="225"/>
      <c r="T55" s="225"/>
      <c r="U55" s="225"/>
      <c r="V55" s="225"/>
      <c r="W55" s="226"/>
      <c r="X55" s="224"/>
      <c r="Y55" s="225"/>
      <c r="Z55" s="225"/>
      <c r="AA55" s="225"/>
      <c r="AB55" s="225"/>
      <c r="AC55" s="225"/>
      <c r="AD55" s="225"/>
      <c r="AE55" s="225"/>
      <c r="AF55" s="225"/>
      <c r="AG55" s="225"/>
      <c r="AH55" s="226"/>
      <c r="AI55" s="224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6"/>
      <c r="AU55" s="224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32"/>
    </row>
    <row r="56" spans="2:58" ht="13" customHeight="1" x14ac:dyDescent="0.25">
      <c r="B56" s="239"/>
      <c r="C56" s="225"/>
      <c r="D56" s="225"/>
      <c r="E56" s="225"/>
      <c r="F56" s="225"/>
      <c r="G56" s="225"/>
      <c r="H56" s="225"/>
      <c r="I56" s="225"/>
      <c r="J56" s="225"/>
      <c r="K56" s="225"/>
      <c r="L56" s="226"/>
      <c r="M56" s="224"/>
      <c r="N56" s="225"/>
      <c r="O56" s="225"/>
      <c r="P56" s="225"/>
      <c r="Q56" s="225"/>
      <c r="R56" s="225"/>
      <c r="S56" s="225"/>
      <c r="T56" s="225"/>
      <c r="U56" s="225"/>
      <c r="V56" s="225"/>
      <c r="W56" s="226"/>
      <c r="X56" s="224"/>
      <c r="Y56" s="225"/>
      <c r="Z56" s="225"/>
      <c r="AA56" s="225"/>
      <c r="AB56" s="225"/>
      <c r="AC56" s="225"/>
      <c r="AD56" s="225"/>
      <c r="AE56" s="225"/>
      <c r="AF56" s="225"/>
      <c r="AG56" s="225"/>
      <c r="AH56" s="226"/>
      <c r="AI56" s="224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6"/>
      <c r="AU56" s="224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32"/>
    </row>
    <row r="57" spans="2:58" ht="13" customHeight="1" x14ac:dyDescent="0.25">
      <c r="B57" s="239"/>
      <c r="C57" s="225"/>
      <c r="D57" s="225"/>
      <c r="E57" s="225"/>
      <c r="F57" s="225"/>
      <c r="G57" s="225"/>
      <c r="H57" s="225"/>
      <c r="I57" s="225"/>
      <c r="J57" s="225"/>
      <c r="K57" s="225"/>
      <c r="L57" s="226"/>
      <c r="M57" s="224"/>
      <c r="N57" s="225"/>
      <c r="O57" s="225"/>
      <c r="P57" s="225"/>
      <c r="Q57" s="225"/>
      <c r="R57" s="225"/>
      <c r="S57" s="225"/>
      <c r="T57" s="225"/>
      <c r="U57" s="225"/>
      <c r="V57" s="225"/>
      <c r="W57" s="226"/>
      <c r="X57" s="224"/>
      <c r="Y57" s="225"/>
      <c r="Z57" s="225"/>
      <c r="AA57" s="225"/>
      <c r="AB57" s="225"/>
      <c r="AC57" s="225"/>
      <c r="AD57" s="225"/>
      <c r="AE57" s="225"/>
      <c r="AF57" s="225"/>
      <c r="AG57" s="225"/>
      <c r="AH57" s="226"/>
      <c r="AI57" s="224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6"/>
      <c r="AU57" s="224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32"/>
    </row>
    <row r="58" spans="2:58" ht="13" customHeight="1" x14ac:dyDescent="0.25">
      <c r="B58" s="239"/>
      <c r="C58" s="225"/>
      <c r="D58" s="225"/>
      <c r="E58" s="225"/>
      <c r="F58" s="225"/>
      <c r="G58" s="225"/>
      <c r="H58" s="225"/>
      <c r="I58" s="225"/>
      <c r="J58" s="225"/>
      <c r="K58" s="225"/>
      <c r="L58" s="226"/>
      <c r="M58" s="224"/>
      <c r="N58" s="225"/>
      <c r="O58" s="225"/>
      <c r="P58" s="225"/>
      <c r="Q58" s="225"/>
      <c r="R58" s="225"/>
      <c r="S58" s="225"/>
      <c r="T58" s="225"/>
      <c r="U58" s="225"/>
      <c r="V58" s="225"/>
      <c r="W58" s="226"/>
      <c r="X58" s="224"/>
      <c r="Y58" s="225"/>
      <c r="Z58" s="225"/>
      <c r="AA58" s="225"/>
      <c r="AB58" s="225"/>
      <c r="AC58" s="225"/>
      <c r="AD58" s="225"/>
      <c r="AE58" s="225"/>
      <c r="AF58" s="225"/>
      <c r="AG58" s="225"/>
      <c r="AH58" s="226"/>
      <c r="AI58" s="224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6"/>
      <c r="AU58" s="224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32"/>
    </row>
    <row r="59" spans="2:58" ht="13" customHeight="1" x14ac:dyDescent="0.25">
      <c r="B59" s="243"/>
      <c r="C59" s="244"/>
      <c r="D59" s="244"/>
      <c r="E59" s="244"/>
      <c r="F59" s="244"/>
      <c r="G59" s="244"/>
      <c r="H59" s="244"/>
      <c r="I59" s="244"/>
      <c r="J59" s="244"/>
      <c r="K59" s="244"/>
      <c r="L59" s="245"/>
      <c r="M59" s="247"/>
      <c r="N59" s="244"/>
      <c r="O59" s="244"/>
      <c r="P59" s="244"/>
      <c r="Q59" s="244"/>
      <c r="R59" s="244"/>
      <c r="S59" s="244"/>
      <c r="T59" s="244"/>
      <c r="U59" s="244"/>
      <c r="V59" s="244"/>
      <c r="W59" s="245"/>
      <c r="X59" s="247"/>
      <c r="Y59" s="244"/>
      <c r="Z59" s="244"/>
      <c r="AA59" s="244"/>
      <c r="AB59" s="244"/>
      <c r="AC59" s="244"/>
      <c r="AD59" s="244"/>
      <c r="AE59" s="244"/>
      <c r="AF59" s="244"/>
      <c r="AG59" s="244"/>
      <c r="AH59" s="245"/>
      <c r="AI59" s="247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5"/>
      <c r="AU59" s="247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8"/>
    </row>
    <row r="60" spans="2:58" ht="13" customHeight="1" x14ac:dyDescent="0.25">
      <c r="B60" s="184" t="s">
        <v>471</v>
      </c>
      <c r="C60" s="185"/>
      <c r="D60" s="9" t="s">
        <v>274</v>
      </c>
      <c r="E60" s="161" t="s">
        <v>20</v>
      </c>
      <c r="F60" s="164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6"/>
      <c r="AP60" s="166"/>
      <c r="AQ60" s="166"/>
      <c r="AR60" s="166"/>
      <c r="AS60" s="166"/>
      <c r="AT60" s="166"/>
      <c r="AU60" s="166"/>
      <c r="AV60" s="166"/>
      <c r="AW60" s="166"/>
      <c r="AX60" s="166"/>
      <c r="AY60" s="166"/>
      <c r="AZ60" s="166"/>
      <c r="BA60" s="166"/>
      <c r="BB60" s="166"/>
      <c r="BC60" s="166"/>
      <c r="BD60" s="166"/>
      <c r="BE60" s="166"/>
      <c r="BF60" s="167"/>
    </row>
    <row r="61" spans="2:58" ht="13" customHeight="1" x14ac:dyDescent="0.25">
      <c r="B61" s="160" t="s">
        <v>275</v>
      </c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9"/>
    </row>
    <row r="62" spans="2:58" ht="13" customHeight="1" thickBot="1" x14ac:dyDescent="0.3">
      <c r="B62" s="172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170"/>
      <c r="BB62" s="170"/>
      <c r="BC62" s="170"/>
      <c r="BD62" s="170"/>
      <c r="BE62" s="170"/>
      <c r="BF62" s="17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zoomScaleNormal="100" workbookViewId="0">
      <selection activeCell="S12" sqref="S12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</cols>
  <sheetData>
    <row r="1" spans="2:36" ht="10" customHeight="1" x14ac:dyDescent="0.25"/>
    <row r="2" spans="2:36" ht="35.4" customHeight="1" thickBot="1" x14ac:dyDescent="0.3">
      <c r="B2" s="253" t="s">
        <v>411</v>
      </c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/>
      <c r="AC2" s="254"/>
      <c r="AD2" s="254"/>
      <c r="AE2" s="254"/>
      <c r="AF2" s="254"/>
      <c r="AG2" s="254"/>
      <c r="AH2" s="254"/>
      <c r="AI2" s="254"/>
      <c r="AJ2" s="255"/>
    </row>
    <row r="3" spans="2:36" s="46" customFormat="1" ht="17.5" customHeight="1" x14ac:dyDescent="0.25">
      <c r="B3" s="256" t="s">
        <v>406</v>
      </c>
      <c r="C3" s="259" t="s">
        <v>405</v>
      </c>
      <c r="D3" s="262" t="s">
        <v>404</v>
      </c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262"/>
      <c r="AA3" s="263" t="s">
        <v>403</v>
      </c>
      <c r="AB3" s="264"/>
      <c r="AC3" s="264"/>
      <c r="AD3" s="264"/>
      <c r="AE3" s="264"/>
      <c r="AF3" s="264"/>
      <c r="AG3" s="264"/>
      <c r="AH3" s="264"/>
      <c r="AI3" s="264"/>
      <c r="AJ3" s="265"/>
    </row>
    <row r="4" spans="2:36" s="46" customFormat="1" ht="17.5" customHeight="1" x14ac:dyDescent="0.25">
      <c r="B4" s="257"/>
      <c r="C4" s="260"/>
      <c r="D4" s="266" t="s">
        <v>402</v>
      </c>
      <c r="E4" s="267"/>
      <c r="F4" s="267"/>
      <c r="G4" s="267"/>
      <c r="H4" s="267"/>
      <c r="I4" s="267"/>
      <c r="J4" s="268" t="s">
        <v>401</v>
      </c>
      <c r="K4" s="269"/>
      <c r="L4" s="269"/>
      <c r="M4" s="269"/>
      <c r="N4" s="269"/>
      <c r="O4" s="269"/>
      <c r="P4" s="269"/>
      <c r="Q4" s="269"/>
      <c r="R4" s="269"/>
      <c r="S4" s="269"/>
      <c r="T4" s="270"/>
      <c r="U4" s="271" t="s">
        <v>400</v>
      </c>
      <c r="V4" s="272"/>
      <c r="W4" s="272"/>
      <c r="X4" s="272"/>
      <c r="Y4" s="272"/>
      <c r="Z4" s="273"/>
      <c r="AA4" s="271" t="s">
        <v>399</v>
      </c>
      <c r="AB4" s="275" t="s">
        <v>398</v>
      </c>
      <c r="AC4" s="277" t="s">
        <v>397</v>
      </c>
      <c r="AD4" s="277" t="s">
        <v>306</v>
      </c>
      <c r="AE4" s="277" t="s">
        <v>396</v>
      </c>
      <c r="AF4" s="279" t="s">
        <v>395</v>
      </c>
      <c r="AG4" s="277" t="s">
        <v>394</v>
      </c>
      <c r="AH4" s="279" t="s">
        <v>393</v>
      </c>
      <c r="AI4" s="277" t="s">
        <v>392</v>
      </c>
      <c r="AJ4" s="280" t="s">
        <v>391</v>
      </c>
    </row>
    <row r="5" spans="2:36" s="46" customFormat="1" ht="37.5" customHeight="1" x14ac:dyDescent="0.25">
      <c r="B5" s="258"/>
      <c r="C5" s="261"/>
      <c r="D5" s="77" t="s">
        <v>390</v>
      </c>
      <c r="E5" s="74" t="s">
        <v>389</v>
      </c>
      <c r="F5" s="74" t="s">
        <v>388</v>
      </c>
      <c r="G5" s="74" t="s">
        <v>387</v>
      </c>
      <c r="H5" s="74" t="s">
        <v>378</v>
      </c>
      <c r="I5" s="66" t="s">
        <v>377</v>
      </c>
      <c r="J5" s="77" t="s">
        <v>381</v>
      </c>
      <c r="K5" s="74" t="s">
        <v>380</v>
      </c>
      <c r="L5" s="74" t="s">
        <v>379</v>
      </c>
      <c r="M5" s="74" t="s">
        <v>386</v>
      </c>
      <c r="N5" s="74" t="s">
        <v>386</v>
      </c>
      <c r="O5" s="74" t="s">
        <v>378</v>
      </c>
      <c r="P5" s="74" t="s">
        <v>385</v>
      </c>
      <c r="Q5" s="74" t="s">
        <v>384</v>
      </c>
      <c r="R5" s="74" t="s">
        <v>377</v>
      </c>
      <c r="S5" s="74" t="s">
        <v>383</v>
      </c>
      <c r="T5" s="76" t="s">
        <v>382</v>
      </c>
      <c r="U5" s="77" t="s">
        <v>381</v>
      </c>
      <c r="V5" s="65" t="s">
        <v>380</v>
      </c>
      <c r="W5" s="74" t="s">
        <v>379</v>
      </c>
      <c r="X5" s="74" t="s">
        <v>378</v>
      </c>
      <c r="Y5" s="74" t="s">
        <v>377</v>
      </c>
      <c r="Z5" s="76" t="s">
        <v>376</v>
      </c>
      <c r="AA5" s="274"/>
      <c r="AB5" s="276"/>
      <c r="AC5" s="278"/>
      <c r="AD5" s="278"/>
      <c r="AE5" s="278"/>
      <c r="AF5" s="278"/>
      <c r="AG5" s="278"/>
      <c r="AH5" s="278"/>
      <c r="AI5" s="278"/>
      <c r="AJ5" s="281"/>
    </row>
    <row r="6" spans="2:36" s="46" customFormat="1" ht="17.5" customHeight="1" x14ac:dyDescent="0.25">
      <c r="B6" s="282"/>
      <c r="C6" s="283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33" customFormat="1" ht="24" customHeight="1" x14ac:dyDescent="0.25">
      <c r="B7" s="257"/>
      <c r="C7" s="260"/>
      <c r="D7" s="122"/>
      <c r="E7" s="123">
        <f>K7+V7</f>
        <v>0</v>
      </c>
      <c r="F7" s="140" t="str">
        <f>IF(D7="","",IF(D28="","",IF(D7=(D7+D28)/2,"--",IF(D7&gt;=(D7+D28)/2,"↑","↓"))))</f>
        <v/>
      </c>
      <c r="G7" s="123"/>
      <c r="H7" s="123"/>
      <c r="I7" s="124"/>
      <c r="J7" s="125"/>
      <c r="K7" s="126"/>
      <c r="L7" s="126"/>
      <c r="M7" s="126"/>
      <c r="N7" s="126"/>
      <c r="O7" s="126"/>
      <c r="P7" s="126"/>
      <c r="Q7" s="126"/>
      <c r="R7" s="126"/>
      <c r="S7" s="126"/>
      <c r="T7" s="127"/>
      <c r="U7" s="125"/>
      <c r="V7" s="128"/>
      <c r="W7" s="123"/>
      <c r="X7" s="123"/>
      <c r="Y7" s="123"/>
      <c r="Z7" s="129" t="e">
        <f>U7/D7</f>
        <v>#DIV/0!</v>
      </c>
      <c r="AA7" s="130"/>
      <c r="AB7" s="123"/>
      <c r="AC7" s="123"/>
      <c r="AD7" s="123"/>
      <c r="AE7" s="131"/>
      <c r="AF7" s="131"/>
      <c r="AG7" s="131"/>
      <c r="AH7" s="131"/>
      <c r="AI7" s="131"/>
      <c r="AJ7" s="132"/>
    </row>
    <row r="8" spans="2:36" s="46" customFormat="1" ht="17.5" customHeight="1" x14ac:dyDescent="0.25">
      <c r="B8" s="257"/>
      <c r="C8" s="260"/>
      <c r="D8" s="271" t="s">
        <v>371</v>
      </c>
      <c r="E8" s="272"/>
      <c r="F8" s="273"/>
      <c r="G8" s="271" t="s">
        <v>370</v>
      </c>
      <c r="H8" s="272"/>
      <c r="I8" s="272"/>
      <c r="J8" s="272"/>
      <c r="K8" s="272"/>
      <c r="L8" s="272"/>
      <c r="M8" s="272"/>
      <c r="N8" s="272"/>
      <c r="O8" s="273"/>
      <c r="P8" s="271" t="s">
        <v>369</v>
      </c>
      <c r="Q8" s="272"/>
      <c r="R8" s="272"/>
      <c r="S8" s="272"/>
      <c r="T8" s="272"/>
      <c r="U8" s="272"/>
      <c r="V8" s="272"/>
      <c r="W8" s="272"/>
      <c r="X8" s="272"/>
      <c r="Y8" s="272"/>
      <c r="Z8" s="272"/>
      <c r="AA8" s="272"/>
      <c r="AB8" s="272"/>
      <c r="AC8" s="272"/>
      <c r="AD8" s="273"/>
      <c r="AE8" s="284" t="s">
        <v>336</v>
      </c>
      <c r="AF8" s="272"/>
      <c r="AG8" s="272"/>
      <c r="AH8" s="272"/>
      <c r="AI8" s="272"/>
      <c r="AJ8" s="273"/>
    </row>
    <row r="9" spans="2:36" s="46" customFormat="1" ht="15" customHeight="1" x14ac:dyDescent="0.25">
      <c r="B9" s="257"/>
      <c r="C9" s="260"/>
      <c r="D9" s="285" t="s">
        <v>368</v>
      </c>
      <c r="E9" s="286" t="s">
        <v>367</v>
      </c>
      <c r="F9" s="287" t="s">
        <v>366</v>
      </c>
      <c r="G9" s="285" t="s">
        <v>365</v>
      </c>
      <c r="H9" s="278"/>
      <c r="I9" s="288" t="s">
        <v>364</v>
      </c>
      <c r="J9" s="288" t="s">
        <v>363</v>
      </c>
      <c r="K9" s="288" t="s">
        <v>362</v>
      </c>
      <c r="L9" s="288" t="s">
        <v>361</v>
      </c>
      <c r="M9" s="288" t="s">
        <v>360</v>
      </c>
      <c r="N9" s="288" t="s">
        <v>359</v>
      </c>
      <c r="O9" s="290" t="s">
        <v>358</v>
      </c>
      <c r="P9" s="285" t="s">
        <v>357</v>
      </c>
      <c r="Q9" s="278"/>
      <c r="R9" s="286" t="s">
        <v>356</v>
      </c>
      <c r="S9" s="278"/>
      <c r="T9" s="278"/>
      <c r="U9" s="286" t="s">
        <v>355</v>
      </c>
      <c r="V9" s="292" t="s">
        <v>354</v>
      </c>
      <c r="W9" s="278"/>
      <c r="X9" s="292" t="s">
        <v>353</v>
      </c>
      <c r="Y9" s="278"/>
      <c r="Z9" s="278"/>
      <c r="AA9" s="292" t="s">
        <v>352</v>
      </c>
      <c r="AB9" s="286" t="s">
        <v>351</v>
      </c>
      <c r="AC9" s="289" t="s">
        <v>350</v>
      </c>
      <c r="AD9" s="287" t="s">
        <v>349</v>
      </c>
      <c r="AE9" s="291" t="s">
        <v>348</v>
      </c>
      <c r="AF9" s="278"/>
      <c r="AG9" s="278"/>
      <c r="AH9" s="288" t="s">
        <v>332</v>
      </c>
      <c r="AI9" s="278"/>
      <c r="AJ9" s="281"/>
    </row>
    <row r="10" spans="2:36" s="46" customFormat="1" ht="15" customHeight="1" x14ac:dyDescent="0.25">
      <c r="B10" s="257"/>
      <c r="C10" s="260"/>
      <c r="D10" s="274"/>
      <c r="E10" s="278"/>
      <c r="F10" s="281"/>
      <c r="G10" s="75" t="s">
        <v>347</v>
      </c>
      <c r="H10" s="72" t="s">
        <v>346</v>
      </c>
      <c r="I10" s="278"/>
      <c r="J10" s="278"/>
      <c r="K10" s="278"/>
      <c r="L10" s="278"/>
      <c r="M10" s="278"/>
      <c r="N10" s="278"/>
      <c r="O10" s="281"/>
      <c r="P10" s="75" t="s">
        <v>345</v>
      </c>
      <c r="Q10" s="72" t="s">
        <v>344</v>
      </c>
      <c r="R10" s="72" t="s">
        <v>344</v>
      </c>
      <c r="S10" s="72" t="s">
        <v>343</v>
      </c>
      <c r="T10" s="71" t="s">
        <v>342</v>
      </c>
      <c r="U10" s="278"/>
      <c r="V10" s="71" t="s">
        <v>345</v>
      </c>
      <c r="W10" s="72" t="s">
        <v>344</v>
      </c>
      <c r="X10" s="71" t="s">
        <v>344</v>
      </c>
      <c r="Y10" s="72" t="s">
        <v>343</v>
      </c>
      <c r="Z10" s="71" t="s">
        <v>342</v>
      </c>
      <c r="AA10" s="278"/>
      <c r="AB10" s="278"/>
      <c r="AC10" s="278"/>
      <c r="AD10" s="281"/>
      <c r="AE10" s="77" t="s">
        <v>1</v>
      </c>
      <c r="AF10" s="74" t="s">
        <v>12</v>
      </c>
      <c r="AG10" s="74" t="s">
        <v>15</v>
      </c>
      <c r="AH10" s="52" t="s">
        <v>103</v>
      </c>
      <c r="AI10" s="74" t="s">
        <v>341</v>
      </c>
      <c r="AJ10" s="73" t="s">
        <v>340</v>
      </c>
    </row>
    <row r="11" spans="2:36" s="46" customFormat="1" ht="17.5" customHeight="1" x14ac:dyDescent="0.25">
      <c r="B11" s="257"/>
      <c r="C11" s="260"/>
      <c r="D11" s="75" t="s">
        <v>4</v>
      </c>
      <c r="E11" s="72" t="s">
        <v>4</v>
      </c>
      <c r="F11" s="73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33" customFormat="1" ht="24" customHeight="1" x14ac:dyDescent="0.25">
      <c r="B12" s="257"/>
      <c r="C12" s="260"/>
      <c r="D12" s="141">
        <v>0.53</v>
      </c>
      <c r="E12" s="134"/>
      <c r="F12" s="146" t="str">
        <f>IF(E12="","",IF(AND(E12&gt;=0.525,E12&lt;=0.53),"合格","不合格"))</f>
        <v/>
      </c>
      <c r="G12" s="122"/>
      <c r="H12" s="123"/>
      <c r="I12" s="123"/>
      <c r="J12" s="123"/>
      <c r="K12" s="123"/>
      <c r="L12" s="123"/>
      <c r="M12" s="123"/>
      <c r="N12" s="123"/>
      <c r="O12" s="129"/>
      <c r="P12" s="142">
        <v>29.1</v>
      </c>
      <c r="Q12" s="143" t="s">
        <v>337</v>
      </c>
      <c r="R12" s="123"/>
      <c r="S12" s="123">
        <f>R12-Q12</f>
        <v>-33.1</v>
      </c>
      <c r="T12" s="140" t="str">
        <f>IF(S12&gt;=0,"↑","↓")</f>
        <v>↓</v>
      </c>
      <c r="U12" s="131" t="s">
        <v>82</v>
      </c>
      <c r="V12" s="143">
        <v>1.6</v>
      </c>
      <c r="W12" s="143">
        <v>17.600000000000001</v>
      </c>
      <c r="X12" s="123"/>
      <c r="Y12" s="123">
        <f>X12-W12</f>
        <v>-17.600000000000001</v>
      </c>
      <c r="Z12" s="140" t="str">
        <f>IF(Y12&gt;=0,"↑","↓")</f>
        <v>↓</v>
      </c>
      <c r="AA12" s="143">
        <v>6.28</v>
      </c>
      <c r="AB12" s="123"/>
      <c r="AC12" s="123">
        <f>AB12-AA12</f>
        <v>-6.28</v>
      </c>
      <c r="AD12" s="140" t="str">
        <f>IF(AC12&gt;=0,"↑","↓")</f>
        <v>↓</v>
      </c>
      <c r="AE12" s="135"/>
      <c r="AF12" s="123"/>
      <c r="AG12" s="131"/>
      <c r="AH12" s="131"/>
      <c r="AI12" s="131"/>
      <c r="AJ12" s="132"/>
    </row>
    <row r="13" spans="2:36" s="46" customFormat="1" ht="15" customHeight="1" x14ac:dyDescent="0.25">
      <c r="B13" s="257"/>
      <c r="C13" s="260"/>
      <c r="D13" s="271" t="s">
        <v>336</v>
      </c>
      <c r="E13" s="273"/>
      <c r="F13" s="271" t="s">
        <v>335</v>
      </c>
      <c r="G13" s="272"/>
      <c r="H13" s="272"/>
      <c r="I13" s="272"/>
      <c r="J13" s="272"/>
      <c r="K13" s="272"/>
      <c r="L13" s="272"/>
      <c r="M13" s="273"/>
      <c r="N13" s="271" t="s">
        <v>334</v>
      </c>
      <c r="O13" s="272"/>
      <c r="P13" s="272"/>
      <c r="Q13" s="272"/>
      <c r="R13" s="272"/>
      <c r="S13" s="272"/>
      <c r="T13" s="272"/>
      <c r="U13" s="273"/>
      <c r="V13" s="284" t="s">
        <v>333</v>
      </c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3"/>
    </row>
    <row r="14" spans="2:36" s="46" customFormat="1" ht="15" customHeight="1" x14ac:dyDescent="0.25">
      <c r="B14" s="257"/>
      <c r="C14" s="260"/>
      <c r="D14" s="285" t="s">
        <v>332</v>
      </c>
      <c r="E14" s="281"/>
      <c r="F14" s="285" t="s">
        <v>331</v>
      </c>
      <c r="G14" s="278"/>
      <c r="H14" s="278"/>
      <c r="I14" s="278"/>
      <c r="J14" s="278"/>
      <c r="K14" s="288" t="s">
        <v>330</v>
      </c>
      <c r="L14" s="278"/>
      <c r="M14" s="281"/>
      <c r="N14" s="285" t="s">
        <v>329</v>
      </c>
      <c r="O14" s="278"/>
      <c r="P14" s="278"/>
      <c r="Q14" s="278"/>
      <c r="R14" s="278"/>
      <c r="S14" s="286" t="s">
        <v>328</v>
      </c>
      <c r="T14" s="278"/>
      <c r="U14" s="281"/>
      <c r="V14" s="291" t="s">
        <v>327</v>
      </c>
      <c r="W14" s="278"/>
      <c r="X14" s="278"/>
      <c r="Y14" s="278"/>
      <c r="Z14" s="288" t="s">
        <v>326</v>
      </c>
      <c r="AA14" s="278"/>
      <c r="AB14" s="278"/>
      <c r="AC14" s="278"/>
      <c r="AD14" s="278"/>
      <c r="AE14" s="278"/>
      <c r="AF14" s="278"/>
      <c r="AG14" s="278"/>
      <c r="AH14" s="278"/>
      <c r="AI14" s="278"/>
      <c r="AJ14" s="281"/>
    </row>
    <row r="15" spans="2:36" s="46" customFormat="1" ht="25" customHeight="1" x14ac:dyDescent="0.25">
      <c r="B15" s="257"/>
      <c r="C15" s="260"/>
      <c r="D15" s="75" t="s">
        <v>325</v>
      </c>
      <c r="E15" s="73" t="s">
        <v>322</v>
      </c>
      <c r="F15" s="75" t="s">
        <v>324</v>
      </c>
      <c r="G15" s="72" t="s">
        <v>317</v>
      </c>
      <c r="H15" s="72" t="s">
        <v>323</v>
      </c>
      <c r="I15" s="74" t="s">
        <v>15</v>
      </c>
      <c r="J15" s="52" t="s">
        <v>322</v>
      </c>
      <c r="K15" s="74" t="s">
        <v>321</v>
      </c>
      <c r="L15" s="74" t="s">
        <v>320</v>
      </c>
      <c r="M15" s="73" t="s">
        <v>319</v>
      </c>
      <c r="N15" s="75" t="s">
        <v>324</v>
      </c>
      <c r="O15" s="72" t="s">
        <v>317</v>
      </c>
      <c r="P15" s="72" t="s">
        <v>323</v>
      </c>
      <c r="Q15" s="72" t="s">
        <v>15</v>
      </c>
      <c r="R15" s="71" t="s">
        <v>322</v>
      </c>
      <c r="S15" s="74" t="s">
        <v>321</v>
      </c>
      <c r="T15" s="74" t="s">
        <v>320</v>
      </c>
      <c r="U15" s="73" t="s">
        <v>319</v>
      </c>
      <c r="V15" s="77" t="s">
        <v>318</v>
      </c>
      <c r="W15" s="74" t="s">
        <v>317</v>
      </c>
      <c r="X15" s="74" t="s">
        <v>316</v>
      </c>
      <c r="Y15" s="74" t="s">
        <v>315</v>
      </c>
      <c r="Z15" s="74" t="s">
        <v>314</v>
      </c>
      <c r="AA15" s="74" t="s">
        <v>313</v>
      </c>
      <c r="AB15" s="74" t="s">
        <v>312</v>
      </c>
      <c r="AC15" s="74" t="s">
        <v>311</v>
      </c>
      <c r="AD15" s="74" t="s">
        <v>310</v>
      </c>
      <c r="AE15" s="74" t="s">
        <v>309</v>
      </c>
      <c r="AF15" s="74" t="s">
        <v>308</v>
      </c>
      <c r="AG15" s="74" t="s">
        <v>307</v>
      </c>
      <c r="AH15" s="74" t="s">
        <v>306</v>
      </c>
      <c r="AI15" s="74" t="s">
        <v>305</v>
      </c>
      <c r="AJ15" s="76" t="s">
        <v>304</v>
      </c>
    </row>
    <row r="16" spans="2:36" s="46" customFormat="1" ht="15" customHeight="1" x14ac:dyDescent="0.25">
      <c r="B16" s="257"/>
      <c r="C16" s="260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72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33" customFormat="1" ht="24" customHeight="1" x14ac:dyDescent="0.25">
      <c r="B17" s="257"/>
      <c r="C17" s="260"/>
      <c r="D17" s="135"/>
      <c r="E17" s="129"/>
      <c r="F17" s="135"/>
      <c r="G17" s="131"/>
      <c r="H17" s="131"/>
      <c r="I17" s="123"/>
      <c r="J17" s="123"/>
      <c r="K17" s="123"/>
      <c r="L17" s="123"/>
      <c r="M17" s="129"/>
      <c r="N17" s="122"/>
      <c r="O17" s="123"/>
      <c r="P17" s="123"/>
      <c r="Q17" s="123"/>
      <c r="R17" s="123"/>
      <c r="S17" s="123"/>
      <c r="T17" s="123"/>
      <c r="U17" s="129"/>
      <c r="V17" s="122"/>
      <c r="W17" s="123"/>
      <c r="X17" s="123"/>
      <c r="Y17" s="123"/>
      <c r="Z17" s="123"/>
      <c r="AA17" s="123"/>
      <c r="AB17" s="123"/>
      <c r="AC17" s="123"/>
      <c r="AD17" s="123"/>
      <c r="AE17" s="123" t="e">
        <f>Z17/AB17</f>
        <v>#DIV/0!</v>
      </c>
      <c r="AF17" s="123"/>
      <c r="AG17" s="123"/>
      <c r="AH17" s="123" t="e">
        <f>AF17/(Z17-AB17)</f>
        <v>#DIV/0!</v>
      </c>
      <c r="AI17" s="143" t="s">
        <v>296</v>
      </c>
      <c r="AJ17" s="140" t="e">
        <f>IF((AH17-AI17)&gt;=0,"↑","↓")</f>
        <v>#DIV/0!</v>
      </c>
    </row>
    <row r="18" spans="2:36" s="46" customFormat="1" ht="15" customHeight="1" x14ac:dyDescent="0.25">
      <c r="B18" s="257"/>
      <c r="C18" s="260"/>
      <c r="D18" s="284" t="s">
        <v>295</v>
      </c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  <c r="Q18" s="273"/>
      <c r="R18" s="78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84" t="s">
        <v>82</v>
      </c>
    </row>
    <row r="19" spans="2:36" s="46" customFormat="1" ht="15" customHeight="1" x14ac:dyDescent="0.25">
      <c r="B19" s="257"/>
      <c r="C19" s="260"/>
      <c r="D19" s="291" t="s">
        <v>294</v>
      </c>
      <c r="E19" s="278"/>
      <c r="F19" s="278"/>
      <c r="G19" s="288" t="s">
        <v>293</v>
      </c>
      <c r="H19" s="278"/>
      <c r="I19" s="278"/>
      <c r="J19" s="288" t="s">
        <v>292</v>
      </c>
      <c r="K19" s="278"/>
      <c r="L19" s="278"/>
      <c r="M19" s="288" t="s">
        <v>291</v>
      </c>
      <c r="N19" s="288" t="s">
        <v>290</v>
      </c>
      <c r="O19" s="288" t="s">
        <v>289</v>
      </c>
      <c r="P19" s="288" t="s">
        <v>225</v>
      </c>
      <c r="Q19" s="290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412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57"/>
      <c r="C20" s="260"/>
      <c r="D20" s="77" t="s">
        <v>287</v>
      </c>
      <c r="E20" s="74" t="s">
        <v>286</v>
      </c>
      <c r="F20" s="74" t="s">
        <v>285</v>
      </c>
      <c r="G20" s="74" t="s">
        <v>287</v>
      </c>
      <c r="H20" s="74" t="s">
        <v>286</v>
      </c>
      <c r="I20" s="74" t="s">
        <v>285</v>
      </c>
      <c r="J20" s="74" t="s">
        <v>287</v>
      </c>
      <c r="K20" s="74" t="s">
        <v>286</v>
      </c>
      <c r="L20" s="74" t="s">
        <v>285</v>
      </c>
      <c r="M20" s="278"/>
      <c r="N20" s="278"/>
      <c r="O20" s="278"/>
      <c r="P20" s="278"/>
      <c r="Q20" s="281"/>
      <c r="R20" s="75" t="s">
        <v>4</v>
      </c>
      <c r="S20" s="72" t="s">
        <v>4</v>
      </c>
      <c r="T20" s="72" t="s">
        <v>4</v>
      </c>
      <c r="U20" s="72" t="s">
        <v>82</v>
      </c>
      <c r="V20" s="72" t="s">
        <v>82</v>
      </c>
      <c r="W20" s="74" t="s">
        <v>82</v>
      </c>
      <c r="X20" s="72" t="s">
        <v>82</v>
      </c>
      <c r="Y20" s="72" t="s">
        <v>82</v>
      </c>
      <c r="Z20" s="74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57"/>
      <c r="C21" s="260"/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33" customFormat="1" ht="24" customHeight="1" x14ac:dyDescent="0.25">
      <c r="B22" s="257"/>
      <c r="C22" s="260"/>
      <c r="D22" s="136"/>
      <c r="E22" s="137"/>
      <c r="F22" s="137">
        <f>D22-E22</f>
        <v>0</v>
      </c>
      <c r="G22" s="137"/>
      <c r="H22" s="137"/>
      <c r="I22" s="137">
        <f>G22-H22</f>
        <v>0</v>
      </c>
      <c r="J22" s="137"/>
      <c r="K22" s="137"/>
      <c r="L22" s="137">
        <f>J22-K22</f>
        <v>0</v>
      </c>
      <c r="M22" s="137"/>
      <c r="N22" s="137"/>
      <c r="O22" s="137" t="e">
        <f>N22/M22</f>
        <v>#DIV/0!</v>
      </c>
      <c r="P22" s="137"/>
      <c r="Q22" s="144">
        <v>301</v>
      </c>
      <c r="R22" s="136" t="s">
        <v>4</v>
      </c>
      <c r="S22" s="137" t="s">
        <v>4</v>
      </c>
      <c r="T22" s="137" t="s">
        <v>4</v>
      </c>
      <c r="U22" s="137" t="s">
        <v>82</v>
      </c>
      <c r="V22" s="137" t="s">
        <v>82</v>
      </c>
      <c r="W22" s="137" t="s">
        <v>82</v>
      </c>
      <c r="X22" s="137" t="s">
        <v>82</v>
      </c>
      <c r="Y22" s="137" t="s">
        <v>82</v>
      </c>
      <c r="Z22" s="137" t="s">
        <v>82</v>
      </c>
      <c r="AA22" s="137" t="s">
        <v>82</v>
      </c>
      <c r="AB22" s="137" t="s">
        <v>82</v>
      </c>
      <c r="AC22" s="137" t="s">
        <v>82</v>
      </c>
      <c r="AD22" s="137" t="s">
        <v>82</v>
      </c>
      <c r="AE22" s="138" t="s">
        <v>82</v>
      </c>
      <c r="AF22" s="138" t="s">
        <v>82</v>
      </c>
      <c r="AG22" s="138" t="s">
        <v>82</v>
      </c>
      <c r="AH22" s="138" t="s">
        <v>82</v>
      </c>
      <c r="AI22" s="138" t="s">
        <v>82</v>
      </c>
      <c r="AJ22" s="139" t="s">
        <v>82</v>
      </c>
    </row>
    <row r="23" spans="2:36" s="46" customFormat="1" ht="7.5" customHeight="1" x14ac:dyDescent="0.25">
      <c r="B23" s="85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86"/>
    </row>
    <row r="24" spans="2:36" s="46" customFormat="1" ht="17.5" customHeight="1" x14ac:dyDescent="0.25">
      <c r="B24" s="293" t="s">
        <v>406</v>
      </c>
      <c r="C24" s="294" t="s">
        <v>405</v>
      </c>
      <c r="D24" s="295" t="s">
        <v>404</v>
      </c>
      <c r="E24" s="296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7"/>
      <c r="AA24" s="298" t="s">
        <v>403</v>
      </c>
      <c r="AB24" s="299"/>
      <c r="AC24" s="299"/>
      <c r="AD24" s="299"/>
      <c r="AE24" s="299"/>
      <c r="AF24" s="299"/>
      <c r="AG24" s="299"/>
      <c r="AH24" s="299"/>
      <c r="AI24" s="299"/>
      <c r="AJ24" s="300"/>
    </row>
    <row r="25" spans="2:36" s="46" customFormat="1" ht="17.5" customHeight="1" x14ac:dyDescent="0.25">
      <c r="B25" s="257"/>
      <c r="C25" s="260"/>
      <c r="D25" s="266" t="s">
        <v>402</v>
      </c>
      <c r="E25" s="267"/>
      <c r="F25" s="267"/>
      <c r="G25" s="267"/>
      <c r="H25" s="267"/>
      <c r="I25" s="267"/>
      <c r="J25" s="268" t="s">
        <v>401</v>
      </c>
      <c r="K25" s="269"/>
      <c r="L25" s="269"/>
      <c r="M25" s="269"/>
      <c r="N25" s="269"/>
      <c r="O25" s="269"/>
      <c r="P25" s="269"/>
      <c r="Q25" s="269"/>
      <c r="R25" s="269"/>
      <c r="S25" s="269"/>
      <c r="T25" s="270"/>
      <c r="U25" s="271" t="s">
        <v>400</v>
      </c>
      <c r="V25" s="272"/>
      <c r="W25" s="272"/>
      <c r="X25" s="272"/>
      <c r="Y25" s="272"/>
      <c r="Z25" s="273"/>
      <c r="AA25" s="271" t="s">
        <v>399</v>
      </c>
      <c r="AB25" s="275" t="s">
        <v>398</v>
      </c>
      <c r="AC25" s="277" t="s">
        <v>397</v>
      </c>
      <c r="AD25" s="277" t="s">
        <v>306</v>
      </c>
      <c r="AE25" s="277" t="s">
        <v>396</v>
      </c>
      <c r="AF25" s="279" t="s">
        <v>395</v>
      </c>
      <c r="AG25" s="277" t="s">
        <v>394</v>
      </c>
      <c r="AH25" s="279" t="s">
        <v>393</v>
      </c>
      <c r="AI25" s="277" t="s">
        <v>392</v>
      </c>
      <c r="AJ25" s="280" t="s">
        <v>391</v>
      </c>
    </row>
    <row r="26" spans="2:36" s="46" customFormat="1" ht="37.5" customHeight="1" x14ac:dyDescent="0.25">
      <c r="B26" s="258"/>
      <c r="C26" s="261"/>
      <c r="D26" s="77" t="s">
        <v>390</v>
      </c>
      <c r="E26" s="74" t="s">
        <v>389</v>
      </c>
      <c r="F26" s="74" t="s">
        <v>388</v>
      </c>
      <c r="G26" s="74" t="s">
        <v>387</v>
      </c>
      <c r="H26" s="74" t="s">
        <v>378</v>
      </c>
      <c r="I26" s="66" t="s">
        <v>377</v>
      </c>
      <c r="J26" s="77" t="s">
        <v>381</v>
      </c>
      <c r="K26" s="74" t="s">
        <v>380</v>
      </c>
      <c r="L26" s="74" t="s">
        <v>379</v>
      </c>
      <c r="M26" s="74" t="s">
        <v>386</v>
      </c>
      <c r="N26" s="74" t="s">
        <v>386</v>
      </c>
      <c r="O26" s="74" t="s">
        <v>378</v>
      </c>
      <c r="P26" s="74" t="s">
        <v>385</v>
      </c>
      <c r="Q26" s="74" t="s">
        <v>384</v>
      </c>
      <c r="R26" s="74" t="s">
        <v>377</v>
      </c>
      <c r="S26" s="74" t="s">
        <v>383</v>
      </c>
      <c r="T26" s="76" t="s">
        <v>382</v>
      </c>
      <c r="U26" s="77" t="s">
        <v>381</v>
      </c>
      <c r="V26" s="65" t="s">
        <v>380</v>
      </c>
      <c r="W26" s="74" t="s">
        <v>379</v>
      </c>
      <c r="X26" s="74" t="s">
        <v>378</v>
      </c>
      <c r="Y26" s="74" t="s">
        <v>377</v>
      </c>
      <c r="Z26" s="76" t="s">
        <v>376</v>
      </c>
      <c r="AA26" s="274"/>
      <c r="AB26" s="276"/>
      <c r="AC26" s="278"/>
      <c r="AD26" s="278"/>
      <c r="AE26" s="278"/>
      <c r="AF26" s="278"/>
      <c r="AG26" s="278"/>
      <c r="AH26" s="278"/>
      <c r="AI26" s="278"/>
      <c r="AJ26" s="281"/>
    </row>
    <row r="27" spans="2:36" s="46" customFormat="1" ht="17.5" customHeight="1" x14ac:dyDescent="0.25">
      <c r="B27" s="282"/>
      <c r="C27" s="283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33" customFormat="1" ht="24" customHeight="1" x14ac:dyDescent="0.25">
      <c r="B28" s="257"/>
      <c r="C28" s="260"/>
      <c r="D28" s="122"/>
      <c r="E28" s="123">
        <f>K28+V28</f>
        <v>0</v>
      </c>
      <c r="F28" s="140" t="str">
        <f>IF(D28="","",IF(D7="","",IF(D28=(D7+D28)/2,"--",IF(D28&gt;=(D7+D28)/2,"↑","↓"))))</f>
        <v/>
      </c>
      <c r="G28" s="123"/>
      <c r="H28" s="123"/>
      <c r="I28" s="124"/>
      <c r="J28" s="125"/>
      <c r="K28" s="126"/>
      <c r="L28" s="126"/>
      <c r="M28" s="126"/>
      <c r="N28" s="126"/>
      <c r="O28" s="126"/>
      <c r="P28" s="126"/>
      <c r="Q28" s="126"/>
      <c r="R28" s="126"/>
      <c r="S28" s="126"/>
      <c r="T28" s="127"/>
      <c r="U28" s="125"/>
      <c r="V28" s="128"/>
      <c r="W28" s="123"/>
      <c r="X28" s="123"/>
      <c r="Y28" s="123"/>
      <c r="Z28" s="129" t="e">
        <f>U28/D28</f>
        <v>#DIV/0!</v>
      </c>
      <c r="AA28" s="130"/>
      <c r="AB28" s="123"/>
      <c r="AC28" s="123"/>
      <c r="AD28" s="123"/>
      <c r="AE28" s="131"/>
      <c r="AF28" s="131"/>
      <c r="AG28" s="131"/>
      <c r="AH28" s="131"/>
      <c r="AI28" s="131"/>
      <c r="AJ28" s="132"/>
    </row>
    <row r="29" spans="2:36" s="46" customFormat="1" ht="17.5" customHeight="1" x14ac:dyDescent="0.25">
      <c r="B29" s="257"/>
      <c r="C29" s="260"/>
      <c r="D29" s="271" t="s">
        <v>371</v>
      </c>
      <c r="E29" s="272"/>
      <c r="F29" s="273"/>
      <c r="G29" s="271" t="s">
        <v>370</v>
      </c>
      <c r="H29" s="272"/>
      <c r="I29" s="272"/>
      <c r="J29" s="272"/>
      <c r="K29" s="272"/>
      <c r="L29" s="272"/>
      <c r="M29" s="272"/>
      <c r="N29" s="272"/>
      <c r="O29" s="273"/>
      <c r="P29" s="271" t="s">
        <v>369</v>
      </c>
      <c r="Q29" s="272"/>
      <c r="R29" s="272"/>
      <c r="S29" s="272"/>
      <c r="T29" s="272"/>
      <c r="U29" s="272"/>
      <c r="V29" s="272"/>
      <c r="W29" s="272"/>
      <c r="X29" s="272"/>
      <c r="Y29" s="272"/>
      <c r="Z29" s="272"/>
      <c r="AA29" s="272"/>
      <c r="AB29" s="272"/>
      <c r="AC29" s="272"/>
      <c r="AD29" s="273"/>
      <c r="AE29" s="284" t="s">
        <v>336</v>
      </c>
      <c r="AF29" s="272"/>
      <c r="AG29" s="272"/>
      <c r="AH29" s="272"/>
      <c r="AI29" s="272"/>
      <c r="AJ29" s="273"/>
    </row>
    <row r="30" spans="2:36" s="46" customFormat="1" ht="15" customHeight="1" x14ac:dyDescent="0.25">
      <c r="B30" s="257"/>
      <c r="C30" s="260"/>
      <c r="D30" s="285" t="s">
        <v>368</v>
      </c>
      <c r="E30" s="286" t="s">
        <v>367</v>
      </c>
      <c r="F30" s="287" t="s">
        <v>366</v>
      </c>
      <c r="G30" s="285" t="s">
        <v>365</v>
      </c>
      <c r="H30" s="278"/>
      <c r="I30" s="288" t="s">
        <v>364</v>
      </c>
      <c r="J30" s="288" t="s">
        <v>363</v>
      </c>
      <c r="K30" s="288" t="s">
        <v>362</v>
      </c>
      <c r="L30" s="288" t="s">
        <v>361</v>
      </c>
      <c r="M30" s="288" t="s">
        <v>360</v>
      </c>
      <c r="N30" s="288" t="s">
        <v>359</v>
      </c>
      <c r="O30" s="290" t="s">
        <v>358</v>
      </c>
      <c r="P30" s="285" t="s">
        <v>357</v>
      </c>
      <c r="Q30" s="278"/>
      <c r="R30" s="286" t="s">
        <v>356</v>
      </c>
      <c r="S30" s="278"/>
      <c r="T30" s="278"/>
      <c r="U30" s="286" t="s">
        <v>355</v>
      </c>
      <c r="V30" s="292" t="s">
        <v>354</v>
      </c>
      <c r="W30" s="278"/>
      <c r="X30" s="292" t="s">
        <v>353</v>
      </c>
      <c r="Y30" s="278"/>
      <c r="Z30" s="278"/>
      <c r="AA30" s="292" t="s">
        <v>352</v>
      </c>
      <c r="AB30" s="286" t="s">
        <v>351</v>
      </c>
      <c r="AC30" s="289" t="s">
        <v>350</v>
      </c>
      <c r="AD30" s="287" t="s">
        <v>349</v>
      </c>
      <c r="AE30" s="291" t="s">
        <v>348</v>
      </c>
      <c r="AF30" s="278"/>
      <c r="AG30" s="278"/>
      <c r="AH30" s="288" t="s">
        <v>332</v>
      </c>
      <c r="AI30" s="278"/>
      <c r="AJ30" s="281"/>
    </row>
    <row r="31" spans="2:36" s="46" customFormat="1" ht="15" customHeight="1" x14ac:dyDescent="0.25">
      <c r="B31" s="257"/>
      <c r="C31" s="260"/>
      <c r="D31" s="274"/>
      <c r="E31" s="278"/>
      <c r="F31" s="281"/>
      <c r="G31" s="75" t="s">
        <v>347</v>
      </c>
      <c r="H31" s="72" t="s">
        <v>346</v>
      </c>
      <c r="I31" s="278"/>
      <c r="J31" s="278"/>
      <c r="K31" s="278"/>
      <c r="L31" s="278"/>
      <c r="M31" s="278"/>
      <c r="N31" s="278"/>
      <c r="O31" s="281"/>
      <c r="P31" s="75" t="s">
        <v>345</v>
      </c>
      <c r="Q31" s="72" t="s">
        <v>344</v>
      </c>
      <c r="R31" s="72" t="s">
        <v>344</v>
      </c>
      <c r="S31" s="72" t="s">
        <v>343</v>
      </c>
      <c r="T31" s="71" t="s">
        <v>342</v>
      </c>
      <c r="U31" s="278"/>
      <c r="V31" s="71" t="s">
        <v>345</v>
      </c>
      <c r="W31" s="72" t="s">
        <v>344</v>
      </c>
      <c r="X31" s="71" t="s">
        <v>344</v>
      </c>
      <c r="Y31" s="72" t="s">
        <v>343</v>
      </c>
      <c r="Z31" s="71" t="s">
        <v>342</v>
      </c>
      <c r="AA31" s="278"/>
      <c r="AB31" s="278"/>
      <c r="AC31" s="278"/>
      <c r="AD31" s="281"/>
      <c r="AE31" s="77" t="s">
        <v>1</v>
      </c>
      <c r="AF31" s="74" t="s">
        <v>12</v>
      </c>
      <c r="AG31" s="74" t="s">
        <v>15</v>
      </c>
      <c r="AH31" s="52" t="s">
        <v>103</v>
      </c>
      <c r="AI31" s="74" t="s">
        <v>341</v>
      </c>
      <c r="AJ31" s="73" t="s">
        <v>340</v>
      </c>
    </row>
    <row r="32" spans="2:36" s="46" customFormat="1" ht="17.5" customHeight="1" x14ac:dyDescent="0.25">
      <c r="B32" s="257"/>
      <c r="C32" s="260"/>
      <c r="D32" s="75" t="s">
        <v>4</v>
      </c>
      <c r="E32" s="72" t="s">
        <v>4</v>
      </c>
      <c r="F32" s="73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33" customFormat="1" ht="24" customHeight="1" x14ac:dyDescent="0.25">
      <c r="B33" s="257"/>
      <c r="C33" s="260"/>
      <c r="D33" s="141">
        <v>0.53</v>
      </c>
      <c r="E33" s="134"/>
      <c r="F33" s="146" t="str">
        <f>IF(E33="","",IF(AND(E33&gt;=0.525,E33&lt;=0.53),"合格","不合格"))</f>
        <v/>
      </c>
      <c r="G33" s="122"/>
      <c r="H33" s="123"/>
      <c r="I33" s="123"/>
      <c r="J33" s="123"/>
      <c r="K33" s="123"/>
      <c r="L33" s="123"/>
      <c r="M33" s="123"/>
      <c r="N33" s="123"/>
      <c r="O33" s="129"/>
      <c r="P33" s="142">
        <v>29.1</v>
      </c>
      <c r="Q33" s="143" t="s">
        <v>337</v>
      </c>
      <c r="R33" s="123"/>
      <c r="S33" s="123">
        <f>R33-33.1</f>
        <v>-33.1</v>
      </c>
      <c r="T33" s="140" t="str">
        <f>IF(S33&gt;=0,"↑","↓")</f>
        <v>↓</v>
      </c>
      <c r="U33" s="131" t="s">
        <v>82</v>
      </c>
      <c r="V33" s="143">
        <v>1.6</v>
      </c>
      <c r="W33" s="143">
        <v>17.600000000000001</v>
      </c>
      <c r="X33" s="123"/>
      <c r="Y33" s="123">
        <f>X33-W33</f>
        <v>-17.600000000000001</v>
      </c>
      <c r="Z33" s="140" t="str">
        <f>IF(Y33&gt;=0,"↑","↓")</f>
        <v>↓</v>
      </c>
      <c r="AA33" s="143">
        <v>6.28</v>
      </c>
      <c r="AB33" s="123"/>
      <c r="AC33" s="123">
        <f>AB33-AA33</f>
        <v>-6.28</v>
      </c>
      <c r="AD33" s="140" t="str">
        <f>IF(AC33&gt;=0,"↑","↓")</f>
        <v>↓</v>
      </c>
      <c r="AE33" s="135"/>
      <c r="AF33" s="123"/>
      <c r="AG33" s="131"/>
      <c r="AH33" s="131"/>
      <c r="AI33" s="131"/>
      <c r="AJ33" s="132"/>
    </row>
    <row r="34" spans="2:36" s="46" customFormat="1" ht="15" customHeight="1" x14ac:dyDescent="0.25">
      <c r="B34" s="257"/>
      <c r="C34" s="260"/>
      <c r="D34" s="271" t="s">
        <v>336</v>
      </c>
      <c r="E34" s="273"/>
      <c r="F34" s="271" t="s">
        <v>335</v>
      </c>
      <c r="G34" s="272"/>
      <c r="H34" s="272"/>
      <c r="I34" s="272"/>
      <c r="J34" s="272"/>
      <c r="K34" s="272"/>
      <c r="L34" s="272"/>
      <c r="M34" s="273"/>
      <c r="N34" s="271" t="s">
        <v>334</v>
      </c>
      <c r="O34" s="272"/>
      <c r="P34" s="272"/>
      <c r="Q34" s="272"/>
      <c r="R34" s="272"/>
      <c r="S34" s="272"/>
      <c r="T34" s="272"/>
      <c r="U34" s="273"/>
      <c r="V34" s="284" t="s">
        <v>333</v>
      </c>
      <c r="W34" s="272"/>
      <c r="X34" s="272"/>
      <c r="Y34" s="272"/>
      <c r="Z34" s="272"/>
      <c r="AA34" s="272"/>
      <c r="AB34" s="272"/>
      <c r="AC34" s="272"/>
      <c r="AD34" s="272"/>
      <c r="AE34" s="272"/>
      <c r="AF34" s="272"/>
      <c r="AG34" s="272"/>
      <c r="AH34" s="272"/>
      <c r="AI34" s="272"/>
      <c r="AJ34" s="273"/>
    </row>
    <row r="35" spans="2:36" s="46" customFormat="1" ht="15" customHeight="1" x14ac:dyDescent="0.25">
      <c r="B35" s="257"/>
      <c r="C35" s="260"/>
      <c r="D35" s="285" t="s">
        <v>332</v>
      </c>
      <c r="E35" s="281"/>
      <c r="F35" s="285" t="s">
        <v>331</v>
      </c>
      <c r="G35" s="278"/>
      <c r="H35" s="278"/>
      <c r="I35" s="278"/>
      <c r="J35" s="278"/>
      <c r="K35" s="288" t="s">
        <v>330</v>
      </c>
      <c r="L35" s="278"/>
      <c r="M35" s="281"/>
      <c r="N35" s="285" t="s">
        <v>329</v>
      </c>
      <c r="O35" s="278"/>
      <c r="P35" s="278"/>
      <c r="Q35" s="278"/>
      <c r="R35" s="278"/>
      <c r="S35" s="286" t="s">
        <v>328</v>
      </c>
      <c r="T35" s="278"/>
      <c r="U35" s="281"/>
      <c r="V35" s="291" t="s">
        <v>327</v>
      </c>
      <c r="W35" s="278"/>
      <c r="X35" s="278"/>
      <c r="Y35" s="278"/>
      <c r="Z35" s="288" t="s">
        <v>326</v>
      </c>
      <c r="AA35" s="278"/>
      <c r="AB35" s="278"/>
      <c r="AC35" s="278"/>
      <c r="AD35" s="278"/>
      <c r="AE35" s="278"/>
      <c r="AF35" s="278"/>
      <c r="AG35" s="278"/>
      <c r="AH35" s="278"/>
      <c r="AI35" s="278"/>
      <c r="AJ35" s="281"/>
    </row>
    <row r="36" spans="2:36" s="46" customFormat="1" ht="25" customHeight="1" x14ac:dyDescent="0.25">
      <c r="B36" s="257"/>
      <c r="C36" s="260"/>
      <c r="D36" s="75" t="s">
        <v>325</v>
      </c>
      <c r="E36" s="73" t="s">
        <v>322</v>
      </c>
      <c r="F36" s="75" t="s">
        <v>324</v>
      </c>
      <c r="G36" s="72" t="s">
        <v>317</v>
      </c>
      <c r="H36" s="72" t="s">
        <v>323</v>
      </c>
      <c r="I36" s="74" t="s">
        <v>15</v>
      </c>
      <c r="J36" s="52" t="s">
        <v>322</v>
      </c>
      <c r="K36" s="74" t="s">
        <v>321</v>
      </c>
      <c r="L36" s="74" t="s">
        <v>320</v>
      </c>
      <c r="M36" s="73" t="s">
        <v>319</v>
      </c>
      <c r="N36" s="75" t="s">
        <v>324</v>
      </c>
      <c r="O36" s="72" t="s">
        <v>317</v>
      </c>
      <c r="P36" s="72" t="s">
        <v>323</v>
      </c>
      <c r="Q36" s="72" t="s">
        <v>15</v>
      </c>
      <c r="R36" s="71" t="s">
        <v>322</v>
      </c>
      <c r="S36" s="74" t="s">
        <v>321</v>
      </c>
      <c r="T36" s="74" t="s">
        <v>320</v>
      </c>
      <c r="U36" s="73" t="s">
        <v>319</v>
      </c>
      <c r="V36" s="77" t="s">
        <v>318</v>
      </c>
      <c r="W36" s="74" t="s">
        <v>317</v>
      </c>
      <c r="X36" s="74" t="s">
        <v>316</v>
      </c>
      <c r="Y36" s="74" t="s">
        <v>315</v>
      </c>
      <c r="Z36" s="74" t="s">
        <v>314</v>
      </c>
      <c r="AA36" s="74" t="s">
        <v>313</v>
      </c>
      <c r="AB36" s="74" t="s">
        <v>312</v>
      </c>
      <c r="AC36" s="74" t="s">
        <v>311</v>
      </c>
      <c r="AD36" s="74" t="s">
        <v>310</v>
      </c>
      <c r="AE36" s="74" t="s">
        <v>309</v>
      </c>
      <c r="AF36" s="74" t="s">
        <v>308</v>
      </c>
      <c r="AG36" s="74" t="s">
        <v>307</v>
      </c>
      <c r="AH36" s="74" t="s">
        <v>306</v>
      </c>
      <c r="AI36" s="74" t="s">
        <v>305</v>
      </c>
      <c r="AJ36" s="76" t="s">
        <v>304</v>
      </c>
    </row>
    <row r="37" spans="2:36" s="46" customFormat="1" ht="15" customHeight="1" x14ac:dyDescent="0.25">
      <c r="B37" s="257"/>
      <c r="C37" s="260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72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33" customFormat="1" ht="24" customHeight="1" x14ac:dyDescent="0.25">
      <c r="B38" s="257"/>
      <c r="C38" s="260"/>
      <c r="D38" s="135"/>
      <c r="E38" s="129"/>
      <c r="F38" s="135"/>
      <c r="G38" s="131"/>
      <c r="H38" s="131"/>
      <c r="I38" s="123"/>
      <c r="J38" s="123"/>
      <c r="K38" s="123"/>
      <c r="L38" s="123"/>
      <c r="M38" s="129"/>
      <c r="N38" s="122"/>
      <c r="O38" s="123"/>
      <c r="P38" s="123"/>
      <c r="Q38" s="123"/>
      <c r="R38" s="123"/>
      <c r="S38" s="123"/>
      <c r="T38" s="123"/>
      <c r="U38" s="129"/>
      <c r="V38" s="122"/>
      <c r="W38" s="123"/>
      <c r="X38" s="123"/>
      <c r="Y38" s="123"/>
      <c r="Z38" s="123"/>
      <c r="AA38" s="123"/>
      <c r="AB38" s="123"/>
      <c r="AC38" s="123"/>
      <c r="AD38" s="123"/>
      <c r="AE38" s="123" t="e">
        <f>Z38/AB38</f>
        <v>#DIV/0!</v>
      </c>
      <c r="AF38" s="123"/>
      <c r="AG38" s="123"/>
      <c r="AH38" s="123" t="e">
        <f>AF38/(Z38-AB38)</f>
        <v>#DIV/0!</v>
      </c>
      <c r="AI38" s="143" t="s">
        <v>296</v>
      </c>
      <c r="AJ38" s="140" t="e">
        <f>IF((AH38-AI38)&gt;=0,"↑","↓")</f>
        <v>#DIV/0!</v>
      </c>
    </row>
    <row r="39" spans="2:36" s="46" customFormat="1" ht="15" customHeight="1" x14ac:dyDescent="0.25">
      <c r="B39" s="257"/>
      <c r="C39" s="260"/>
      <c r="D39" s="284" t="s">
        <v>295</v>
      </c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3"/>
      <c r="R39" s="78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84" t="s">
        <v>82</v>
      </c>
    </row>
    <row r="40" spans="2:36" s="46" customFormat="1" ht="15" customHeight="1" x14ac:dyDescent="0.25">
      <c r="B40" s="257"/>
      <c r="C40" s="260"/>
      <c r="D40" s="291" t="s">
        <v>294</v>
      </c>
      <c r="E40" s="278"/>
      <c r="F40" s="278"/>
      <c r="G40" s="288" t="s">
        <v>293</v>
      </c>
      <c r="H40" s="278"/>
      <c r="I40" s="278"/>
      <c r="J40" s="288" t="s">
        <v>292</v>
      </c>
      <c r="K40" s="278"/>
      <c r="L40" s="278"/>
      <c r="M40" s="288" t="s">
        <v>291</v>
      </c>
      <c r="N40" s="288" t="s">
        <v>290</v>
      </c>
      <c r="O40" s="288" t="s">
        <v>289</v>
      </c>
      <c r="P40" s="288" t="s">
        <v>225</v>
      </c>
      <c r="Q40" s="290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57"/>
      <c r="C41" s="260"/>
      <c r="D41" s="77" t="s">
        <v>287</v>
      </c>
      <c r="E41" s="74" t="s">
        <v>286</v>
      </c>
      <c r="F41" s="74" t="s">
        <v>285</v>
      </c>
      <c r="G41" s="74" t="s">
        <v>287</v>
      </c>
      <c r="H41" s="74" t="s">
        <v>286</v>
      </c>
      <c r="I41" s="74" t="s">
        <v>285</v>
      </c>
      <c r="J41" s="74" t="s">
        <v>287</v>
      </c>
      <c r="K41" s="74" t="s">
        <v>286</v>
      </c>
      <c r="L41" s="74" t="s">
        <v>285</v>
      </c>
      <c r="M41" s="278"/>
      <c r="N41" s="278"/>
      <c r="O41" s="278"/>
      <c r="P41" s="278"/>
      <c r="Q41" s="281"/>
      <c r="R41" s="75" t="s">
        <v>4</v>
      </c>
      <c r="S41" s="72" t="s">
        <v>4</v>
      </c>
      <c r="T41" s="72" t="s">
        <v>4</v>
      </c>
      <c r="U41" s="72" t="s">
        <v>82</v>
      </c>
      <c r="V41" s="72" t="s">
        <v>82</v>
      </c>
      <c r="W41" s="74" t="s">
        <v>82</v>
      </c>
      <c r="X41" s="72" t="s">
        <v>82</v>
      </c>
      <c r="Y41" s="72" t="s">
        <v>82</v>
      </c>
      <c r="Z41" s="74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57"/>
      <c r="C42" s="260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33" customFormat="1" ht="24" customHeight="1" x14ac:dyDescent="0.25">
      <c r="B43" s="301"/>
      <c r="C43" s="302"/>
      <c r="D43" s="122"/>
      <c r="E43" s="123"/>
      <c r="F43" s="123">
        <f>D43-E43</f>
        <v>0</v>
      </c>
      <c r="G43" s="123"/>
      <c r="H43" s="123"/>
      <c r="I43" s="123">
        <f>G43-H43</f>
        <v>0</v>
      </c>
      <c r="J43" s="123"/>
      <c r="K43" s="123"/>
      <c r="L43" s="123">
        <f>J43-K43</f>
        <v>0</v>
      </c>
      <c r="M43" s="123"/>
      <c r="N43" s="123"/>
      <c r="O43" s="123" t="e">
        <f>N43/M43</f>
        <v>#DIV/0!</v>
      </c>
      <c r="P43" s="123"/>
      <c r="Q43" s="145">
        <v>301</v>
      </c>
      <c r="R43" s="122" t="s">
        <v>4</v>
      </c>
      <c r="S43" s="123" t="s">
        <v>4</v>
      </c>
      <c r="T43" s="123" t="s">
        <v>4</v>
      </c>
      <c r="U43" s="123" t="s">
        <v>82</v>
      </c>
      <c r="V43" s="123" t="s">
        <v>82</v>
      </c>
      <c r="W43" s="123" t="s">
        <v>82</v>
      </c>
      <c r="X43" s="123" t="s">
        <v>82</v>
      </c>
      <c r="Y43" s="123" t="s">
        <v>82</v>
      </c>
      <c r="Z43" s="123" t="s">
        <v>82</v>
      </c>
      <c r="AA43" s="123" t="s">
        <v>82</v>
      </c>
      <c r="AB43" s="123" t="s">
        <v>82</v>
      </c>
      <c r="AC43" s="123" t="s">
        <v>82</v>
      </c>
      <c r="AD43" s="123" t="s">
        <v>82</v>
      </c>
      <c r="AE43" s="131" t="s">
        <v>82</v>
      </c>
      <c r="AF43" s="131" t="s">
        <v>82</v>
      </c>
      <c r="AG43" s="131" t="s">
        <v>82</v>
      </c>
      <c r="AH43" s="131" t="s">
        <v>82</v>
      </c>
      <c r="AI43" s="131" t="s">
        <v>82</v>
      </c>
      <c r="AJ43" s="132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F7">
    <cfRule type="cellIs" dxfId="39" priority="25" aboveAverage="1" operator="equal">
      <formula>"↓"</formula>
    </cfRule>
    <cfRule type="cellIs" dxfId="38" priority="26" aboveAverage="1" operator="equal">
      <formula>"↑"</formula>
    </cfRule>
  </conditionalFormatting>
  <conditionalFormatting sqref="F12">
    <cfRule type="cellIs" dxfId="37" priority="5" aboveAverage="1" operator="equal">
      <formula>"↓"</formula>
    </cfRule>
    <cfRule type="cellIs" dxfId="36" priority="6" aboveAverage="1" operator="equal">
      <formula>"↑"</formula>
    </cfRule>
  </conditionalFormatting>
  <conditionalFormatting sqref="F28">
    <cfRule type="cellIs" dxfId="35" priority="23" aboveAverage="1" operator="equal">
      <formula>"↓"</formula>
    </cfRule>
    <cfRule type="cellIs" dxfId="34" priority="24" aboveAverage="1" operator="equal">
      <formula>"↑"</formula>
    </cfRule>
  </conditionalFormatting>
  <conditionalFormatting sqref="F33">
    <cfRule type="cellIs" dxfId="33" priority="1" aboveAverage="1" operator="equal">
      <formula>"↓"</formula>
    </cfRule>
    <cfRule type="cellIs" dxfId="32" priority="2" aboveAverage="1" operator="equal">
      <formula>"↑"</formula>
    </cfRule>
  </conditionalFormatting>
  <conditionalFormatting sqref="T12">
    <cfRule type="cellIs" dxfId="31" priority="21" aboveAverage="1" operator="equal">
      <formula>"↓"</formula>
    </cfRule>
    <cfRule type="cellIs" dxfId="30" priority="22" aboveAverage="1" operator="equal">
      <formula>"↑"</formula>
    </cfRule>
  </conditionalFormatting>
  <conditionalFormatting sqref="T33">
    <cfRule type="cellIs" dxfId="29" priority="19" aboveAverage="1" operator="equal">
      <formula>"↓"</formula>
    </cfRule>
    <cfRule type="cellIs" dxfId="28" priority="20" aboveAverage="1" operator="equal">
      <formula>"↑"</formula>
    </cfRule>
  </conditionalFormatting>
  <conditionalFormatting sqref="Z12">
    <cfRule type="cellIs" dxfId="27" priority="17" aboveAverage="1" operator="equal">
      <formula>"↓"</formula>
    </cfRule>
    <cfRule type="cellIs" dxfId="26" priority="18" aboveAverage="1" operator="equal">
      <formula>"↑"</formula>
    </cfRule>
  </conditionalFormatting>
  <conditionalFormatting sqref="Z33">
    <cfRule type="cellIs" dxfId="25" priority="15" aboveAverage="1" operator="equal">
      <formula>"↓"</formula>
    </cfRule>
    <cfRule type="cellIs" dxfId="24" priority="16" aboveAverage="1" operator="equal">
      <formula>"↑"</formula>
    </cfRule>
  </conditionalFormatting>
  <conditionalFormatting sqref="AD12">
    <cfRule type="cellIs" dxfId="23" priority="13" aboveAverage="1" operator="equal">
      <formula>"↓"</formula>
    </cfRule>
    <cfRule type="cellIs" dxfId="22" priority="14" aboveAverage="1" operator="equal">
      <formula>"↑"</formula>
    </cfRule>
  </conditionalFormatting>
  <conditionalFormatting sqref="AD33">
    <cfRule type="cellIs" dxfId="21" priority="11" aboveAverage="1" operator="equal">
      <formula>"↓"</formula>
    </cfRule>
    <cfRule type="cellIs" dxfId="20" priority="12" aboveAverage="1" operator="equal">
      <formula>"↑"</formula>
    </cfRule>
  </conditionalFormatting>
  <conditionalFormatting sqref="AJ17">
    <cfRule type="cellIs" dxfId="19" priority="9" aboveAverage="1" operator="equal">
      <formula>"↓"</formula>
    </cfRule>
    <cfRule type="cellIs" dxfId="18" priority="10" aboveAverage="1" operator="equal">
      <formula>"↑"</formula>
    </cfRule>
  </conditionalFormatting>
  <conditionalFormatting sqref="AJ38">
    <cfRule type="cellIs" dxfId="17" priority="7" aboveAverage="1" operator="equal">
      <formula>"↓"</formula>
    </cfRule>
    <cfRule type="cellIs" dxfId="16" priority="8" aboveAverage="1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tabSelected="1" zoomScaleNormal="100" workbookViewId="0">
      <selection activeCell="N6" sqref="N6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03" t="s">
        <v>470</v>
      </c>
      <c r="C2" s="304"/>
      <c r="D2" s="304"/>
      <c r="E2" s="304"/>
      <c r="F2" s="304"/>
      <c r="G2" s="304"/>
      <c r="H2" s="304"/>
      <c r="I2" s="304"/>
      <c r="J2" s="305"/>
    </row>
    <row r="3" spans="2:10" ht="20.15" customHeight="1" x14ac:dyDescent="0.25">
      <c r="B3" s="306"/>
      <c r="C3" s="307"/>
      <c r="D3" s="307"/>
      <c r="E3" s="307"/>
      <c r="F3" s="307"/>
      <c r="G3" s="308"/>
      <c r="H3" s="309"/>
      <c r="I3" s="309"/>
      <c r="J3" s="310"/>
    </row>
    <row r="4" spans="2:10" ht="21" x14ac:dyDescent="0.25">
      <c r="B4" s="311" t="s">
        <v>413</v>
      </c>
      <c r="C4" s="312"/>
      <c r="D4" s="313"/>
      <c r="E4" s="314" t="s">
        <v>414</v>
      </c>
      <c r="F4" s="314" t="s">
        <v>415</v>
      </c>
      <c r="G4" s="314" t="s">
        <v>416</v>
      </c>
      <c r="H4" s="315" t="s">
        <v>417</v>
      </c>
      <c r="I4" s="313"/>
      <c r="J4" s="316" t="s">
        <v>418</v>
      </c>
    </row>
    <row r="5" spans="2:10" x14ac:dyDescent="0.25">
      <c r="B5" s="317" t="s">
        <v>419</v>
      </c>
      <c r="C5" s="318" t="s">
        <v>420</v>
      </c>
      <c r="D5" s="318"/>
      <c r="E5" s="319" t="s">
        <v>284</v>
      </c>
      <c r="F5" s="320">
        <v>90</v>
      </c>
      <c r="G5" s="321">
        <v>0</v>
      </c>
      <c r="H5" s="322">
        <f>(G5-F5)/F5*100</f>
        <v>-100</v>
      </c>
      <c r="I5" s="323" t="s">
        <v>284</v>
      </c>
      <c r="J5" s="324"/>
    </row>
    <row r="6" spans="2:10" x14ac:dyDescent="0.25">
      <c r="B6" s="325" t="s">
        <v>421</v>
      </c>
      <c r="C6" s="318" t="s">
        <v>422</v>
      </c>
      <c r="D6" s="318"/>
      <c r="E6" s="319" t="s">
        <v>280</v>
      </c>
      <c r="F6" s="320" t="s">
        <v>423</v>
      </c>
      <c r="G6" s="321">
        <v>0</v>
      </c>
      <c r="H6" s="326" t="str">
        <f>IF($G6="","",IF(AND($G6&gt;=0,$G6&lt;=1427),"合格","不合格"))</f>
        <v/>
      </c>
      <c r="I6" s="327" t="s">
        <v>4</v>
      </c>
      <c r="J6" s="324"/>
    </row>
    <row r="7" spans="2:10" x14ac:dyDescent="0.25">
      <c r="B7" s="328"/>
      <c r="C7" s="318" t="s">
        <v>424</v>
      </c>
      <c r="D7" s="318"/>
      <c r="E7" s="319" t="s">
        <v>280</v>
      </c>
      <c r="F7" s="320" t="s">
        <v>425</v>
      </c>
      <c r="G7" s="321">
        <v>0</v>
      </c>
      <c r="H7" s="326" t="str">
        <f>IF($G7="","",IF(AND($G7&gt;=210,$G7&lt;=220),"合格","不合格"))</f>
        <v/>
      </c>
      <c r="I7" s="327" t="s">
        <v>4</v>
      </c>
      <c r="J7" s="324"/>
    </row>
    <row r="8" spans="2:10" x14ac:dyDescent="0.25">
      <c r="B8" s="329"/>
      <c r="C8" s="318" t="s">
        <v>426</v>
      </c>
      <c r="D8" s="318"/>
      <c r="E8" s="319" t="s">
        <v>280</v>
      </c>
      <c r="F8" s="320" t="s">
        <v>427</v>
      </c>
      <c r="G8" s="321">
        <v>0</v>
      </c>
      <c r="H8" s="326" t="str">
        <f>IF($G8="","",IF(AND($G8&gt;=190,$G8&lt;=210),"合格","不合格"))</f>
        <v/>
      </c>
      <c r="I8" s="327" t="s">
        <v>4</v>
      </c>
      <c r="J8" s="324"/>
    </row>
    <row r="9" spans="2:10" x14ac:dyDescent="0.25">
      <c r="B9" s="325" t="s">
        <v>428</v>
      </c>
      <c r="C9" s="319" t="s">
        <v>429</v>
      </c>
      <c r="D9" s="319" t="s">
        <v>430</v>
      </c>
      <c r="E9" s="319" t="s">
        <v>431</v>
      </c>
      <c r="F9" s="320" t="s">
        <v>432</v>
      </c>
      <c r="G9" s="321">
        <v>417.560546875</v>
      </c>
      <c r="H9" s="326" t="str">
        <f>IF($G9="","",IF(AND($G9&gt;=412,$G9&lt;=422),"合格","不合格"))</f>
        <v/>
      </c>
      <c r="I9" s="327" t="s">
        <v>4</v>
      </c>
      <c r="J9" s="324"/>
    </row>
    <row r="10" spans="2:10" x14ac:dyDescent="0.25">
      <c r="B10" s="328"/>
      <c r="C10" s="318" t="s">
        <v>433</v>
      </c>
      <c r="D10" s="319" t="s">
        <v>434</v>
      </c>
      <c r="E10" s="327" t="s">
        <v>4</v>
      </c>
      <c r="F10" s="320" t="s">
        <v>435</v>
      </c>
      <c r="G10" s="321">
        <v>0.5464111566543579</v>
      </c>
      <c r="H10" s="326" t="str">
        <f>IF($G10="","",IF(AND($G10&gt;=0.525,$G10&lt;=0.5357),"合格","不合格"))</f>
        <v/>
      </c>
      <c r="I10" s="327" t="s">
        <v>4</v>
      </c>
      <c r="J10" s="324"/>
    </row>
    <row r="11" spans="2:10" x14ac:dyDescent="0.25">
      <c r="B11" s="328"/>
      <c r="C11" s="318"/>
      <c r="D11" s="319" t="s">
        <v>436</v>
      </c>
      <c r="E11" s="319" t="s">
        <v>437</v>
      </c>
      <c r="F11" s="320">
        <v>46.63</v>
      </c>
      <c r="G11" s="321">
        <v>46.65299987792969</v>
      </c>
      <c r="H11" s="326" t="s">
        <v>438</v>
      </c>
      <c r="I11" s="327" t="s">
        <v>4</v>
      </c>
      <c r="J11" s="324"/>
    </row>
    <row r="12" spans="2:10" x14ac:dyDescent="0.25">
      <c r="B12" s="328"/>
      <c r="C12" s="318"/>
      <c r="D12" s="319" t="s">
        <v>439</v>
      </c>
      <c r="E12" s="319" t="s">
        <v>301</v>
      </c>
      <c r="F12" s="320" t="s">
        <v>440</v>
      </c>
      <c r="G12" s="321">
        <v>0.8697338104248047</v>
      </c>
      <c r="H12" s="326" t="str">
        <f>IF($G12="","",IF(AND($G12&gt;=0.745,$G12&lt;=0.755),"合格","不合格"))</f>
        <v/>
      </c>
      <c r="I12" s="327" t="s">
        <v>4</v>
      </c>
      <c r="J12" s="324"/>
    </row>
    <row r="13" spans="2:10" x14ac:dyDescent="0.25">
      <c r="B13" s="328"/>
      <c r="C13" s="318"/>
      <c r="D13" s="319" t="s">
        <v>441</v>
      </c>
      <c r="E13" s="319" t="s">
        <v>302</v>
      </c>
      <c r="F13" s="320" t="s">
        <v>442</v>
      </c>
      <c r="G13" s="321">
        <v>92.00882720947266</v>
      </c>
      <c r="H13" s="326" t="str">
        <f>IF($G13="","",IF(AND($G13&gt;=88,$G13&lt;=92),"合格","不合格"))</f>
        <v/>
      </c>
      <c r="I13" s="327" t="s">
        <v>4</v>
      </c>
      <c r="J13" s="324"/>
    </row>
    <row r="14" spans="2:10" x14ac:dyDescent="0.25">
      <c r="B14" s="328"/>
      <c r="C14" s="318"/>
      <c r="D14" s="319" t="s">
        <v>443</v>
      </c>
      <c r="E14" s="319" t="s">
        <v>302</v>
      </c>
      <c r="F14" s="320" t="s">
        <v>444</v>
      </c>
      <c r="G14" s="321">
        <v>138.9894256591797</v>
      </c>
      <c r="H14" s="326" t="str">
        <f>IF($G14="","",IF(AND($G14&gt;=143,$G14&lt;=147),"合格","不合格"))</f>
        <v/>
      </c>
      <c r="I14" s="327" t="s">
        <v>4</v>
      </c>
      <c r="J14" s="324"/>
    </row>
    <row r="15" spans="2:10" x14ac:dyDescent="0.25">
      <c r="B15" s="328"/>
      <c r="C15" s="318"/>
      <c r="D15" s="319" t="s">
        <v>445</v>
      </c>
      <c r="E15" s="319" t="s">
        <v>302</v>
      </c>
      <c r="F15" s="320" t="s">
        <v>446</v>
      </c>
      <c r="G15" s="321">
        <v>168.29931640625</v>
      </c>
      <c r="H15" s="326" t="str">
        <f>IF($G15="","",IF(AND($G15&gt;=166,$G15&lt;=170),"合格","不合格"))</f>
        <v/>
      </c>
      <c r="I15" s="327" t="s">
        <v>4</v>
      </c>
      <c r="J15" s="324"/>
    </row>
    <row r="16" spans="2:10" x14ac:dyDescent="0.25">
      <c r="B16" s="328"/>
      <c r="C16" s="318" t="s">
        <v>447</v>
      </c>
      <c r="D16" s="319" t="s">
        <v>448</v>
      </c>
      <c r="E16" s="319" t="s">
        <v>302</v>
      </c>
      <c r="F16" s="320" t="s">
        <v>449</v>
      </c>
      <c r="G16" s="321">
        <v>47.755348205566406</v>
      </c>
      <c r="H16" s="326" t="str">
        <f>IF($G16="","",IF(AND($G16&gt;=0,$G16&lt;=45),"合格","不合格"))</f>
        <v/>
      </c>
      <c r="I16" s="327" t="s">
        <v>4</v>
      </c>
      <c r="J16" s="324"/>
    </row>
    <row r="17" spans="2:10" x14ac:dyDescent="0.25">
      <c r="B17" s="328"/>
      <c r="C17" s="318"/>
      <c r="D17" s="319" t="s">
        <v>450</v>
      </c>
      <c r="E17" s="319" t="s">
        <v>302</v>
      </c>
      <c r="F17" s="320" t="s">
        <v>451</v>
      </c>
      <c r="G17" s="321">
        <v>19.401042938232422</v>
      </c>
      <c r="H17" s="326" t="str">
        <f>IF($G17="","",IF(AND($G17&gt;=0,$G17&lt;=20),"合格","不合格"))</f>
        <v/>
      </c>
      <c r="I17" s="327" t="s">
        <v>4</v>
      </c>
      <c r="J17" s="324"/>
    </row>
    <row r="18" spans="2:10" x14ac:dyDescent="0.25">
      <c r="B18" s="328"/>
      <c r="C18" s="318"/>
      <c r="D18" s="319" t="s">
        <v>452</v>
      </c>
      <c r="E18" s="319" t="s">
        <v>302</v>
      </c>
      <c r="F18" s="320" t="s">
        <v>453</v>
      </c>
      <c r="G18" s="321">
        <v>0</v>
      </c>
      <c r="H18" s="326" t="str">
        <f>IF($G18="","",IF(AND($G18&gt;=46,$G18&lt;=50),"合格","不合格"))</f>
        <v/>
      </c>
      <c r="I18" s="327" t="s">
        <v>4</v>
      </c>
      <c r="J18" s="324"/>
    </row>
    <row r="19" spans="2:10" x14ac:dyDescent="0.25">
      <c r="B19" s="328"/>
      <c r="C19" s="318"/>
      <c r="D19" s="319" t="s">
        <v>454</v>
      </c>
      <c r="E19" s="319" t="s">
        <v>302</v>
      </c>
      <c r="F19" s="320" t="s">
        <v>455</v>
      </c>
      <c r="G19" s="321">
        <v>78.26432800292969</v>
      </c>
      <c r="H19" s="326" t="str">
        <f>IF($G19="","",IF(AND($G19&gt;=0,$G19&lt;=20),"合格","不合格"))</f>
        <v/>
      </c>
      <c r="I19" s="327" t="s">
        <v>4</v>
      </c>
      <c r="J19" s="324"/>
    </row>
    <row r="20" spans="2:10" x14ac:dyDescent="0.25">
      <c r="B20" s="328"/>
      <c r="C20" s="318" t="s">
        <v>456</v>
      </c>
      <c r="D20" s="319" t="s">
        <v>89</v>
      </c>
      <c r="E20" s="319" t="s">
        <v>284</v>
      </c>
      <c r="F20" s="330" t="s">
        <v>82</v>
      </c>
      <c r="G20" s="321">
        <v>33.59000015258789</v>
      </c>
      <c r="H20" s="331" t="s">
        <v>457</v>
      </c>
      <c r="I20" s="327" t="s">
        <v>4</v>
      </c>
      <c r="J20" s="324"/>
    </row>
    <row r="21" spans="2:10" x14ac:dyDescent="0.25">
      <c r="B21" s="328"/>
      <c r="C21" s="318"/>
      <c r="D21" s="319" t="s">
        <v>92</v>
      </c>
      <c r="E21" s="319" t="s">
        <v>284</v>
      </c>
      <c r="F21" s="330" t="s">
        <v>82</v>
      </c>
      <c r="G21" s="321"/>
      <c r="H21" s="331" t="s">
        <v>457</v>
      </c>
      <c r="I21" s="327" t="s">
        <v>4</v>
      </c>
      <c r="J21" s="324"/>
    </row>
    <row r="22" spans="2:10" x14ac:dyDescent="0.25">
      <c r="B22" s="328"/>
      <c r="C22" s="318"/>
      <c r="D22" s="319" t="s">
        <v>458</v>
      </c>
      <c r="E22" s="327" t="s">
        <v>4</v>
      </c>
      <c r="F22" s="330" t="s">
        <v>82</v>
      </c>
      <c r="G22" s="321">
        <v>6.869999885559082</v>
      </c>
      <c r="H22" s="331" t="s">
        <v>457</v>
      </c>
      <c r="I22" s="327" t="s">
        <v>4</v>
      </c>
      <c r="J22" s="324"/>
    </row>
    <row r="23" spans="2:10" x14ac:dyDescent="0.25">
      <c r="B23" s="328"/>
      <c r="C23" s="318"/>
      <c r="D23" s="319" t="s">
        <v>166</v>
      </c>
      <c r="E23" s="319" t="s">
        <v>431</v>
      </c>
      <c r="F23" s="330" t="s">
        <v>82</v>
      </c>
      <c r="G23" s="321">
        <v>8.850000381469727</v>
      </c>
      <c r="H23" s="331" t="s">
        <v>457</v>
      </c>
      <c r="I23" s="327" t="s">
        <v>4</v>
      </c>
      <c r="J23" s="324"/>
    </row>
    <row r="24" spans="2:10" x14ac:dyDescent="0.25">
      <c r="B24" s="329"/>
      <c r="C24" s="318"/>
      <c r="D24" s="319" t="s">
        <v>167</v>
      </c>
      <c r="E24" s="319" t="s">
        <v>431</v>
      </c>
      <c r="F24" s="330" t="s">
        <v>82</v>
      </c>
      <c r="G24" s="321">
        <v>5.110000133514404</v>
      </c>
      <c r="H24" s="331" t="s">
        <v>457</v>
      </c>
      <c r="I24" s="327" t="s">
        <v>4</v>
      </c>
      <c r="J24" s="324"/>
    </row>
    <row r="25" spans="2:10" x14ac:dyDescent="0.25">
      <c r="B25" s="332" t="s">
        <v>459</v>
      </c>
      <c r="C25" s="319" t="s">
        <v>460</v>
      </c>
      <c r="D25" s="319" t="s">
        <v>461</v>
      </c>
      <c r="E25" s="319" t="s">
        <v>462</v>
      </c>
      <c r="F25" s="320" t="s">
        <v>463</v>
      </c>
      <c r="G25" s="321">
        <v>0</v>
      </c>
      <c r="H25" s="326" t="str">
        <f>IF($G25="","",IF(AND($G25&gt;=0,$G25&lt;=0.38),"合格","不合格"))</f>
        <v/>
      </c>
      <c r="I25" s="327" t="s">
        <v>4</v>
      </c>
      <c r="J25" s="324"/>
    </row>
    <row r="26" spans="2:10" x14ac:dyDescent="0.25">
      <c r="B26" s="332"/>
      <c r="C26" s="318" t="s">
        <v>464</v>
      </c>
      <c r="D26" s="319" t="s">
        <v>10</v>
      </c>
      <c r="E26" s="319" t="s">
        <v>284</v>
      </c>
      <c r="F26" s="320">
        <v>7</v>
      </c>
      <c r="G26" s="321"/>
      <c r="H26" s="322">
        <f>(G26-F26)</f>
        <v>-7</v>
      </c>
      <c r="I26" s="327" t="s">
        <v>284</v>
      </c>
      <c r="J26" s="324"/>
    </row>
    <row r="27" spans="2:10" x14ac:dyDescent="0.25">
      <c r="B27" s="332"/>
      <c r="C27" s="318"/>
      <c r="D27" s="319" t="s">
        <v>465</v>
      </c>
      <c r="E27" s="319" t="s">
        <v>284</v>
      </c>
      <c r="F27" s="320">
        <v>15</v>
      </c>
      <c r="G27" s="321"/>
      <c r="H27" s="322">
        <f t="shared" ref="H27:H31" si="0">(G27-F27)</f>
        <v>-15</v>
      </c>
      <c r="I27" s="327" t="s">
        <v>284</v>
      </c>
      <c r="J27" s="324"/>
    </row>
    <row r="28" spans="2:10" x14ac:dyDescent="0.25">
      <c r="B28" s="332"/>
      <c r="C28" s="318"/>
      <c r="D28" s="319" t="s">
        <v>466</v>
      </c>
      <c r="E28" s="319" t="s">
        <v>284</v>
      </c>
      <c r="F28" s="320">
        <v>4</v>
      </c>
      <c r="G28" s="321"/>
      <c r="H28" s="322">
        <f t="shared" si="0"/>
        <v>-4</v>
      </c>
      <c r="I28" s="327" t="s">
        <v>284</v>
      </c>
      <c r="J28" s="324"/>
    </row>
    <row r="29" spans="2:10" x14ac:dyDescent="0.25">
      <c r="B29" s="332"/>
      <c r="C29" s="318"/>
      <c r="D29" s="319" t="s">
        <v>166</v>
      </c>
      <c r="E29" s="319" t="s">
        <v>284</v>
      </c>
      <c r="F29" s="320">
        <v>7</v>
      </c>
      <c r="G29" s="321"/>
      <c r="H29" s="322">
        <f t="shared" si="0"/>
        <v>-7</v>
      </c>
      <c r="I29" s="327" t="s">
        <v>284</v>
      </c>
      <c r="J29" s="324"/>
    </row>
    <row r="30" spans="2:10" x14ac:dyDescent="0.25">
      <c r="B30" s="332"/>
      <c r="C30" s="318"/>
      <c r="D30" s="319" t="s">
        <v>167</v>
      </c>
      <c r="E30" s="319" t="s">
        <v>284</v>
      </c>
      <c r="F30" s="320">
        <v>7</v>
      </c>
      <c r="G30" s="321"/>
      <c r="H30" s="322">
        <f t="shared" si="0"/>
        <v>-7</v>
      </c>
      <c r="I30" s="327" t="s">
        <v>284</v>
      </c>
      <c r="J30" s="324"/>
    </row>
    <row r="31" spans="2:10" x14ac:dyDescent="0.25">
      <c r="B31" s="332"/>
      <c r="C31" s="318"/>
      <c r="D31" s="319" t="s">
        <v>467</v>
      </c>
      <c r="E31" s="319" t="s">
        <v>468</v>
      </c>
      <c r="F31" s="320">
        <v>10</v>
      </c>
      <c r="G31" s="321"/>
      <c r="H31" s="322">
        <f t="shared" si="0"/>
        <v>-10</v>
      </c>
      <c r="I31" s="327" t="s">
        <v>284</v>
      </c>
      <c r="J31" s="324"/>
    </row>
    <row r="32" spans="2:10" ht="14.5" thickBot="1" x14ac:dyDescent="0.3">
      <c r="B32" s="325"/>
      <c r="C32" s="333"/>
      <c r="D32" s="334" t="s">
        <v>320</v>
      </c>
      <c r="E32" s="334" t="s">
        <v>284</v>
      </c>
      <c r="F32" s="335">
        <v>50</v>
      </c>
      <c r="G32" s="336"/>
      <c r="H32" s="322">
        <f>(G32-F32)</f>
        <v>-50</v>
      </c>
      <c r="I32" s="327" t="s">
        <v>284</v>
      </c>
      <c r="J32" s="337"/>
    </row>
    <row r="33" spans="2:10" x14ac:dyDescent="0.25">
      <c r="B33" s="338" t="s">
        <v>469</v>
      </c>
      <c r="C33" s="339"/>
      <c r="D33" s="340"/>
      <c r="E33" s="340"/>
      <c r="F33" s="340"/>
      <c r="G33" s="340"/>
      <c r="H33" s="340"/>
      <c r="I33" s="340"/>
      <c r="J33" s="341"/>
    </row>
    <row r="34" spans="2:10" x14ac:dyDescent="0.25">
      <c r="B34" s="342"/>
      <c r="C34" s="343"/>
      <c r="D34" s="344"/>
      <c r="E34" s="344"/>
      <c r="F34" s="344"/>
      <c r="G34" s="344"/>
      <c r="H34" s="344"/>
      <c r="I34" s="344"/>
      <c r="J34" s="345"/>
    </row>
    <row r="35" spans="2:10" ht="14.5" thickBot="1" x14ac:dyDescent="0.3">
      <c r="B35" s="346"/>
      <c r="C35" s="347"/>
      <c r="D35" s="348"/>
      <c r="E35" s="348"/>
      <c r="F35" s="348"/>
      <c r="G35" s="348"/>
      <c r="H35" s="348"/>
      <c r="I35" s="348"/>
      <c r="J35" s="349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2026-05-27T10:43:07Z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