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6855" yWindow="-15180" windowWidth="19200" windowHeight="11175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  <c r="B66" i="10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<sst xmlns="http://schemas.openxmlformats.org/spreadsheetml/2006/main" count="881" uniqueCount="370">
  <si>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</si>
  <si>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</si>
  <si>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</si>
  <si>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</si>
  <si>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</si>
  <si>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</si>
  <si>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</si>
  <si>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</si>
  <si>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</si>
  <si>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</si>
  <si>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</si>
  <si>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</si>
  <si>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</si>
  <si>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</si>
  <si>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</si>
  <si>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</si>
  <si>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</si>
  <si>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</si>
  <si>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</si>
  <si>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</si>
  <si>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</si>
  <si>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</si>
  <si>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</si>
  <si>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</si>
  <si>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</si>
  <si>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</si>
  <si>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</si>
  <si>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</si>
  <si>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</si>
  <si>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</si>
  <si>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</si>
  <si>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</si>
  <si>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</si>
  <si>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</si>
  <si>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</si>
  <si>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</si>
  <si>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</si>
  <si>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</si>
  <si>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</si>
  <si>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</si>
  <si>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</si>
  <si>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</si>
  <si>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</si>
  <si>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</si>
  <si>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</si>
  <si>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</si>
  <si>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</si>
  <si>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</si>
  <si>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</si>
  <si>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</si>
  <si>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</si>
  <si>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</si>
  <si>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</si>
  <si>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</si>
  <si>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</si>
  <si>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</si>
  <si>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</si>
  <si>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</si>
  <si>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</si>
  <si>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</si>
  <si>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</si>
  <si>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</si>
  <si>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</si>
  <si>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</si>
  <si>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</si>
  <si>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</si>
  <si>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</si>
  <si>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</si>
  <si>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</si>
  <si>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</si>
  <si>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</si>
  <si>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</si>
  <si>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</si>
  <si>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</si>
  <si>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</si>
  <si>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</si>
  <si>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</si>
  <si>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</si>
  <si>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</si>
  <si>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</si>
  <si>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</si>
  <si>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</si>
  <si>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</si>
  <si>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</si>
  <si>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</si>
  <si>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</si>
  <si>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</si>
  <si>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</si>
  <si>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</si>
  <si>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</si>
  <si>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</si>
  <si>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</si>
  <si>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</si>
  <si>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</si>
  <si>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</si>
  <si>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</si>
  <si>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</si>
  <si>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</si>
  <si>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</si>
  <si>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</si>
  <si>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</si>
  <si>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</si>
  <si>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</si>
  <si>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</si>
  <si>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</si>
  <si>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</si>
  <si>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</si>
  <si>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</si>
  <si>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</si>
  <si>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</si>
  <si>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</si>
  <si>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</si>
  <si>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</si>
  <si>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</si>
  <si>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</si>
  <si>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</si>
  <si>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</si>
  <si>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</si>
  <si>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</si>
  <si>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</si>
  <si>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</si>
  <si>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</si>
  <si>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</si>
  <si>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</si>
  <si>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</si>
  <si>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</si>
  <si>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</si>
  <si>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</si>
  <si>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</si>
  <si>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</si>
  <si>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</si>
  <si>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</si>
  <si>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</si>
  <si>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</si>
  <si>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</si>
  <si>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</si>
  <si>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</si>
  <si>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</si>
  <si>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</si>
  <si>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</si>
  <si>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</si>
  <si>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</si>
  <si>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</si>
  <si>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</si>
  <si>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</si>
  <si>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</si>
  <si>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</si>
  <si>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</si>
  <si>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</si>
  <si>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</si>
  <si>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</si>
  <si>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</si>
  <si>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</si>
  <si>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</si>
  <si>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</si>
  <si>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</si>
  <si>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</si>
  <si>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</si>
  <si>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</si>
  <si>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</si>
  <si>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</si>
  <si>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</si>
  <si>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</si>
  <si>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</si>
  <si>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</si>
  <si>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</si>
  <si>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</si>
  <si>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</si>
  <si>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</si>
  <si>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</si>
  <si>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</si>
  <si>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</si>
  <si>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</si>
  <si>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</si>
  <si>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</si>
  <si>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</si>
  <si>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</si>
  <si>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</si>
  <si>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</si>
  <si>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</si>
  <si>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</si>
  <si>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</si>
  <si>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</si>
  <si>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</si>
  <si>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</si>
  <si>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</si>
  <si>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</si>
  <si>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</si>
  <si>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</si>
  <si>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</si>
  <si>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</si>
  <si>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</si>
  <si>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</si>
  <si>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</si>
  <si>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</si>
  <si>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</si>
  <si>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</si>
  <si>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</si>
  <si>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</si>
  <si>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</si>
  <si>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</si>
  <si>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</si>
  <si>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</si>
  <si>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</si>
  <si>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</si>
  <si>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</si>
  <si>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</si>
  <si>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</si>
  <si>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</si>
  <si>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</si>
  <si>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</si>
  <si>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</si>
  <si>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</si>
  <si>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</si>
  <si>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</si>
  <si>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</si>
  <si>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</si>
  <si>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</si>
  <si>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</si>
  <si>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</si>
  <si>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</si>
  <si>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</si>
  <si>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</si>
  <si>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</si>
  <si>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</si>
  <si>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</si>
  <si>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</si>
  <si>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</si>
  <si>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</si>
  <si>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</si>
  <si>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</si>
  <si>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</si>
  <si>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</si>
  <si>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</si>
  <si>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</si>
  <si>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</si>
  <si>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</si>
  <si>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</si>
  <si>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</si>
  <si>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</si>
  <si>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</si>
  <si>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</si>
  <si>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</si>
  <si>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</si>
  <si>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</si>
  <si>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</si>
  <si>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</si>
  <si>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</si>
  <si>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</si>
  <si>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</si>
  <si>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</si>
  <si>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</si>
  <si>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</si>
  <si>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</si>
  <si>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</si>
  <si>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</si>
  <si>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</si>
  <si>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</si>
  <si>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</si>
  <si>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</si>
  <si>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</si>
  <si>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</si>
  <si>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</si>
  <si>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</si>
  <si>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</si>
  <si>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</si>
  <si>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</si>
  <si>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</si>
  <si>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</si>
  <si>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</si>
  <si>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</si>
  <si>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</si>
  <si>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</si>
  <si>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</si>
  <si>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</si>
  <si>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</si>
  <si>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</si>
  <si>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</si>
  <si>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</si>
  <si>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</si>
  <si>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</si>
  <si>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</si>
  <si>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</si>
  <si>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</si>
  <si>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</si>
  <si>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</si>
  <si>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</si>
  <si>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</si>
  <si>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</si>
  <si>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</si>
  <si>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</si>
  <si>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</si>
  <si>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硫酸消耗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</si>
  <si>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</si>
  <si>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</si>
  <si>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</si>
  <si>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</si>
  <si>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</si>
  <si>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</si>
  <si>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</si>
  <si>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</si>
  <si>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</si>
  <si>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</si>
  <si>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</si>
  <si>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</si>
  <si>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</si>
  <si>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</si>
  <si>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</si>
  <si>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</si>
  <si>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管反热点温度</t>
  </si>
  <si>
    <t xml:space="preserve">结晶单元</t>
    <phoneticPr fontId="1" type="noConversion"/>
  </si>
  <si>
    <t xml:space="preserve">≤20</t>
    <phoneticPr fontId="1" type="noConversion"/>
  </si>
  <si>
    <t xml:space="preserve">降膜蒸发温度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</si>
  <si>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</si>
  <si>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</si>
  <si>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</si>
  <si>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</si>
  <si>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</si>
  <si>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</si>
  <si>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</si>
  <si>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</si>
  <si>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</si>
  <si>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</si>
  <si>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</si>
  <si>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</si>
  <si>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</si>
  <si>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</si>
  <si>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</si>
  <si>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</si>
  <si>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</si>
  <si>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</si>
  <si>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</si>
  <si>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</si>
  <si>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</si>
  <si>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</si>
  <si>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</si>
  <si>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</si>
  <si>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</si>
  <si>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</si>
  <si>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</si>
  <si>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</si>
  <si>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</si>
  <si>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</si>
  <si>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</si>
  <si>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</si>
  <si>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</si>
  <si>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</si>
  <si>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</si>
  <si>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</si>
  <si>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</si>
  <si>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</si>
  <si>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</si>
  <si>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</si>
  <si>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</si>
  <si>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</si>
  <si>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</si>
  <si>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</si>
  <si>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</si>
  <si>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</si>
  <si>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</si>
  <si>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TT-05352
(℃)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</si>
  <si>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</si>
  <si>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</si>
  <si>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</si>
  <si>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</si>
  <si>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</si>
  <si>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一次结晶温度</t>
    <phoneticPr fontId="1" type="noConversion"/>
  </si>
  <si>
    <t xml:space="preserve">50±5</t>
    <phoneticPr fontId="1" type="noConversion"/>
  </si>
  <si>
    <t xml:space="preserve">140±2</t>
    <phoneticPr fontId="1" type="noConversion"/>
  </si>
  <si>
    <t xml:space="preserve">2026-07-06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</si>
</sst>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K21" sqref="AK21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31" t="s">
        <v>219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5" customHeight="1" x14ac:dyDescent="0.25">
      <c r="B3" s="135" t="s">
        <v>174</v>
      </c>
      <c r="C3" s="141" t="s">
        <v>156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5</v>
      </c>
      <c r="C6" s="82"/>
      <c r="D6" s="62">
        <v>20.86589</v>
      </c>
      <c r="E6" s="62">
        <v>418.3465</v>
      </c>
      <c r="F6" s="62"/>
      <c r="G6" s="62"/>
      <c r="H6" s="63">
        <v>419.7065</v>
      </c>
      <c r="I6" s="64">
        <v>26.38165</v>
      </c>
      <c r="J6" s="62"/>
      <c r="K6" s="62">
        <v>34.68605</v>
      </c>
      <c r="L6" s="62">
        <v>1.385182</v>
      </c>
      <c r="M6" s="62">
        <v>103.673</v>
      </c>
      <c r="N6" s="62">
        <v>112.6736</v>
      </c>
      <c r="O6" s="62">
        <v>20.51217</v>
      </c>
      <c r="P6" s="62"/>
      <c r="Q6" s="62"/>
      <c r="R6" s="62"/>
      <c r="S6" s="62">
        <v>139.3663</v>
      </c>
      <c r="T6" s="62">
        <v>1.43504</v>
      </c>
      <c r="U6" s="62">
        <v>0.3015854</v>
      </c>
      <c r="V6" s="62"/>
      <c r="W6" s="62">
        <v>90.54454</v>
      </c>
      <c r="X6" s="62">
        <v>0.5321834</v>
      </c>
      <c r="Y6" s="62"/>
      <c r="Z6" s="62">
        <v>0.7400471</v>
      </c>
      <c r="AA6" s="62">
        <v>150.4774</v>
      </c>
      <c r="AB6" s="62">
        <v>162.7459</v>
      </c>
      <c r="AC6" s="62">
        <v>0.6914786</v>
      </c>
      <c r="AD6" s="62">
        <v>154.5862</v>
      </c>
      <c r="AE6" s="65">
        <v>34.62</v>
      </c>
      <c r="AF6" s="65"/>
      <c r="AG6" s="65"/>
      <c r="AH6" s="65">
        <v>17.37</v>
      </c>
      <c r="AI6" s="65">
        <v>20.64</v>
      </c>
      <c r="AJ6" s="65">
        <v>8.58</v>
      </c>
      <c r="AK6" s="65">
        <v>6.9</v>
      </c>
      <c r="AL6" s="62">
        <v>0</v>
      </c>
      <c r="AM6" s="66"/>
      <c r="AN6" s="67">
        <v>40.8818</v>
      </c>
      <c r="AO6" s="68">
        <v>55.60981</v>
      </c>
      <c r="AP6" s="69">
        <v>-80.86661</v>
      </c>
      <c r="AQ6" s="69">
        <v>0.2907986</v>
      </c>
      <c r="AR6" s="70"/>
    </row>
    <row r="7" spans="2:47" ht="13.5" customHeight="1" x14ac:dyDescent="0.25">
      <c r="B7" s="121">
        <v>0.375</v>
      </c>
      <c r="C7" s="20"/>
      <c r="D7" s="62">
        <v>21.28906</v>
      </c>
      <c r="E7" s="4">
        <v>418.0835</v>
      </c>
      <c r="F7" s="4"/>
      <c r="G7" s="4">
        <v>0</v>
      </c>
      <c r="H7" s="5">
        <v>420.3814</v>
      </c>
      <c r="I7" s="6">
        <v>22.58391</v>
      </c>
      <c r="J7" s="4">
        <v>0.01969922</v>
      </c>
      <c r="K7" s="4">
        <v>34.62818</v>
      </c>
      <c r="L7" s="4">
        <v>1.349465</v>
      </c>
      <c r="M7" s="4">
        <v>106.4019</v>
      </c>
      <c r="N7" s="4">
        <v>115.8492</v>
      </c>
      <c r="O7" s="4">
        <v>20.4128</v>
      </c>
      <c r="P7" s="4">
        <v>20.2793</v>
      </c>
      <c r="Q7" s="4"/>
      <c r="R7" s="4">
        <v>2.583984</v>
      </c>
      <c r="S7" s="4">
        <v>139.4025</v>
      </c>
      <c r="T7" s="4">
        <v>1.434173</v>
      </c>
      <c r="U7" s="4">
        <v>0.3014385</v>
      </c>
      <c r="V7" s="4"/>
      <c r="W7" s="4">
        <v>90.58526</v>
      </c>
      <c r="X7" s="4">
        <v>0.5304127</v>
      </c>
      <c r="Y7" s="4" t="s">
        <v>76</v>
      </c>
      <c r="Z7" s="4">
        <v>0.7332249</v>
      </c>
      <c r="AA7" s="4">
        <v>150.6004</v>
      </c>
      <c r="AB7" s="4">
        <v>162.8327</v>
      </c>
      <c r="AC7" s="4">
        <v>0.7263093</v>
      </c>
      <c r="AD7" s="4">
        <v>154.4633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38.80931</v>
      </c>
      <c r="AO7" s="10">
        <v>55.76534</v>
      </c>
      <c r="AP7" s="11">
        <v>-80.68576</v>
      </c>
      <c r="AQ7" s="11">
        <v>0.2981771</v>
      </c>
      <c r="AR7" s="12">
        <v>0.0002855225</v>
      </c>
    </row>
    <row r="8" spans="2:47" ht="13.5" customHeight="1" x14ac:dyDescent="0.25">
      <c r="B8" s="121">
        <v>0.41666666666666669</v>
      </c>
      <c r="C8" s="20"/>
      <c r="D8" s="62">
        <v>21.82075</v>
      </c>
      <c r="E8" s="4">
        <v>416.9413</v>
      </c>
      <c r="F8" s="4"/>
      <c r="G8" s="4">
        <v>0</v>
      </c>
      <c r="H8" s="5">
        <v>420.7343</v>
      </c>
      <c r="I8" s="6">
        <v>26.00188</v>
      </c>
      <c r="J8" s="4">
        <v>0.02026563</v>
      </c>
      <c r="K8" s="4">
        <v>37.44213</v>
      </c>
      <c r="L8" s="4">
        <v>1.478588</v>
      </c>
      <c r="M8" s="4">
        <v>105.9625</v>
      </c>
      <c r="N8" s="4">
        <v>115.7263</v>
      </c>
      <c r="O8" s="4">
        <v>19.66225</v>
      </c>
      <c r="P8" s="4">
        <v>20.25977</v>
      </c>
      <c r="Q8" s="4"/>
      <c r="R8" s="4">
        <v>2.547852</v>
      </c>
      <c r="S8" s="4">
        <v>139.6629</v>
      </c>
      <c r="T8" s="4">
        <v>1.435475</v>
      </c>
      <c r="U8" s="4">
        <v>0.2940785</v>
      </c>
      <c r="V8" s="4"/>
      <c r="W8" s="4">
        <v>91.05528</v>
      </c>
      <c r="X8" s="4">
        <v>0.5336761</v>
      </c>
      <c r="Y8" s="4" t="s">
        <v>76</v>
      </c>
      <c r="Z8" s="4">
        <v>0.7740959</v>
      </c>
      <c r="AA8" s="4">
        <v>151.3455</v>
      </c>
      <c r="AB8" s="4">
        <v>163.6068</v>
      </c>
      <c r="AC8" s="4">
        <v>0.7294198</v>
      </c>
      <c r="AD8" s="4">
        <v>156.8359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38.80931</v>
      </c>
      <c r="AO8" s="10">
        <v>56.35489</v>
      </c>
      <c r="AP8" s="11">
        <v>-79.91898</v>
      </c>
      <c r="AQ8" s="11">
        <v>0.281684</v>
      </c>
      <c r="AR8" s="12">
        <v>0.00029422</v>
      </c>
    </row>
    <row r="9" spans="2:47" ht="13.5" customHeight="1" x14ac:dyDescent="0.25">
      <c r="B9" s="121">
        <v>0.45833333333333298</v>
      </c>
      <c r="C9" s="20"/>
      <c r="D9" s="62">
        <v>22.30903</v>
      </c>
      <c r="E9" s="4">
        <v>415.5997</v>
      </c>
      <c r="F9" s="4"/>
      <c r="G9" s="4">
        <v>0</v>
      </c>
      <c r="H9" s="5">
        <v>421.3755</v>
      </c>
      <c r="I9" s="6">
        <v>23.34346</v>
      </c>
      <c r="J9" s="4">
        <v>0.01707422</v>
      </c>
      <c r="K9" s="4">
        <v>38.35359</v>
      </c>
      <c r="L9" s="4">
        <v>1.423521</v>
      </c>
      <c r="M9" s="4">
        <v>104.8177</v>
      </c>
      <c r="N9" s="4">
        <v>114.3229</v>
      </c>
      <c r="O9" s="4">
        <v>20.36842</v>
      </c>
      <c r="P9" s="4">
        <v>20.26562</v>
      </c>
      <c r="Q9" s="4"/>
      <c r="R9" s="4">
        <v>2.569824</v>
      </c>
      <c r="S9" s="4">
        <v>139.3736</v>
      </c>
      <c r="T9" s="4">
        <v>1.43316</v>
      </c>
      <c r="U9" s="4">
        <v>0.3016122</v>
      </c>
      <c r="V9" s="4"/>
      <c r="W9" s="4">
        <v>91.9338</v>
      </c>
      <c r="X9" s="4">
        <v>0.5296699</v>
      </c>
      <c r="Y9" s="4" t="s">
        <v>76</v>
      </c>
      <c r="Z9" s="4">
        <v>0.7423045</v>
      </c>
      <c r="AA9" s="4">
        <v>150.9766</v>
      </c>
      <c r="AB9" s="4">
        <v>163.2885</v>
      </c>
      <c r="AC9" s="4">
        <v>0.7123481</v>
      </c>
      <c r="AD9" s="4">
        <v>155.4832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38.79485</v>
      </c>
      <c r="AO9" s="10">
        <v>57.83782</v>
      </c>
      <c r="AP9" s="11">
        <v>-78.68201</v>
      </c>
      <c r="AQ9" s="11">
        <v>0.2873264</v>
      </c>
      <c r="AR9" s="12">
        <v>0.0002849121</v>
      </c>
    </row>
    <row r="10" spans="2:47" ht="13.5" customHeight="1" x14ac:dyDescent="0.25">
      <c r="B10" s="121">
        <v>0.5</v>
      </c>
      <c r="C10" s="20"/>
      <c r="D10" s="62">
        <v>22.33615</v>
      </c>
      <c r="E10" s="4">
        <v>416.4941</v>
      </c>
      <c r="F10" s="4"/>
      <c r="G10" s="4">
        <v>0</v>
      </c>
      <c r="H10" s="5">
        <v>422.603</v>
      </c>
      <c r="I10" s="6">
        <v>17.87471</v>
      </c>
      <c r="J10" s="4">
        <v>0.01787305</v>
      </c>
      <c r="K10" s="4">
        <v>40.1548</v>
      </c>
      <c r="L10" s="4">
        <v>1.488173</v>
      </c>
      <c r="M10" s="4">
        <v>100.9494</v>
      </c>
      <c r="N10" s="4">
        <v>110.4311</v>
      </c>
      <c r="O10" s="4">
        <v>20.37354</v>
      </c>
      <c r="P10" s="4">
        <v>20.2793</v>
      </c>
      <c r="Q10" s="4"/>
      <c r="R10" s="4">
        <v>2.571289</v>
      </c>
      <c r="S10" s="4">
        <v>139.3736</v>
      </c>
      <c r="T10" s="4">
        <v>1.436198</v>
      </c>
      <c r="U10" s="4">
        <v>0.2989565</v>
      </c>
      <c r="V10" s="4"/>
      <c r="W10" s="4">
        <v>92.04805</v>
      </c>
      <c r="X10" s="4">
        <v>0.5291905</v>
      </c>
      <c r="Y10" s="4" t="s">
        <v>76</v>
      </c>
      <c r="Z10" s="4">
        <v>0.7308931</v>
      </c>
      <c r="AA10" s="4">
        <v>150.0651</v>
      </c>
      <c r="AB10" s="4">
        <v>162.7749</v>
      </c>
      <c r="AC10" s="4">
        <v>0.6843533</v>
      </c>
      <c r="AD10" s="4">
        <v>154.2896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37.50362</v>
      </c>
      <c r="AO10" s="10">
        <v>57.24826</v>
      </c>
      <c r="AP10" s="11">
        <v>-79.77431</v>
      </c>
      <c r="AQ10" s="11">
        <v>0.2825521</v>
      </c>
      <c r="AR10" s="12">
        <v>0.0002861328</v>
      </c>
    </row>
    <row r="11" spans="2:47" ht="13.5" customHeight="1" x14ac:dyDescent="0.25">
      <c r="B11" s="121">
        <v>0.54166666666666696</v>
      </c>
      <c r="C11" s="20"/>
      <c r="D11" s="62">
        <v>23.00347</v>
      </c>
      <c r="E11" s="4">
        <v>416.2931</v>
      </c>
      <c r="F11" s="4"/>
      <c r="G11" s="4">
        <v>0</v>
      </c>
      <c r="H11" s="5">
        <v>422.9948</v>
      </c>
      <c r="I11" s="6">
        <v>7.747396</v>
      </c>
      <c r="J11" s="4">
        <v>0.01600586</v>
      </c>
      <c r="K11" s="4">
        <v>39.13484</v>
      </c>
      <c r="L11" s="4">
        <v>1.407335</v>
      </c>
      <c r="M11" s="4">
        <v>103.4668</v>
      </c>
      <c r="N11" s="4">
        <v>112.0804</v>
      </c>
      <c r="O11" s="4">
        <v>20.27858</v>
      </c>
      <c r="P11" s="4">
        <v>20.26562</v>
      </c>
      <c r="Q11" s="4"/>
      <c r="R11" s="4">
        <v>2.596191</v>
      </c>
      <c r="S11" s="4">
        <v>139.4821</v>
      </c>
      <c r="T11" s="4">
        <v>1.4375</v>
      </c>
      <c r="U11" s="4">
        <v>0.2958679</v>
      </c>
      <c r="V11" s="4"/>
      <c r="W11" s="4">
        <v>89.78785</v>
      </c>
      <c r="X11" s="4">
        <v>0.5328853</v>
      </c>
      <c r="Y11" s="4" t="s">
        <v>76</v>
      </c>
      <c r="Z11" s="4">
        <v>0.7438278</v>
      </c>
      <c r="AA11" s="4">
        <v>150.3111</v>
      </c>
      <c r="AB11" s="4">
        <v>162.8906</v>
      </c>
      <c r="AC11" s="4">
        <v>0.7030526</v>
      </c>
      <c r="AD11" s="4">
        <v>154.9913</v>
      </c>
      <c r="AE11" s="7">
        <v>34.82</v>
      </c>
      <c r="AF11" s="7"/>
      <c r="AG11" s="7"/>
      <c r="AH11" s="7">
        <v>16.91</v>
      </c>
      <c r="AI11" s="7">
        <v>21.2</v>
      </c>
      <c r="AJ11" s="7">
        <v>5.36</v>
      </c>
      <c r="AK11" s="7">
        <v>6.52</v>
      </c>
      <c r="AL11" s="4">
        <v>0</v>
      </c>
      <c r="AM11" s="8">
        <v>0</v>
      </c>
      <c r="AN11" s="9">
        <v>35.94835</v>
      </c>
      <c r="AO11" s="10">
        <v>57.21571</v>
      </c>
      <c r="AP11" s="11">
        <v>-79.35474</v>
      </c>
      <c r="AQ11" s="11">
        <v>0.2902922</v>
      </c>
      <c r="AR11" s="12">
        <v>0.0002854614</v>
      </c>
    </row>
    <row r="12" spans="2:47" ht="13.5" customHeight="1" x14ac:dyDescent="0.25">
      <c r="B12" s="121">
        <v>0.58333333333333304</v>
      </c>
      <c r="C12" s="20"/>
      <c r="D12" s="62">
        <v>23.33985</v>
      </c>
      <c r="E12" s="4">
        <v>417.8205</v>
      </c>
      <c r="F12" s="4"/>
      <c r="G12" s="4">
        <v>0</v>
      </c>
      <c r="H12" s="5">
        <v>423.5986</v>
      </c>
      <c r="I12" s="6">
        <v>21.49523</v>
      </c>
      <c r="J12" s="4">
        <v>0.01662305</v>
      </c>
      <c r="K12" s="4">
        <v>40.45139</v>
      </c>
      <c r="L12" s="4">
        <v>1.380841</v>
      </c>
      <c r="M12" s="4">
        <v>103.4777</v>
      </c>
      <c r="N12" s="4">
        <v>113.3681</v>
      </c>
      <c r="O12" s="4">
        <v>20.48945</v>
      </c>
      <c r="P12" s="4">
        <v>20.27539</v>
      </c>
      <c r="Q12" s="4"/>
      <c r="R12" s="4">
        <v>2.583008</v>
      </c>
      <c r="S12" s="4">
        <v>139.3229</v>
      </c>
      <c r="T12" s="4">
        <v>1.436487</v>
      </c>
      <c r="U12" s="4">
        <v>0.3002309</v>
      </c>
      <c r="V12" s="4"/>
      <c r="W12" s="4">
        <v>90.17103</v>
      </c>
      <c r="X12" s="4">
        <v>0.5274822</v>
      </c>
      <c r="Y12" s="4" t="s">
        <v>76</v>
      </c>
      <c r="Z12" s="4">
        <v>0.7300705</v>
      </c>
      <c r="AA12" s="4">
        <v>150.7089</v>
      </c>
      <c r="AB12" s="4">
        <v>162.8906</v>
      </c>
      <c r="AC12" s="4">
        <v>0.7099609</v>
      </c>
      <c r="AD12" s="4">
        <v>154.6658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32.88122</v>
      </c>
      <c r="AO12" s="10">
        <v>57.09997</v>
      </c>
      <c r="AP12" s="11">
        <v>-79.62963</v>
      </c>
      <c r="AQ12" s="11">
        <v>0.286386</v>
      </c>
      <c r="AR12" s="12">
        <v>0.0002866516</v>
      </c>
    </row>
    <row r="13" spans="2:47" ht="13.5" customHeight="1" x14ac:dyDescent="0.25">
      <c r="B13" s="121">
        <v>0.625</v>
      </c>
      <c r="C13" s="20"/>
      <c r="D13" s="62">
        <v>23.72504</v>
      </c>
      <c r="E13" s="4">
        <v>416.328</v>
      </c>
      <c r="F13" s="4"/>
      <c r="G13" s="4">
        <v>0</v>
      </c>
      <c r="H13" s="5">
        <v>423.8128</v>
      </c>
      <c r="I13" s="6">
        <v>0</v>
      </c>
      <c r="J13" s="4">
        <v>0.0147793</v>
      </c>
      <c r="K13" s="4">
        <v>37.35532</v>
      </c>
      <c r="L13" s="4">
        <v>1.323152</v>
      </c>
      <c r="M13" s="4">
        <v>106.5104</v>
      </c>
      <c r="N13" s="4">
        <v>114.822</v>
      </c>
      <c r="O13" s="4">
        <v>19.97008</v>
      </c>
      <c r="P13" s="4">
        <v>20.25586</v>
      </c>
      <c r="Q13" s="4"/>
      <c r="R13" s="4">
        <v>2.572754</v>
      </c>
      <c r="S13" s="4">
        <v>139.5906</v>
      </c>
      <c r="T13" s="4">
        <v>1.43504</v>
      </c>
      <c r="U13" s="4">
        <v>0.2992122</v>
      </c>
      <c r="V13" s="4"/>
      <c r="W13" s="4">
        <v>90.87859</v>
      </c>
      <c r="X13" s="4">
        <v>0.5278461</v>
      </c>
      <c r="Y13" s="4" t="s">
        <v>76</v>
      </c>
      <c r="Z13" s="4">
        <v>0.7380935</v>
      </c>
      <c r="AA13" s="4">
        <v>151.1791</v>
      </c>
      <c r="AB13" s="4">
        <v>163.2957</v>
      </c>
      <c r="AC13" s="4">
        <v>0.7545211</v>
      </c>
      <c r="AD13" s="4">
        <v>155.4398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32.8993</v>
      </c>
      <c r="AO13" s="10">
        <v>57.98249</v>
      </c>
      <c r="AP13" s="11">
        <v>-80.03472</v>
      </c>
      <c r="AQ13" s="11">
        <v>0.2649016</v>
      </c>
      <c r="AR13" s="12">
        <v>0.0002963257</v>
      </c>
    </row>
    <row r="14" spans="2:47" ht="13.5" customHeight="1" x14ac:dyDescent="0.25">
      <c r="B14" s="121">
        <v>0.66666666666666696</v>
      </c>
      <c r="C14" s="20">
        <v>5.541088</v>
      </c>
      <c r="D14" s="62">
        <v>23.58941</v>
      </c>
      <c r="E14" s="4">
        <v>416.0678</v>
      </c>
      <c r="F14" s="4"/>
      <c r="G14" s="4">
        <v>0</v>
      </c>
      <c r="H14" s="5">
        <v>423.5721</v>
      </c>
      <c r="I14" s="6">
        <v>22.22946</v>
      </c>
      <c r="J14" s="4">
        <v>0.01531641</v>
      </c>
      <c r="K14" s="4">
        <v>36.91406</v>
      </c>
      <c r="L14" s="4">
        <v>1.29277</v>
      </c>
      <c r="M14" s="4">
        <v>108.3171</v>
      </c>
      <c r="N14" s="4">
        <v>116.6739</v>
      </c>
      <c r="O14" s="4">
        <v>20.23525</v>
      </c>
      <c r="P14" s="4">
        <v>20.25781</v>
      </c>
      <c r="Q14" s="4"/>
      <c r="R14" s="4">
        <v>2.565918</v>
      </c>
      <c r="S14" s="4">
        <v>139.5182</v>
      </c>
      <c r="T14" s="4">
        <v>1.432147</v>
      </c>
      <c r="U14" s="4">
        <v>0.299675</v>
      </c>
      <c r="V14" s="4"/>
      <c r="W14" s="4">
        <v>90.6971</v>
      </c>
      <c r="X14" s="4">
        <v>0.5309387</v>
      </c>
      <c r="Y14" s="4" t="s">
        <v>76</v>
      </c>
      <c r="Z14" s="4">
        <v>0.7321048</v>
      </c>
      <c r="AA14" s="4">
        <v>151.9893</v>
      </c>
      <c r="AB14" s="4">
        <v>163.3102</v>
      </c>
      <c r="AC14" s="4">
        <v>0.7703993</v>
      </c>
      <c r="AD14" s="4">
        <v>155.3096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</v>
      </c>
      <c r="AN14" s="9">
        <v>31.86126</v>
      </c>
      <c r="AO14" s="10">
        <v>55.0094</v>
      </c>
      <c r="AP14" s="11">
        <v>-81.2934</v>
      </c>
      <c r="AQ14" s="11">
        <v>0.2851562</v>
      </c>
      <c r="AR14" s="12">
        <v>0.0002839355</v>
      </c>
    </row>
    <row r="15" spans="2:47" ht="13.5" customHeight="1" x14ac:dyDescent="0.25">
      <c r="B15" s="121">
        <v>0.70833333333333304</v>
      </c>
      <c r="C15" s="20"/>
      <c r="D15" s="62">
        <v>23.12826</v>
      </c>
      <c r="E15" s="4">
        <v>416.0732</v>
      </c>
      <c r="F15" s="4"/>
      <c r="G15" s="4">
        <v>0</v>
      </c>
      <c r="H15" s="5">
        <v>422.6595</v>
      </c>
      <c r="I15" s="6">
        <v>13.95038</v>
      </c>
      <c r="J15" s="4">
        <v>0.01741602</v>
      </c>
      <c r="K15" s="4">
        <v>40.55989</v>
      </c>
      <c r="L15" s="4">
        <v>1.477322</v>
      </c>
      <c r="M15" s="4">
        <v>108.2411</v>
      </c>
      <c r="N15" s="4">
        <v>116.0807</v>
      </c>
      <c r="O15" s="4">
        <v>20.30724</v>
      </c>
      <c r="P15" s="4">
        <v>20.27539</v>
      </c>
      <c r="Q15" s="4"/>
      <c r="R15" s="4">
        <v>2.538574</v>
      </c>
      <c r="S15" s="4">
        <v>139.3591</v>
      </c>
      <c r="T15" s="4">
        <v>1.430411</v>
      </c>
      <c r="U15" s="4">
        <v>0.3001314</v>
      </c>
      <c r="V15" s="4"/>
      <c r="W15" s="4">
        <v>91.00802</v>
      </c>
      <c r="X15" s="4">
        <v>0.5293221</v>
      </c>
      <c r="Y15" s="4" t="s">
        <v>76</v>
      </c>
      <c r="Z15" s="4">
        <v>0.741404</v>
      </c>
      <c r="AA15" s="4">
        <v>152.568</v>
      </c>
      <c r="AB15" s="4">
        <v>163.7659</v>
      </c>
      <c r="AC15" s="4">
        <v>0.7648655</v>
      </c>
      <c r="AD15" s="4">
        <v>156.1053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30.54832</v>
      </c>
      <c r="AO15" s="10">
        <v>55.13961</v>
      </c>
      <c r="AP15" s="11">
        <v>-81.11256</v>
      </c>
      <c r="AQ15" s="11">
        <v>0.2834201</v>
      </c>
      <c r="AR15" s="12">
        <v>0.0002841797</v>
      </c>
    </row>
    <row r="16" spans="2:47" ht="13.5" customHeight="1" x14ac:dyDescent="0.25">
      <c r="B16" s="121">
        <v>0.75</v>
      </c>
      <c r="C16" s="20">
        <v>5.566406</v>
      </c>
      <c r="D16" s="62">
        <v>22.97092</v>
      </c>
      <c r="E16" s="4">
        <v>412.7544</v>
      </c>
      <c r="F16" s="4"/>
      <c r="G16" s="4">
        <v>0</v>
      </c>
      <c r="H16" s="5">
        <v>421.9146</v>
      </c>
      <c r="I16" s="6">
        <v>21.5965</v>
      </c>
      <c r="J16" s="4">
        <v>0.01918164</v>
      </c>
      <c r="K16" s="4">
        <v>38.37529</v>
      </c>
      <c r="L16" s="4">
        <v>1.360768</v>
      </c>
      <c r="M16" s="4">
        <v>106.8305</v>
      </c>
      <c r="N16" s="4">
        <v>115.4948</v>
      </c>
      <c r="O16" s="4">
        <v>20.0842</v>
      </c>
      <c r="P16" s="4">
        <v>20.25391</v>
      </c>
      <c r="Q16" s="4"/>
      <c r="R16" s="4">
        <v>2.552734</v>
      </c>
      <c r="S16" s="4">
        <v>139.5327</v>
      </c>
      <c r="T16" s="4">
        <v>1.436343</v>
      </c>
      <c r="U16" s="4">
        <v>0.2989127</v>
      </c>
      <c r="V16" s="4"/>
      <c r="W16" s="4">
        <v>91.47857</v>
      </c>
      <c r="X16" s="4">
        <v>0.5287158</v>
      </c>
      <c r="Y16" s="4" t="s">
        <v>76</v>
      </c>
      <c r="Z16" s="4">
        <v>0.7361248</v>
      </c>
      <c r="AA16" s="4">
        <v>152.1846</v>
      </c>
      <c r="AB16" s="4">
        <v>163.614</v>
      </c>
      <c r="AC16" s="4">
        <v>0.7785735</v>
      </c>
      <c r="AD16" s="4">
        <v>155.7726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</v>
      </c>
      <c r="AN16" s="9">
        <v>29.40538</v>
      </c>
      <c r="AO16" s="10">
        <v>55.14685</v>
      </c>
      <c r="AP16" s="11">
        <v>-81.22107</v>
      </c>
      <c r="AQ16" s="11">
        <v>0.2932581</v>
      </c>
      <c r="AR16" s="12">
        <v>0.0002844543</v>
      </c>
    </row>
    <row r="17" spans="2:44" ht="13.5" customHeight="1" x14ac:dyDescent="0.25">
      <c r="B17" s="121">
        <v>0.79166666666666696</v>
      </c>
      <c r="C17" s="20"/>
      <c r="D17" s="62">
        <v>22.73221</v>
      </c>
      <c r="E17" s="4">
        <v>411.9955</v>
      </c>
      <c r="F17" s="4"/>
      <c r="G17" s="4">
        <v>0</v>
      </c>
      <c r="H17" s="5">
        <v>419.6223</v>
      </c>
      <c r="I17" s="6">
        <v>24.60938</v>
      </c>
      <c r="J17" s="4">
        <v>0.0171543</v>
      </c>
      <c r="K17" s="4">
        <v>36.30642</v>
      </c>
      <c r="L17" s="4">
        <v>1.313025</v>
      </c>
      <c r="M17" s="4">
        <v>106.8956</v>
      </c>
      <c r="N17" s="4">
        <v>116.1675</v>
      </c>
      <c r="O17" s="4">
        <v>20.25591</v>
      </c>
      <c r="P17" s="4">
        <v>20.28125</v>
      </c>
      <c r="Q17" s="4"/>
      <c r="R17" s="4">
        <v>2.583496</v>
      </c>
      <c r="S17" s="4">
        <v>139.4893</v>
      </c>
      <c r="T17" s="4">
        <v>1.433449</v>
      </c>
      <c r="U17" s="4">
        <v>0.2989519</v>
      </c>
      <c r="V17" s="4"/>
      <c r="W17" s="4">
        <v>91.03091</v>
      </c>
      <c r="X17" s="4">
        <v>0.5303966</v>
      </c>
      <c r="Y17" s="4" t="s">
        <v>76</v>
      </c>
      <c r="Z17" s="4">
        <v>0.734009</v>
      </c>
      <c r="AA17" s="4">
        <v>151.2804</v>
      </c>
      <c r="AB17" s="4">
        <v>163.1872</v>
      </c>
      <c r="AC17" s="4">
        <v>0.7710503</v>
      </c>
      <c r="AD17" s="4">
        <v>155.1866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0.05517285</v>
      </c>
      <c r="AN17" s="9">
        <v>44.19488</v>
      </c>
      <c r="AO17" s="10">
        <v>55.19025</v>
      </c>
      <c r="AP17" s="11">
        <v>-81.25</v>
      </c>
      <c r="AQ17" s="11">
        <v>0.2839265</v>
      </c>
      <c r="AR17" s="12">
        <v>0.0002863159</v>
      </c>
    </row>
    <row r="18" spans="2:44" ht="13.5" customHeight="1" x14ac:dyDescent="0.25">
      <c r="B18" s="121">
        <v>0.83333333333333404</v>
      </c>
      <c r="C18" s="23"/>
      <c r="D18" s="62">
        <v>22.29818</v>
      </c>
      <c r="E18" s="13">
        <v>412.5847</v>
      </c>
      <c r="F18" s="13"/>
      <c r="G18" s="13">
        <v>0</v>
      </c>
      <c r="H18" s="14">
        <v>417.3676</v>
      </c>
      <c r="I18" s="15">
        <v>19.72295</v>
      </c>
      <c r="J18" s="13">
        <v>0.01904883</v>
      </c>
      <c r="K18" s="13">
        <v>37.19618</v>
      </c>
      <c r="L18" s="13">
        <v>1.481662</v>
      </c>
      <c r="M18" s="13">
        <v>106.7437</v>
      </c>
      <c r="N18" s="13">
        <v>115.4731</v>
      </c>
      <c r="O18" s="13">
        <v>20.0824</v>
      </c>
      <c r="P18" s="13">
        <v>20.2793</v>
      </c>
      <c r="Q18" s="13"/>
      <c r="R18" s="13">
        <v>2.568359</v>
      </c>
      <c r="S18" s="13">
        <v>139.3808</v>
      </c>
      <c r="T18" s="13">
        <v>1.435185</v>
      </c>
      <c r="U18" s="13">
        <v>0.2985682</v>
      </c>
      <c r="V18" s="13"/>
      <c r="W18" s="13">
        <v>90.84882</v>
      </c>
      <c r="X18" s="13">
        <v>0.5307991</v>
      </c>
      <c r="Y18" s="13">
        <v>0.5283172</v>
      </c>
      <c r="Z18" s="13">
        <v>0.7525381</v>
      </c>
      <c r="AA18" s="13">
        <v>151.425</v>
      </c>
      <c r="AB18" s="13">
        <v>164.1204</v>
      </c>
      <c r="AC18" s="13">
        <v>0.7800202</v>
      </c>
      <c r="AD18" s="13">
        <v>156.9951</v>
      </c>
      <c r="AE18" s="16">
        <v>34.2</v>
      </c>
      <c r="AF18" s="16"/>
      <c r="AG18" s="16"/>
      <c r="AH18" s="16">
        <v>15.54</v>
      </c>
      <c r="AI18" s="16"/>
      <c r="AJ18" s="16"/>
      <c r="AK18" s="16">
        <v>6.77</v>
      </c>
      <c r="AL18" s="13">
        <v>0</v>
      </c>
      <c r="AM18" s="17">
        <v>0</v>
      </c>
      <c r="AN18" s="18">
        <v>43.9417</v>
      </c>
      <c r="AO18" s="10">
        <v>55.66045</v>
      </c>
      <c r="AP18" s="11">
        <v>-80.58449</v>
      </c>
      <c r="AQ18" s="11">
        <v>0.2836372</v>
      </c>
      <c r="AR18" s="19">
        <v>0.0002859497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1">
        <v>0.33333333333333331</v>
      </c>
      <c r="C22" s="82">
        <v>-80.86661</v>
      </c>
      <c r="D22" s="62">
        <v>-79.95515</v>
      </c>
      <c r="E22" s="62">
        <v>103.125</v>
      </c>
      <c r="F22" s="62">
        <v>0.08405671</v>
      </c>
      <c r="G22" s="62"/>
      <c r="H22" s="62"/>
      <c r="I22" s="62"/>
      <c r="J22" s="62"/>
      <c r="K22" s="62"/>
      <c r="L22" s="63"/>
      <c r="M22" s="82">
        <v>20.80078</v>
      </c>
      <c r="N22" s="62">
        <v>31.71296</v>
      </c>
      <c r="O22" s="62">
        <v>39.5</v>
      </c>
      <c r="P22" s="62">
        <v>22</v>
      </c>
      <c r="Q22" s="62">
        <v>3.244358</v>
      </c>
      <c r="R22" s="62">
        <v>19.27445</v>
      </c>
      <c r="S22" s="84">
        <v>92.22367</v>
      </c>
      <c r="T22" s="84">
        <v>12</v>
      </c>
      <c r="U22" s="84">
        <v>4.669958</v>
      </c>
      <c r="V22" s="84">
        <v>19.46072</v>
      </c>
      <c r="W22" s="84">
        <v>59.98807</v>
      </c>
      <c r="X22" s="84">
        <v>50</v>
      </c>
      <c r="Y22" s="84">
        <v>147.3251</v>
      </c>
      <c r="Z22" s="84">
        <v>15.34107</v>
      </c>
      <c r="AA22" s="84">
        <v>19.55838</v>
      </c>
      <c r="AB22" s="84"/>
      <c r="AC22" s="66"/>
      <c r="AD22" s="66">
        <v>0</v>
      </c>
      <c r="AE22" s="66"/>
      <c r="AF22" s="66">
        <v>68.71745</v>
      </c>
      <c r="AG22" s="66">
        <v>83.29355</v>
      </c>
      <c r="AH22" s="66">
        <v>622.07</v>
      </c>
      <c r="AI22" s="85"/>
      <c r="AJ22" s="85"/>
      <c r="AK22" s="85"/>
      <c r="AL22" s="85"/>
      <c r="AM22" s="85"/>
      <c r="AN22" s="66">
        <v>48.86429</v>
      </c>
      <c r="AO22" s="67">
        <v>50</v>
      </c>
      <c r="AP22" s="68">
        <v>28.81764</v>
      </c>
      <c r="AQ22" s="69">
        <v>39.3844</v>
      </c>
      <c r="AR22" s="70">
        <v>0.08680725</v>
      </c>
    </row>
    <row r="23" spans="2:44" ht="13.5" customHeight="1" x14ac:dyDescent="0.25">
      <c r="B23" s="121">
        <v>0.375</v>
      </c>
      <c r="C23" s="20">
        <v>-80.68576</v>
      </c>
      <c r="D23" s="4">
        <v>-79.81047</v>
      </c>
      <c r="E23" s="4">
        <v>103.1322</v>
      </c>
      <c r="F23" s="4">
        <v>0.1417824</v>
      </c>
      <c r="G23" s="4">
        <v>9.075928E-05</v>
      </c>
      <c r="H23" s="4"/>
      <c r="I23" s="4"/>
      <c r="J23" s="4"/>
      <c r="K23" s="4"/>
      <c r="L23" s="5"/>
      <c r="M23" s="20">
        <v>20.80078</v>
      </c>
      <c r="N23" s="4">
        <v>31.91913</v>
      </c>
      <c r="O23" s="4">
        <v>39.5</v>
      </c>
      <c r="P23" s="4">
        <v>22</v>
      </c>
      <c r="Q23" s="4">
        <v>3.260851</v>
      </c>
      <c r="R23" s="62"/>
      <c r="S23" s="21">
        <v>92.77344</v>
      </c>
      <c r="T23" s="21">
        <v>19.5</v>
      </c>
      <c r="U23" s="21">
        <v>0</v>
      </c>
      <c r="V23" s="84">
        <v>17.6378</v>
      </c>
      <c r="W23" s="21">
        <v>83.11633</v>
      </c>
      <c r="X23" s="21">
        <v>42</v>
      </c>
      <c r="Y23" s="21">
        <v>122.5794</v>
      </c>
      <c r="Z23" s="21">
        <v>17.16941</v>
      </c>
      <c r="AA23" s="21">
        <v>21.41927</v>
      </c>
      <c r="AB23" s="21"/>
      <c r="AC23" s="8"/>
      <c r="AD23" s="8">
        <v>0</v>
      </c>
      <c r="AE23" s="8">
        <v>4.882813E-07</v>
      </c>
      <c r="AF23" s="8">
        <v>72.68156</v>
      </c>
      <c r="AG23" s="8">
        <v>88.8925</v>
      </c>
      <c r="AH23" s="8"/>
      <c r="AI23" s="22"/>
      <c r="AJ23" s="22"/>
      <c r="AK23" s="22"/>
      <c r="AL23" s="22"/>
      <c r="AM23" s="22"/>
      <c r="AN23" s="8">
        <v>48.85706</v>
      </c>
      <c r="AO23" s="9">
        <v>50</v>
      </c>
      <c r="AP23" s="10">
        <v>29.04369</v>
      </c>
      <c r="AQ23" s="11">
        <v>39.65205</v>
      </c>
      <c r="AR23" s="12">
        <v>0.09766388</v>
      </c>
    </row>
    <row r="24" spans="2:44" ht="13.5" customHeight="1" x14ac:dyDescent="0.25">
      <c r="B24" s="121">
        <v>0.41666666666666702</v>
      </c>
      <c r="C24" s="20">
        <v>-79.91898</v>
      </c>
      <c r="D24" s="4">
        <v>-79.01476</v>
      </c>
      <c r="E24" s="4">
        <v>103.1286</v>
      </c>
      <c r="F24" s="4">
        <v>0.08680556</v>
      </c>
      <c r="G24" s="4">
        <v>9.118652E-05</v>
      </c>
      <c r="H24" s="4"/>
      <c r="I24" s="4"/>
      <c r="J24" s="4"/>
      <c r="K24" s="4"/>
      <c r="L24" s="5"/>
      <c r="M24" s="20">
        <v>26.40336</v>
      </c>
      <c r="N24" s="4">
        <v>33.72396</v>
      </c>
      <c r="O24" s="4">
        <v>39.5</v>
      </c>
      <c r="P24" s="4">
        <v>22</v>
      </c>
      <c r="Q24" s="4">
        <v>6.9375</v>
      </c>
      <c r="R24" s="62"/>
      <c r="S24" s="21">
        <v>92.68663</v>
      </c>
      <c r="T24" s="21">
        <v>18.5</v>
      </c>
      <c r="U24" s="21">
        <v>44.37301</v>
      </c>
      <c r="V24" s="84">
        <v>20.83333</v>
      </c>
      <c r="W24" s="21">
        <v>22.93837</v>
      </c>
      <c r="X24" s="21">
        <v>17</v>
      </c>
      <c r="Y24" s="21">
        <v>39.17607</v>
      </c>
      <c r="Z24" s="21">
        <v>18.21832</v>
      </c>
      <c r="AA24" s="21">
        <v>22.47179</v>
      </c>
      <c r="AB24" s="21"/>
      <c r="AC24" s="8"/>
      <c r="AD24" s="8">
        <v>0</v>
      </c>
      <c r="AE24" s="8">
        <v>0.0001448975</v>
      </c>
      <c r="AF24" s="8">
        <v>46.22757</v>
      </c>
      <c r="AG24" s="8">
        <v>13.61039</v>
      </c>
      <c r="AH24" s="8">
        <v>303.62</v>
      </c>
      <c r="AI24" s="22"/>
      <c r="AJ24" s="22"/>
      <c r="AK24" s="22"/>
      <c r="AL24" s="22"/>
      <c r="AM24" s="22"/>
      <c r="AN24" s="8">
        <v>48.67622</v>
      </c>
      <c r="AO24" s="9">
        <v>50</v>
      </c>
      <c r="AP24" s="10">
        <v>29.324</v>
      </c>
      <c r="AQ24" s="11">
        <v>39.49653</v>
      </c>
      <c r="AR24" s="12">
        <v>0.09766388</v>
      </c>
    </row>
    <row r="25" spans="2:44" ht="13.5" customHeight="1" x14ac:dyDescent="0.25">
      <c r="B25" s="121">
        <v>0.45833333333333298</v>
      </c>
      <c r="C25" s="20">
        <v>-78.68201</v>
      </c>
      <c r="D25" s="4">
        <v>-77.74884</v>
      </c>
      <c r="E25" s="4">
        <v>103.1322</v>
      </c>
      <c r="F25" s="4">
        <v>0.07863136</v>
      </c>
      <c r="G25" s="4">
        <v>9.20105E-05</v>
      </c>
      <c r="H25" s="4"/>
      <c r="I25" s="4"/>
      <c r="J25" s="4"/>
      <c r="K25" s="4"/>
      <c r="L25" s="5"/>
      <c r="M25" s="20">
        <v>36.07132</v>
      </c>
      <c r="N25" s="4">
        <v>37.91233</v>
      </c>
      <c r="O25" s="4">
        <v>39.5</v>
      </c>
      <c r="P25" s="4">
        <v>22</v>
      </c>
      <c r="Q25" s="4">
        <v>3.950521</v>
      </c>
      <c r="R25" s="62">
        <v>18.38469</v>
      </c>
      <c r="S25" s="21">
        <v>92.91088</v>
      </c>
      <c r="T25" s="21">
        <v>35</v>
      </c>
      <c r="U25" s="21">
        <v>88.37041</v>
      </c>
      <c r="V25" s="84">
        <v>16.59071</v>
      </c>
      <c r="W25" s="21">
        <v>18.75543</v>
      </c>
      <c r="X25" s="21">
        <v>12</v>
      </c>
      <c r="Y25" s="21">
        <v>0</v>
      </c>
      <c r="Z25" s="21">
        <v>18.16949</v>
      </c>
      <c r="AA25" s="21">
        <v>97.72678</v>
      </c>
      <c r="AB25" s="21"/>
      <c r="AC25" s="8"/>
      <c r="AD25" s="8">
        <v>0</v>
      </c>
      <c r="AE25" s="8">
        <v>0</v>
      </c>
      <c r="AF25" s="8">
        <v>75.92593</v>
      </c>
      <c r="AG25" s="8">
        <v>64.08781</v>
      </c>
      <c r="AH25" s="8"/>
      <c r="AI25" s="22"/>
      <c r="AJ25" s="22"/>
      <c r="AK25" s="22"/>
      <c r="AL25" s="22"/>
      <c r="AM25" s="22"/>
      <c r="AN25" s="8">
        <v>48.51707</v>
      </c>
      <c r="AO25" s="9">
        <v>50</v>
      </c>
      <c r="AP25" s="10">
        <v>29.61335</v>
      </c>
      <c r="AQ25" s="11">
        <v>39.69907</v>
      </c>
      <c r="AR25" s="12">
        <v>0.08680725</v>
      </c>
    </row>
    <row r="26" spans="2:44" ht="13.5" customHeight="1" x14ac:dyDescent="0.25">
      <c r="B26" s="121">
        <v>0.5</v>
      </c>
      <c r="C26" s="20">
        <v>-79.77431</v>
      </c>
      <c r="D26" s="4">
        <v>-78.80498</v>
      </c>
      <c r="E26" s="4">
        <v>103.1322</v>
      </c>
      <c r="F26" s="4">
        <v>0.04926215</v>
      </c>
      <c r="G26" s="4">
        <v>9.042359E-05</v>
      </c>
      <c r="H26" s="4"/>
      <c r="I26" s="4"/>
      <c r="J26" s="4"/>
      <c r="K26" s="4"/>
      <c r="L26" s="5"/>
      <c r="M26" s="20">
        <v>35.95197</v>
      </c>
      <c r="N26" s="4">
        <v>40.91797</v>
      </c>
      <c r="O26" s="4">
        <v>39.5</v>
      </c>
      <c r="P26" s="4">
        <v>22</v>
      </c>
      <c r="Q26" s="4">
        <v>3.283854</v>
      </c>
      <c r="R26" s="62">
        <v>19.12254</v>
      </c>
      <c r="S26" s="21">
        <v>94.15147</v>
      </c>
      <c r="T26" s="21">
        <v>33.5</v>
      </c>
      <c r="U26" s="21">
        <v>84.98427</v>
      </c>
      <c r="V26" s="84">
        <v>16.85113</v>
      </c>
      <c r="W26" s="21">
        <v>19.23286</v>
      </c>
      <c r="X26" s="21">
        <v>12</v>
      </c>
      <c r="Y26" s="21">
        <v>0</v>
      </c>
      <c r="Z26" s="21">
        <v>23.62377</v>
      </c>
      <c r="AA26" s="21">
        <v>85.49262</v>
      </c>
      <c r="AB26" s="21"/>
      <c r="AC26" s="8"/>
      <c r="AD26" s="8">
        <v>0</v>
      </c>
      <c r="AE26" s="8">
        <v>0.0005064697</v>
      </c>
      <c r="AF26" s="8">
        <v>76.68185</v>
      </c>
      <c r="AG26" s="8">
        <v>21.29991</v>
      </c>
      <c r="AH26" s="8"/>
      <c r="AI26" s="22"/>
      <c r="AJ26" s="22"/>
      <c r="AK26" s="22"/>
      <c r="AL26" s="22"/>
      <c r="AM26" s="22"/>
      <c r="AN26" s="8">
        <v>65.78414</v>
      </c>
      <c r="AO26" s="9">
        <v>50</v>
      </c>
      <c r="AP26" s="10">
        <v>29.85749</v>
      </c>
      <c r="AQ26" s="11">
        <v>39.51099</v>
      </c>
      <c r="AR26" s="12">
        <v>0.08680725</v>
      </c>
    </row>
    <row r="27" spans="2:44" ht="13.5" customHeight="1" x14ac:dyDescent="0.25">
      <c r="B27" s="121">
        <v>0.54166666666666596</v>
      </c>
      <c r="C27" s="20">
        <v>-79.35474</v>
      </c>
      <c r="D27" s="4">
        <v>-78.36372</v>
      </c>
      <c r="E27" s="4">
        <v>103.1322</v>
      </c>
      <c r="F27" s="4">
        <v>0.1063368</v>
      </c>
      <c r="G27" s="4">
        <v>8.955383E-05</v>
      </c>
      <c r="H27" s="4"/>
      <c r="I27" s="4"/>
      <c r="J27" s="4"/>
      <c r="K27" s="4"/>
      <c r="L27" s="5"/>
      <c r="M27" s="20">
        <v>33.09462</v>
      </c>
      <c r="N27" s="4">
        <v>42.76982</v>
      </c>
      <c r="O27" s="4">
        <v>39.5</v>
      </c>
      <c r="P27" s="4">
        <v>22</v>
      </c>
      <c r="Q27" s="4">
        <v>3.207899</v>
      </c>
      <c r="R27" s="62"/>
      <c r="S27" s="21">
        <v>94.2636</v>
      </c>
      <c r="T27" s="21">
        <v>36</v>
      </c>
      <c r="U27" s="21">
        <v>90.91001</v>
      </c>
      <c r="V27" s="84">
        <v>17.39909</v>
      </c>
      <c r="W27" s="21">
        <v>20.09006</v>
      </c>
      <c r="X27" s="21">
        <v>12</v>
      </c>
      <c r="Y27" s="21">
        <v>0</v>
      </c>
      <c r="Z27" s="21">
        <v>26.64569</v>
      </c>
      <c r="AA27" s="21">
        <v>81.60265</v>
      </c>
      <c r="AB27" s="21"/>
      <c r="AC27" s="8"/>
      <c r="AD27" s="8">
        <v>1.548394</v>
      </c>
      <c r="AE27" s="8">
        <v>0.0008973388</v>
      </c>
      <c r="AF27" s="8">
        <v>13.26678</v>
      </c>
      <c r="AG27" s="8">
        <v>47.48264</v>
      </c>
      <c r="AH27" s="8"/>
      <c r="AI27" s="22">
        <v>6.26</v>
      </c>
      <c r="AJ27" s="22"/>
      <c r="AK27" s="22"/>
      <c r="AL27" s="22"/>
      <c r="AM27" s="22"/>
      <c r="AN27" s="8">
        <v>69.37211</v>
      </c>
      <c r="AO27" s="9">
        <v>50</v>
      </c>
      <c r="AP27" s="10">
        <v>30.26439</v>
      </c>
      <c r="AQ27" s="11">
        <v>39.8112</v>
      </c>
      <c r="AR27" s="12">
        <v>0.09766388</v>
      </c>
    </row>
    <row r="28" spans="2:44" ht="13.5" customHeight="1" x14ac:dyDescent="0.25">
      <c r="B28" s="121">
        <v>0.58333333333333304</v>
      </c>
      <c r="C28" s="20">
        <v>-79.62963</v>
      </c>
      <c r="D28" s="4">
        <v>-78.5952</v>
      </c>
      <c r="E28" s="4">
        <v>103.1286</v>
      </c>
      <c r="F28" s="4">
        <v>0.1341146</v>
      </c>
      <c r="G28" s="4">
        <v>8.976745E-05</v>
      </c>
      <c r="H28" s="4"/>
      <c r="I28" s="4"/>
      <c r="J28" s="4"/>
      <c r="K28" s="4"/>
      <c r="L28" s="5"/>
      <c r="M28" s="20">
        <v>31.2934</v>
      </c>
      <c r="N28" s="4">
        <v>44.01041</v>
      </c>
      <c r="O28" s="4">
        <v>39.5</v>
      </c>
      <c r="P28" s="4">
        <v>22</v>
      </c>
      <c r="Q28" s="4">
        <v>2.454427</v>
      </c>
      <c r="R28" s="62"/>
      <c r="S28" s="21">
        <v>94.8206</v>
      </c>
      <c r="T28" s="21">
        <v>36</v>
      </c>
      <c r="U28" s="21">
        <v>90.9044</v>
      </c>
      <c r="V28" s="84">
        <v>17.63238</v>
      </c>
      <c r="W28" s="21">
        <v>20.70855</v>
      </c>
      <c r="X28" s="21">
        <v>12</v>
      </c>
      <c r="Y28" s="21">
        <v>0</v>
      </c>
      <c r="Z28" s="21">
        <v>28.34382</v>
      </c>
      <c r="AA28" s="21">
        <v>77.18642</v>
      </c>
      <c r="AB28" s="21"/>
      <c r="AC28" s="8"/>
      <c r="AD28" s="8">
        <v>1.548448</v>
      </c>
      <c r="AE28" s="8">
        <v>0.001536499</v>
      </c>
      <c r="AF28" s="8">
        <v>13.70804</v>
      </c>
      <c r="AG28" s="8">
        <v>17.54919</v>
      </c>
      <c r="AH28" s="8"/>
      <c r="AI28" s="22"/>
      <c r="AJ28" s="22"/>
      <c r="AK28" s="22"/>
      <c r="AL28" s="22"/>
      <c r="AM28" s="22"/>
      <c r="AN28" s="8">
        <v>69.05382</v>
      </c>
      <c r="AO28" s="9">
        <v>50</v>
      </c>
      <c r="AP28" s="10">
        <v>30.5447</v>
      </c>
      <c r="AQ28" s="11">
        <v>39.70992</v>
      </c>
      <c r="AR28" s="12">
        <v>0.09766388</v>
      </c>
    </row>
    <row r="29" spans="2:44" ht="13.5" customHeight="1" x14ac:dyDescent="0.25">
      <c r="B29" s="121">
        <v>0.625</v>
      </c>
      <c r="C29" s="20">
        <v>-80.03472</v>
      </c>
      <c r="D29" s="4">
        <v>-79.10156</v>
      </c>
      <c r="E29" s="4">
        <v>103.1286</v>
      </c>
      <c r="F29" s="4">
        <v>0.07233796</v>
      </c>
      <c r="G29" s="4">
        <v>9.727478E-05</v>
      </c>
      <c r="H29" s="4"/>
      <c r="I29" s="4"/>
      <c r="J29" s="4"/>
      <c r="K29" s="4"/>
      <c r="L29" s="5"/>
      <c r="M29" s="20">
        <v>30.25535</v>
      </c>
      <c r="N29" s="4">
        <v>45.83333</v>
      </c>
      <c r="O29" s="4">
        <v>39.5</v>
      </c>
      <c r="P29" s="4">
        <v>22</v>
      </c>
      <c r="Q29" s="4">
        <v>3.061632</v>
      </c>
      <c r="R29" s="62"/>
      <c r="S29" s="21">
        <v>93.73553</v>
      </c>
      <c r="T29" s="21">
        <v>34</v>
      </c>
      <c r="U29" s="21">
        <v>85.26458</v>
      </c>
      <c r="V29" s="84">
        <v>17.35026</v>
      </c>
      <c r="W29" s="21">
        <v>20.39388</v>
      </c>
      <c r="X29" s="21">
        <v>12</v>
      </c>
      <c r="Y29" s="21">
        <v>0</v>
      </c>
      <c r="Z29" s="21">
        <v>29.60974</v>
      </c>
      <c r="AA29" s="21">
        <v>70.83876</v>
      </c>
      <c r="AB29" s="21"/>
      <c r="AC29" s="8"/>
      <c r="AD29" s="8">
        <v>1.548448</v>
      </c>
      <c r="AE29" s="8">
        <v>0.001170898</v>
      </c>
      <c r="AF29" s="8">
        <v>13.40784</v>
      </c>
      <c r="AG29" s="8">
        <v>33.30078</v>
      </c>
      <c r="AH29" s="8"/>
      <c r="AI29" s="22"/>
      <c r="AJ29" s="22"/>
      <c r="AK29" s="22"/>
      <c r="AL29" s="22"/>
      <c r="AM29" s="22"/>
      <c r="AN29" s="8">
        <v>67.96152</v>
      </c>
      <c r="AO29" s="9">
        <v>50</v>
      </c>
      <c r="AP29" s="10">
        <v>31.11437</v>
      </c>
      <c r="AQ29" s="11">
        <v>39.70631</v>
      </c>
      <c r="AR29" s="12">
        <v>0.07595825</v>
      </c>
    </row>
    <row r="30" spans="2:44" ht="13.5" customHeight="1" x14ac:dyDescent="0.25">
      <c r="B30" s="121">
        <v>0.66666666666666596</v>
      </c>
      <c r="C30" s="20">
        <v>-81.2934</v>
      </c>
      <c r="D30" s="4">
        <v>-80.1577</v>
      </c>
      <c r="E30" s="4">
        <v>103.1358</v>
      </c>
      <c r="F30" s="4">
        <v>0.0234375</v>
      </c>
      <c r="G30" s="4">
        <v>9.32312E-05</v>
      </c>
      <c r="H30" s="4"/>
      <c r="I30" s="4"/>
      <c r="J30" s="4"/>
      <c r="K30" s="4"/>
      <c r="L30" s="5"/>
      <c r="M30" s="20">
        <v>28.64222</v>
      </c>
      <c r="N30" s="4">
        <v>46.75203</v>
      </c>
      <c r="O30" s="4">
        <v>39.5</v>
      </c>
      <c r="P30" s="4">
        <v>22</v>
      </c>
      <c r="Q30" s="4">
        <v>3.021267</v>
      </c>
      <c r="R30" s="62"/>
      <c r="S30" s="21">
        <v>93.97063</v>
      </c>
      <c r="T30" s="21">
        <v>34</v>
      </c>
      <c r="U30" s="21">
        <v>86.2793</v>
      </c>
      <c r="V30" s="84">
        <v>17.24718</v>
      </c>
      <c r="W30" s="21">
        <v>20.41016</v>
      </c>
      <c r="X30" s="21">
        <v>12</v>
      </c>
      <c r="Y30" s="21">
        <v>0</v>
      </c>
      <c r="Z30" s="21">
        <v>30.95884</v>
      </c>
      <c r="AA30" s="21">
        <v>70.74653</v>
      </c>
      <c r="AB30" s="21"/>
      <c r="AC30" s="8"/>
      <c r="AD30" s="8">
        <v>0</v>
      </c>
      <c r="AE30" s="8">
        <v>0.0008928223</v>
      </c>
      <c r="AF30" s="8">
        <v>14.14931</v>
      </c>
      <c r="AG30" s="8">
        <v>18.80064</v>
      </c>
      <c r="AH30" s="8"/>
      <c r="AI30" s="22"/>
      <c r="AJ30" s="22"/>
      <c r="AK30" s="22"/>
      <c r="AL30" s="22"/>
      <c r="AM30" s="22"/>
      <c r="AN30" s="8">
        <v>66.81134</v>
      </c>
      <c r="AO30" s="9">
        <v>50</v>
      </c>
      <c r="AP30" s="10">
        <v>31.56648</v>
      </c>
      <c r="AQ30" s="11">
        <v>39.70631</v>
      </c>
      <c r="AR30" s="12">
        <v>0.06510925</v>
      </c>
    </row>
    <row r="31" spans="2:44" ht="13.5" customHeight="1" x14ac:dyDescent="0.25">
      <c r="B31" s="121">
        <v>0.70833333333333304</v>
      </c>
      <c r="C31" s="20">
        <v>-81.11256</v>
      </c>
      <c r="D31" s="4">
        <v>-79.94068</v>
      </c>
      <c r="E31" s="4">
        <v>103.1286</v>
      </c>
      <c r="F31" s="4">
        <v>0.07262731</v>
      </c>
      <c r="G31" s="4">
        <v>9.185791E-05</v>
      </c>
      <c r="H31" s="4"/>
      <c r="I31" s="4"/>
      <c r="J31" s="4"/>
      <c r="K31" s="4"/>
      <c r="L31" s="5"/>
      <c r="M31" s="20">
        <v>27.15929</v>
      </c>
      <c r="N31" s="4">
        <v>46.65799</v>
      </c>
      <c r="O31" s="4">
        <v>39.5</v>
      </c>
      <c r="P31" s="4">
        <v>22</v>
      </c>
      <c r="Q31" s="4">
        <v>3.073351</v>
      </c>
      <c r="R31" s="62">
        <v>19.58912</v>
      </c>
      <c r="S31" s="21">
        <v>93.97786</v>
      </c>
      <c r="T31" s="21">
        <v>34</v>
      </c>
      <c r="U31" s="21">
        <v>86.15035</v>
      </c>
      <c r="V31" s="84">
        <v>16.4605</v>
      </c>
      <c r="W31" s="21">
        <v>19.74826</v>
      </c>
      <c r="X31" s="21">
        <v>12</v>
      </c>
      <c r="Y31" s="21">
        <v>0</v>
      </c>
      <c r="Z31" s="21">
        <v>32.12348</v>
      </c>
      <c r="AA31" s="21">
        <v>65.52734</v>
      </c>
      <c r="AB31" s="21"/>
      <c r="AC31" s="8"/>
      <c r="AD31" s="8">
        <v>0</v>
      </c>
      <c r="AE31" s="8">
        <v>0.0003312988</v>
      </c>
      <c r="AF31" s="8">
        <v>16.13136</v>
      </c>
      <c r="AG31" s="8">
        <v>58.80714</v>
      </c>
      <c r="AH31" s="8"/>
      <c r="AI31" s="22"/>
      <c r="AJ31" s="22"/>
      <c r="AK31" s="22"/>
      <c r="AL31" s="22"/>
      <c r="AM31" s="22"/>
      <c r="AN31" s="8">
        <v>64.93056</v>
      </c>
      <c r="AO31" s="9">
        <v>50</v>
      </c>
      <c r="AP31" s="10">
        <v>31.78349</v>
      </c>
      <c r="AQ31" s="11">
        <v>39.98119</v>
      </c>
      <c r="AR31" s="12">
        <v>0.06510925</v>
      </c>
    </row>
    <row r="32" spans="2:44" ht="13.5" customHeight="1" x14ac:dyDescent="0.25">
      <c r="B32" s="121">
        <v>0.75</v>
      </c>
      <c r="C32" s="20">
        <v>-81.22107</v>
      </c>
      <c r="D32" s="4">
        <v>-79.99855</v>
      </c>
      <c r="E32" s="4">
        <v>103.1286</v>
      </c>
      <c r="F32" s="4">
        <v>0.1263021</v>
      </c>
      <c r="G32" s="4">
        <v>9.208679E-05</v>
      </c>
      <c r="H32" s="4"/>
      <c r="I32" s="4"/>
      <c r="J32" s="4"/>
      <c r="K32" s="4"/>
      <c r="L32" s="5"/>
      <c r="M32" s="20">
        <v>25.76316</v>
      </c>
      <c r="N32" s="4">
        <v>46.38672</v>
      </c>
      <c r="O32" s="4">
        <v>39.5</v>
      </c>
      <c r="P32" s="4">
        <v>22</v>
      </c>
      <c r="Q32" s="4">
        <v>3.16276</v>
      </c>
      <c r="R32" s="62">
        <v>18.82957</v>
      </c>
      <c r="S32" s="21">
        <v>92.68663</v>
      </c>
      <c r="T32" s="21">
        <v>34</v>
      </c>
      <c r="U32" s="21">
        <v>85.58413</v>
      </c>
      <c r="V32" s="84">
        <v>15.84201</v>
      </c>
      <c r="W32" s="21">
        <v>18.89648</v>
      </c>
      <c r="X32" s="21">
        <v>12</v>
      </c>
      <c r="Y32" s="21">
        <v>0</v>
      </c>
      <c r="Z32" s="21">
        <v>32.95175</v>
      </c>
      <c r="AA32" s="21">
        <v>66.70465</v>
      </c>
      <c r="AB32" s="21"/>
      <c r="AC32" s="8"/>
      <c r="AD32" s="8">
        <v>1.54834</v>
      </c>
      <c r="AE32" s="8">
        <v>0.0001029053</v>
      </c>
      <c r="AF32" s="8">
        <v>20.5259</v>
      </c>
      <c r="AG32" s="8">
        <v>17.70472</v>
      </c>
      <c r="AH32" s="8"/>
      <c r="AI32" s="22"/>
      <c r="AJ32" s="22"/>
      <c r="AK32" s="22"/>
      <c r="AL32" s="22"/>
      <c r="AM32" s="22"/>
      <c r="AN32" s="8">
        <v>62.70255</v>
      </c>
      <c r="AO32" s="9">
        <v>50</v>
      </c>
      <c r="AP32" s="10">
        <v>31.83775</v>
      </c>
      <c r="AQ32" s="11">
        <v>39.6629</v>
      </c>
      <c r="AR32" s="12">
        <v>0.06510925</v>
      </c>
    </row>
    <row r="33" spans="2:44" ht="13.5" customHeight="1" x14ac:dyDescent="0.25">
      <c r="B33" s="121">
        <v>0.79166666666666696</v>
      </c>
      <c r="C33" s="20">
        <v>-81.25</v>
      </c>
      <c r="D33" s="4">
        <v>-79.91898</v>
      </c>
      <c r="E33" s="4">
        <v>103.1286</v>
      </c>
      <c r="F33" s="4">
        <v>0.1469184</v>
      </c>
      <c r="G33" s="4">
        <v>9.069824E-05</v>
      </c>
      <c r="H33" s="4"/>
      <c r="I33" s="4"/>
      <c r="J33" s="4"/>
      <c r="K33" s="4"/>
      <c r="L33" s="5"/>
      <c r="M33" s="20">
        <v>24.45746</v>
      </c>
      <c r="N33" s="4">
        <v>45.88397</v>
      </c>
      <c r="O33" s="4">
        <v>39.5</v>
      </c>
      <c r="P33" s="4">
        <v>22</v>
      </c>
      <c r="Q33" s="4">
        <v>2.964844</v>
      </c>
      <c r="R33" s="62">
        <v>18.99233</v>
      </c>
      <c r="S33" s="21">
        <v>94.75188</v>
      </c>
      <c r="T33" s="21">
        <v>39.5</v>
      </c>
      <c r="U33" s="21">
        <v>99.68931</v>
      </c>
      <c r="V33" s="84">
        <v>15.9668</v>
      </c>
      <c r="W33" s="21">
        <v>19.04297</v>
      </c>
      <c r="X33" s="21">
        <v>12</v>
      </c>
      <c r="Y33" s="21">
        <v>0</v>
      </c>
      <c r="Z33" s="21">
        <v>33.78364</v>
      </c>
      <c r="AA33" s="21">
        <v>65.16385</v>
      </c>
      <c r="AB33" s="21"/>
      <c r="AC33" s="8"/>
      <c r="AD33" s="8">
        <v>0</v>
      </c>
      <c r="AE33" s="8">
        <v>0.0002363281</v>
      </c>
      <c r="AF33" s="8">
        <v>13.70081</v>
      </c>
      <c r="AG33" s="8">
        <v>4.683883</v>
      </c>
      <c r="AH33" s="8"/>
      <c r="AI33" s="22"/>
      <c r="AJ33" s="22"/>
      <c r="AK33" s="22"/>
      <c r="AL33" s="22"/>
      <c r="AM33" s="22"/>
      <c r="AN33" s="8">
        <v>59.19415</v>
      </c>
      <c r="AO33" s="9">
        <v>50</v>
      </c>
      <c r="AP33" s="10">
        <v>31.892</v>
      </c>
      <c r="AQ33" s="11">
        <v>39.87268</v>
      </c>
      <c r="AR33" s="12">
        <v>0.07595825</v>
      </c>
    </row>
    <row r="34" spans="2:44" ht="13.5" customHeight="1" x14ac:dyDescent="0.25">
      <c r="B34" s="121">
        <v>0.83333333333333304</v>
      </c>
      <c r="C34" s="23">
        <v>-80.58449</v>
      </c>
      <c r="D34" s="13">
        <v>-79.30411</v>
      </c>
      <c r="E34" s="13">
        <v>103.1286</v>
      </c>
      <c r="F34" s="13">
        <v>0.08933739</v>
      </c>
      <c r="G34" s="13">
        <v>9.222412E-05</v>
      </c>
      <c r="H34" s="13"/>
      <c r="I34" s="13"/>
      <c r="J34" s="13"/>
      <c r="K34" s="13"/>
      <c r="L34" s="14"/>
      <c r="M34" s="23">
        <v>23.63281</v>
      </c>
      <c r="N34" s="13">
        <v>45.67419</v>
      </c>
      <c r="O34" s="13">
        <v>39.5</v>
      </c>
      <c r="P34" s="13">
        <v>22</v>
      </c>
      <c r="Q34" s="13">
        <v>3.454427</v>
      </c>
      <c r="R34" s="13">
        <v>18.54022</v>
      </c>
      <c r="S34" s="24">
        <v>92.9362</v>
      </c>
      <c r="T34" s="24">
        <v>50</v>
      </c>
      <c r="U34" s="24">
        <v>125.8254</v>
      </c>
      <c r="V34" s="84">
        <v>15.80404</v>
      </c>
      <c r="W34" s="24">
        <v>18.54926</v>
      </c>
      <c r="X34" s="24">
        <v>12</v>
      </c>
      <c r="Y34" s="24">
        <v>0</v>
      </c>
      <c r="Z34" s="24">
        <v>34.50702</v>
      </c>
      <c r="AA34" s="24">
        <v>59.76563</v>
      </c>
      <c r="AB34" s="24"/>
      <c r="AC34" s="17"/>
      <c r="AD34" s="17">
        <v>0</v>
      </c>
      <c r="AE34" s="17">
        <v>0.0001556396</v>
      </c>
      <c r="AF34" s="17">
        <v>20.08825</v>
      </c>
      <c r="AG34" s="17">
        <v>1.678241</v>
      </c>
      <c r="AH34" s="17"/>
      <c r="AI34" s="25"/>
      <c r="AJ34" s="25"/>
      <c r="AK34" s="25"/>
      <c r="AL34" s="25"/>
      <c r="AM34" s="25"/>
      <c r="AN34" s="17">
        <v>59.8452</v>
      </c>
      <c r="AO34" s="18">
        <v>50</v>
      </c>
      <c r="AP34" s="26">
        <v>31.8287</v>
      </c>
      <c r="AQ34" s="27">
        <v>39.96311</v>
      </c>
      <c r="AR34" s="28">
        <v>0.09766388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25.19531</v>
      </c>
      <c r="F39" s="62"/>
      <c r="G39" s="62"/>
      <c r="H39" s="62">
        <v>0</v>
      </c>
      <c r="I39" s="62"/>
      <c r="J39" s="62">
        <v>30.75268</v>
      </c>
      <c r="K39" s="62">
        <v>40</v>
      </c>
      <c r="L39" s="62">
        <v>29.67665</v>
      </c>
      <c r="M39" s="62">
        <v>0</v>
      </c>
      <c r="N39" s="62"/>
      <c r="O39" s="62">
        <v>31.64786</v>
      </c>
      <c r="P39" s="62">
        <v>0.05</v>
      </c>
      <c r="Q39" s="62">
        <v>0.3076534</v>
      </c>
      <c r="R39" s="62"/>
      <c r="S39" s="62">
        <v>0</v>
      </c>
      <c r="T39" s="62"/>
      <c r="U39" s="84">
        <v>0</v>
      </c>
      <c r="V39" s="90"/>
      <c r="W39" s="91">
        <v>96.06843</v>
      </c>
      <c r="X39" s="84">
        <v>21.69777</v>
      </c>
      <c r="Y39" s="84">
        <v>50</v>
      </c>
      <c r="Z39" s="84">
        <v>123.8759</v>
      </c>
      <c r="AA39" s="84">
        <v>19.46072</v>
      </c>
      <c r="AB39" s="84">
        <v>59.98807</v>
      </c>
      <c r="AC39" s="84">
        <v>45</v>
      </c>
      <c r="AD39" s="84">
        <v>0</v>
      </c>
      <c r="AE39" s="66">
        <v>15.34107</v>
      </c>
      <c r="AF39" s="66">
        <v>19.55838</v>
      </c>
      <c r="AG39" s="66"/>
      <c r="AH39" s="66">
        <v>0</v>
      </c>
      <c r="AI39" s="66">
        <v>0</v>
      </c>
      <c r="AJ39" s="66"/>
      <c r="AK39" s="66">
        <v>50.60764</v>
      </c>
      <c r="AL39" s="67">
        <v>45.0434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1.356125E-06</v>
      </c>
      <c r="E40" s="4">
        <v>24.97106</v>
      </c>
      <c r="F40" s="4"/>
      <c r="G40" s="4"/>
      <c r="H40" s="4">
        <v>0</v>
      </c>
      <c r="I40" s="4">
        <v>0.0002851486</v>
      </c>
      <c r="J40" s="4">
        <v>30.80693</v>
      </c>
      <c r="K40" s="4">
        <v>40</v>
      </c>
      <c r="L40" s="4">
        <v>29.91175</v>
      </c>
      <c r="M40" s="4">
        <v>0</v>
      </c>
      <c r="N40" s="4">
        <v>0</v>
      </c>
      <c r="O40" s="4">
        <v>31.99146</v>
      </c>
      <c r="P40" s="4">
        <v>0.05</v>
      </c>
      <c r="Q40" s="4">
        <v>0.3046152</v>
      </c>
      <c r="R40" s="4">
        <v>0.0003096619</v>
      </c>
      <c r="S40" s="4">
        <v>0</v>
      </c>
      <c r="T40" s="4">
        <v>0</v>
      </c>
      <c r="U40" s="21">
        <v>0</v>
      </c>
      <c r="V40" s="29">
        <v>0</v>
      </c>
      <c r="W40" s="30">
        <v>91.22179</v>
      </c>
      <c r="X40" s="21">
        <v>24.58044</v>
      </c>
      <c r="Y40" s="21">
        <v>50</v>
      </c>
      <c r="Z40" s="21">
        <v>123.8802</v>
      </c>
      <c r="AA40" s="21">
        <v>17.6378</v>
      </c>
      <c r="AB40" s="21">
        <v>83.11633</v>
      </c>
      <c r="AC40" s="21">
        <v>50</v>
      </c>
      <c r="AD40" s="21">
        <v>123.7804</v>
      </c>
      <c r="AE40" s="8">
        <v>17.16941</v>
      </c>
      <c r="AF40" s="8">
        <v>21.41927</v>
      </c>
      <c r="AG40" s="8"/>
      <c r="AH40" s="8">
        <v>0</v>
      </c>
      <c r="AI40" s="8">
        <v>0</v>
      </c>
      <c r="AJ40" s="8">
        <v>0</v>
      </c>
      <c r="AK40" s="8">
        <v>63.14019</v>
      </c>
      <c r="AL40" s="9">
        <v>57.25984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1.674652E-06</v>
      </c>
      <c r="E41" s="4">
        <v>25.36169</v>
      </c>
      <c r="F41" s="4"/>
      <c r="G41" s="4"/>
      <c r="H41" s="4">
        <v>0.3052662</v>
      </c>
      <c r="I41" s="4">
        <v>0.0104084</v>
      </c>
      <c r="J41" s="4">
        <v>30.81597</v>
      </c>
      <c r="K41" s="4">
        <v>40</v>
      </c>
      <c r="L41" s="4">
        <v>30.02025</v>
      </c>
      <c r="M41" s="4">
        <v>0</v>
      </c>
      <c r="N41" s="4">
        <v>0</v>
      </c>
      <c r="O41" s="4">
        <v>32.43453</v>
      </c>
      <c r="P41" s="4">
        <v>0.05</v>
      </c>
      <c r="Q41" s="4">
        <v>0.2931858</v>
      </c>
      <c r="R41" s="4">
        <v>0.0003139038</v>
      </c>
      <c r="S41" s="4">
        <v>0</v>
      </c>
      <c r="T41" s="4">
        <v>0</v>
      </c>
      <c r="U41" s="21">
        <v>0</v>
      </c>
      <c r="V41" s="29">
        <v>0</v>
      </c>
      <c r="W41" s="30">
        <v>91.44965</v>
      </c>
      <c r="X41" s="21">
        <v>21.26013</v>
      </c>
      <c r="Y41" s="21">
        <v>50</v>
      </c>
      <c r="Z41" s="21">
        <v>123.8802</v>
      </c>
      <c r="AA41" s="21">
        <v>20.83333</v>
      </c>
      <c r="AB41" s="21">
        <v>22.93837</v>
      </c>
      <c r="AC41" s="21">
        <v>50</v>
      </c>
      <c r="AD41" s="21">
        <v>123.7717</v>
      </c>
      <c r="AE41" s="8">
        <v>18.21832</v>
      </c>
      <c r="AF41" s="8">
        <v>22.47179</v>
      </c>
      <c r="AG41" s="8"/>
      <c r="AH41" s="8">
        <v>2.173756</v>
      </c>
      <c r="AI41" s="8">
        <v>0</v>
      </c>
      <c r="AJ41" s="8">
        <v>0.0002823162</v>
      </c>
      <c r="AK41" s="8">
        <v>62.74957</v>
      </c>
      <c r="AL41" s="9">
        <v>57.42767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1.945496E-07</v>
      </c>
      <c r="E42" s="4">
        <v>25.73785</v>
      </c>
      <c r="F42" s="4"/>
      <c r="G42" s="4"/>
      <c r="H42" s="4">
        <v>0.262406</v>
      </c>
      <c r="I42" s="4">
        <v>0.3902225</v>
      </c>
      <c r="J42" s="4">
        <v>30.92448</v>
      </c>
      <c r="K42" s="4">
        <v>40</v>
      </c>
      <c r="L42" s="4">
        <v>30.19206</v>
      </c>
      <c r="M42" s="4">
        <v>0</v>
      </c>
      <c r="N42" s="4">
        <v>0</v>
      </c>
      <c r="O42" s="4">
        <v>33.0042</v>
      </c>
      <c r="P42" s="4">
        <v>0.05</v>
      </c>
      <c r="Q42" s="4">
        <v>0.2582465</v>
      </c>
      <c r="R42" s="4">
        <v>0.0003130798</v>
      </c>
      <c r="S42" s="4">
        <v>0</v>
      </c>
      <c r="T42" s="4">
        <v>0</v>
      </c>
      <c r="U42" s="21">
        <v>0</v>
      </c>
      <c r="V42" s="29">
        <v>0</v>
      </c>
      <c r="W42" s="30">
        <v>94.92549</v>
      </c>
      <c r="X42" s="21">
        <v>20.25463</v>
      </c>
      <c r="Y42" s="21">
        <v>50</v>
      </c>
      <c r="Z42" s="21">
        <v>123.8759</v>
      </c>
      <c r="AA42" s="21">
        <v>16.59071</v>
      </c>
      <c r="AB42" s="21">
        <v>18.75543</v>
      </c>
      <c r="AC42" s="21">
        <v>50</v>
      </c>
      <c r="AD42" s="21">
        <v>123.7804</v>
      </c>
      <c r="AE42" s="8">
        <v>18.16949</v>
      </c>
      <c r="AF42" s="8">
        <v>97.72678</v>
      </c>
      <c r="AG42" s="8"/>
      <c r="AH42" s="8">
        <v>0</v>
      </c>
      <c r="AI42" s="8">
        <v>0</v>
      </c>
      <c r="AJ42" s="8">
        <v>0</v>
      </c>
      <c r="AK42" s="8">
        <v>62.5217</v>
      </c>
      <c r="AL42" s="9">
        <v>56.26447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1.480103E-06</v>
      </c>
      <c r="E43" s="4">
        <v>26.09954</v>
      </c>
      <c r="F43" s="4"/>
      <c r="G43" s="4"/>
      <c r="H43" s="4">
        <v>0</v>
      </c>
      <c r="I43" s="4">
        <v>0.2068586</v>
      </c>
      <c r="J43" s="4">
        <v>31.09628</v>
      </c>
      <c r="K43" s="4">
        <v>40</v>
      </c>
      <c r="L43" s="4">
        <v>30.48141</v>
      </c>
      <c r="M43" s="4">
        <v>0</v>
      </c>
      <c r="N43" s="4">
        <v>0</v>
      </c>
      <c r="O43" s="4">
        <v>33.65524</v>
      </c>
      <c r="P43" s="4">
        <v>0.05</v>
      </c>
      <c r="Q43" s="4">
        <v>0.2847946</v>
      </c>
      <c r="R43" s="4">
        <v>0.0002854309</v>
      </c>
      <c r="S43" s="4">
        <v>0</v>
      </c>
      <c r="T43" s="4">
        <v>0</v>
      </c>
      <c r="U43" s="21">
        <v>0</v>
      </c>
      <c r="V43" s="29">
        <v>0</v>
      </c>
      <c r="W43" s="30">
        <v>91.50752</v>
      </c>
      <c r="X43" s="21">
        <v>19.90741</v>
      </c>
      <c r="Y43" s="21">
        <v>50</v>
      </c>
      <c r="Z43" s="21">
        <v>123.8759</v>
      </c>
      <c r="AA43" s="21">
        <v>16.85113</v>
      </c>
      <c r="AB43" s="21">
        <v>19.23286</v>
      </c>
      <c r="AC43" s="21">
        <v>50</v>
      </c>
      <c r="AD43" s="21">
        <v>123.7847</v>
      </c>
      <c r="AE43" s="8">
        <v>23.62377</v>
      </c>
      <c r="AF43" s="8">
        <v>85.49262</v>
      </c>
      <c r="AG43" s="8"/>
      <c r="AH43" s="8">
        <v>8.579282</v>
      </c>
      <c r="AI43" s="8">
        <v>0</v>
      </c>
      <c r="AJ43" s="8">
        <v>0</v>
      </c>
      <c r="AK43" s="8">
        <v>62.31192</v>
      </c>
      <c r="AL43" s="9">
        <v>54.9566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7.616043E-06</v>
      </c>
      <c r="E44" s="4">
        <v>26.43953</v>
      </c>
      <c r="F44" s="4"/>
      <c r="G44" s="4"/>
      <c r="H44" s="4">
        <v>0</v>
      </c>
      <c r="I44" s="4">
        <v>0</v>
      </c>
      <c r="J44" s="4">
        <v>31.3133</v>
      </c>
      <c r="K44" s="4">
        <v>40</v>
      </c>
      <c r="L44" s="4">
        <v>30.82501</v>
      </c>
      <c r="M44" s="4">
        <v>0</v>
      </c>
      <c r="N44" s="4">
        <v>0</v>
      </c>
      <c r="O44" s="4">
        <v>34.2249</v>
      </c>
      <c r="P44" s="4">
        <v>0.05</v>
      </c>
      <c r="Q44" s="4">
        <v>0.3127894</v>
      </c>
      <c r="R44" s="4">
        <v>0.0003197327</v>
      </c>
      <c r="S44" s="4">
        <v>0</v>
      </c>
      <c r="T44" s="4">
        <v>0</v>
      </c>
      <c r="U44" s="21">
        <v>0</v>
      </c>
      <c r="V44" s="29">
        <v>0</v>
      </c>
      <c r="W44" s="30">
        <v>91.6739</v>
      </c>
      <c r="X44" s="21">
        <v>20.76461</v>
      </c>
      <c r="Y44" s="21">
        <v>50</v>
      </c>
      <c r="Z44" s="21">
        <v>123.8759</v>
      </c>
      <c r="AA44" s="21">
        <v>17.39909</v>
      </c>
      <c r="AB44" s="21">
        <v>20.09006</v>
      </c>
      <c r="AC44" s="21">
        <v>50</v>
      </c>
      <c r="AD44" s="21">
        <v>123.776</v>
      </c>
      <c r="AE44" s="8">
        <v>26.64569</v>
      </c>
      <c r="AF44" s="8">
        <v>81.60265</v>
      </c>
      <c r="AG44" s="8"/>
      <c r="AH44" s="8">
        <v>0</v>
      </c>
      <c r="AI44" s="8">
        <v>0</v>
      </c>
      <c r="AJ44" s="8">
        <v>0</v>
      </c>
      <c r="AK44" s="8">
        <v>62.11299</v>
      </c>
      <c r="AL44" s="9">
        <v>54.09433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3.183746E-05</v>
      </c>
      <c r="E45" s="4">
        <v>26.83015</v>
      </c>
      <c r="F45" s="4"/>
      <c r="G45" s="4"/>
      <c r="H45" s="4">
        <v>0</v>
      </c>
      <c r="I45" s="4">
        <v>0.0002708435</v>
      </c>
      <c r="J45" s="4">
        <v>31.60265</v>
      </c>
      <c r="K45" s="4">
        <v>40</v>
      </c>
      <c r="L45" s="4">
        <v>31.09628</v>
      </c>
      <c r="M45" s="4">
        <v>0</v>
      </c>
      <c r="N45" s="4">
        <v>0</v>
      </c>
      <c r="O45" s="4">
        <v>34.89402</v>
      </c>
      <c r="P45" s="4">
        <v>0.05</v>
      </c>
      <c r="Q45" s="4">
        <v>0.2543403</v>
      </c>
      <c r="R45" s="4">
        <v>0.0002709961</v>
      </c>
      <c r="S45" s="4">
        <v>0</v>
      </c>
      <c r="T45" s="4">
        <v>0</v>
      </c>
      <c r="U45" s="21">
        <v>0</v>
      </c>
      <c r="V45" s="29">
        <v>0</v>
      </c>
      <c r="W45" s="30">
        <v>91.73177</v>
      </c>
      <c r="X45" s="21">
        <v>20.18229</v>
      </c>
      <c r="Y45" s="21">
        <v>50</v>
      </c>
      <c r="Z45" s="21">
        <v>123.8802</v>
      </c>
      <c r="AA45" s="21">
        <v>17.63238</v>
      </c>
      <c r="AB45" s="21">
        <v>20.70855</v>
      </c>
      <c r="AC45" s="21">
        <v>50</v>
      </c>
      <c r="AD45" s="21">
        <v>123.7804</v>
      </c>
      <c r="AE45" s="8">
        <v>28.34382</v>
      </c>
      <c r="AF45" s="8">
        <v>77.18642</v>
      </c>
      <c r="AG45" s="8"/>
      <c r="AH45" s="8">
        <v>0</v>
      </c>
      <c r="AI45" s="8">
        <v>0</v>
      </c>
      <c r="AJ45" s="8">
        <v>0</v>
      </c>
      <c r="AK45" s="8">
        <v>61.91406</v>
      </c>
      <c r="AL45" s="9">
        <v>53.51273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1.255798E-05</v>
      </c>
      <c r="E46" s="4">
        <v>27.32205</v>
      </c>
      <c r="F46" s="4"/>
      <c r="G46" s="4"/>
      <c r="H46" s="4">
        <v>0</v>
      </c>
      <c r="I46" s="4">
        <v>0.003551483</v>
      </c>
      <c r="J46" s="4">
        <v>32.00051</v>
      </c>
      <c r="K46" s="4">
        <v>40</v>
      </c>
      <c r="L46" s="4">
        <v>31.38563</v>
      </c>
      <c r="M46" s="4">
        <v>0</v>
      </c>
      <c r="N46" s="4">
        <v>0</v>
      </c>
      <c r="O46" s="4">
        <v>35.5089</v>
      </c>
      <c r="P46" s="4">
        <v>0.05</v>
      </c>
      <c r="Q46" s="4">
        <v>0.2603443</v>
      </c>
      <c r="R46" s="4">
        <v>0.0002640686</v>
      </c>
      <c r="S46" s="4">
        <v>0</v>
      </c>
      <c r="T46" s="4">
        <v>0</v>
      </c>
      <c r="U46" s="21">
        <v>0</v>
      </c>
      <c r="V46" s="29">
        <v>0</v>
      </c>
      <c r="W46" s="30">
        <v>94.89655</v>
      </c>
      <c r="X46" s="21">
        <v>19.74465</v>
      </c>
      <c r="Y46" s="21">
        <v>50</v>
      </c>
      <c r="Z46" s="21">
        <v>123.8846</v>
      </c>
      <c r="AA46" s="21">
        <v>17.35026</v>
      </c>
      <c r="AB46" s="21">
        <v>20.39388</v>
      </c>
      <c r="AC46" s="21">
        <v>50</v>
      </c>
      <c r="AD46" s="21">
        <v>123.7717</v>
      </c>
      <c r="AE46" s="8">
        <v>29.60974</v>
      </c>
      <c r="AF46" s="8">
        <v>70.83876</v>
      </c>
      <c r="AG46" s="8"/>
      <c r="AH46" s="8">
        <v>0</v>
      </c>
      <c r="AI46" s="8">
        <v>0</v>
      </c>
      <c r="AJ46" s="8">
        <v>0</v>
      </c>
      <c r="AK46" s="8">
        <v>61.6862</v>
      </c>
      <c r="AL46" s="9">
        <v>53.09317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4.627228E-06</v>
      </c>
      <c r="E47" s="4">
        <v>27.6548</v>
      </c>
      <c r="F47" s="4"/>
      <c r="G47" s="4"/>
      <c r="H47" s="4">
        <v>0</v>
      </c>
      <c r="I47" s="4">
        <v>0.006528854</v>
      </c>
      <c r="J47" s="4">
        <v>32.33507</v>
      </c>
      <c r="K47" s="4">
        <v>40</v>
      </c>
      <c r="L47" s="4">
        <v>31.66594</v>
      </c>
      <c r="M47" s="4">
        <v>0</v>
      </c>
      <c r="N47" s="4">
        <v>0</v>
      </c>
      <c r="O47" s="4">
        <v>36.18707</v>
      </c>
      <c r="P47" s="4">
        <v>0.05</v>
      </c>
      <c r="Q47" s="4">
        <v>0.2627315</v>
      </c>
      <c r="R47" s="4">
        <v>0.0002618408</v>
      </c>
      <c r="S47" s="4">
        <v>0</v>
      </c>
      <c r="T47" s="4">
        <v>0</v>
      </c>
      <c r="U47" s="21">
        <v>0</v>
      </c>
      <c r="V47" s="29">
        <v>0</v>
      </c>
      <c r="W47" s="30">
        <v>91.75709</v>
      </c>
      <c r="X47" s="21">
        <v>20.54036</v>
      </c>
      <c r="Y47" s="21">
        <v>50</v>
      </c>
      <c r="Z47" s="21">
        <v>123.8802</v>
      </c>
      <c r="AA47" s="21">
        <v>17.24718</v>
      </c>
      <c r="AB47" s="21">
        <v>20.41016</v>
      </c>
      <c r="AC47" s="21">
        <v>50</v>
      </c>
      <c r="AD47" s="21">
        <v>123.7717</v>
      </c>
      <c r="AE47" s="8">
        <v>30.95884</v>
      </c>
      <c r="AF47" s="8">
        <v>70.74653</v>
      </c>
      <c r="AG47" s="8"/>
      <c r="AH47" s="8">
        <v>0</v>
      </c>
      <c r="AI47" s="8">
        <v>0</v>
      </c>
      <c r="AJ47" s="8">
        <v>0</v>
      </c>
      <c r="AK47" s="8">
        <v>61.48003</v>
      </c>
      <c r="AL47" s="9">
        <v>52.68229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</v>
      </c>
      <c r="D48" s="4">
        <v>7.221222E-06</v>
      </c>
      <c r="E48" s="4">
        <v>27.96586</v>
      </c>
      <c r="F48" s="4"/>
      <c r="G48" s="4"/>
      <c r="H48" s="4">
        <v>0</v>
      </c>
      <c r="I48" s="4">
        <v>0.005705833</v>
      </c>
      <c r="J48" s="4">
        <v>32.55208</v>
      </c>
      <c r="K48" s="4">
        <v>40</v>
      </c>
      <c r="L48" s="4">
        <v>31.81966</v>
      </c>
      <c r="M48" s="4">
        <v>0</v>
      </c>
      <c r="N48" s="4">
        <v>0</v>
      </c>
      <c r="O48" s="4">
        <v>36.34983</v>
      </c>
      <c r="P48" s="4">
        <v>0.05</v>
      </c>
      <c r="Q48" s="4">
        <v>0.2018953</v>
      </c>
      <c r="R48" s="4">
        <v>0.0002469482</v>
      </c>
      <c r="S48" s="4">
        <v>0</v>
      </c>
      <c r="T48" s="4">
        <v>0</v>
      </c>
      <c r="U48" s="21">
        <v>0</v>
      </c>
      <c r="V48" s="29">
        <v>0</v>
      </c>
      <c r="W48" s="30">
        <v>90.70457</v>
      </c>
      <c r="X48" s="21">
        <v>21.1046</v>
      </c>
      <c r="Y48" s="21">
        <v>50</v>
      </c>
      <c r="Z48" s="21">
        <v>123.8759</v>
      </c>
      <c r="AA48" s="21">
        <v>16.4605</v>
      </c>
      <c r="AB48" s="21">
        <v>19.74826</v>
      </c>
      <c r="AC48" s="21">
        <v>50</v>
      </c>
      <c r="AD48" s="21">
        <v>123.776</v>
      </c>
      <c r="AE48" s="8">
        <v>32.12348</v>
      </c>
      <c r="AF48" s="8">
        <v>65.52734</v>
      </c>
      <c r="AG48" s="8"/>
      <c r="AH48" s="8">
        <v>0</v>
      </c>
      <c r="AI48" s="8">
        <v>0</v>
      </c>
      <c r="AJ48" s="8">
        <v>0</v>
      </c>
      <c r="AK48" s="8">
        <v>61.27025</v>
      </c>
      <c r="AL48" s="9">
        <v>52.20486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4.886627E-06</v>
      </c>
      <c r="E49" s="4">
        <v>28.35648</v>
      </c>
      <c r="F49" s="4"/>
      <c r="G49" s="4"/>
      <c r="H49" s="4">
        <v>0</v>
      </c>
      <c r="I49" s="4">
        <v>0.04631424</v>
      </c>
      <c r="J49" s="4">
        <v>32.84143</v>
      </c>
      <c r="K49" s="4">
        <v>40</v>
      </c>
      <c r="L49" s="4">
        <v>32.00051</v>
      </c>
      <c r="M49" s="4">
        <v>0</v>
      </c>
      <c r="N49" s="4">
        <v>0</v>
      </c>
      <c r="O49" s="4">
        <v>36.46738</v>
      </c>
      <c r="P49" s="4">
        <v>0.05</v>
      </c>
      <c r="Q49" s="4">
        <v>0.2193287</v>
      </c>
      <c r="R49" s="4">
        <v>0.0002075806</v>
      </c>
      <c r="S49" s="4">
        <v>0</v>
      </c>
      <c r="T49" s="4">
        <v>0</v>
      </c>
      <c r="U49" s="21">
        <v>0</v>
      </c>
      <c r="V49" s="29">
        <v>0</v>
      </c>
      <c r="W49" s="30">
        <v>94.2636</v>
      </c>
      <c r="X49" s="21">
        <v>20.90929</v>
      </c>
      <c r="Y49" s="21">
        <v>50</v>
      </c>
      <c r="Z49" s="21">
        <v>123.8802</v>
      </c>
      <c r="AA49" s="21">
        <v>15.84201</v>
      </c>
      <c r="AB49" s="21">
        <v>18.89648</v>
      </c>
      <c r="AC49" s="21">
        <v>50</v>
      </c>
      <c r="AD49" s="21">
        <v>123.7717</v>
      </c>
      <c r="AE49" s="8">
        <v>32.95175</v>
      </c>
      <c r="AF49" s="8">
        <v>66.70465</v>
      </c>
      <c r="AG49" s="8"/>
      <c r="AH49" s="8">
        <v>0</v>
      </c>
      <c r="AI49" s="8">
        <v>0</v>
      </c>
      <c r="AJ49" s="8">
        <v>0</v>
      </c>
      <c r="AK49" s="8">
        <v>61.06771</v>
      </c>
      <c r="AL49" s="9">
        <v>51.97917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2.803802E-07</v>
      </c>
      <c r="E50" s="4">
        <v>28.7037</v>
      </c>
      <c r="F50" s="4"/>
      <c r="G50" s="4"/>
      <c r="H50" s="4">
        <v>0.2437789</v>
      </c>
      <c r="I50" s="4">
        <v>0.05263519</v>
      </c>
      <c r="J50" s="4">
        <v>33.16695</v>
      </c>
      <c r="K50" s="4">
        <v>40</v>
      </c>
      <c r="L50" s="4">
        <v>32.15422</v>
      </c>
      <c r="M50" s="4">
        <v>0</v>
      </c>
      <c r="N50" s="4">
        <v>0</v>
      </c>
      <c r="O50" s="4">
        <v>36.34983</v>
      </c>
      <c r="P50" s="4">
        <v>0.05</v>
      </c>
      <c r="Q50" s="4">
        <v>0.1213831</v>
      </c>
      <c r="R50" s="4">
        <v>0.0001387329</v>
      </c>
      <c r="S50" s="4">
        <v>0</v>
      </c>
      <c r="T50" s="4">
        <v>0</v>
      </c>
      <c r="U50" s="21">
        <v>0</v>
      </c>
      <c r="V50" s="29">
        <v>0</v>
      </c>
      <c r="W50" s="30">
        <v>92.17303</v>
      </c>
      <c r="X50" s="21">
        <v>19.27445</v>
      </c>
      <c r="Y50" s="21">
        <v>50</v>
      </c>
      <c r="Z50" s="21">
        <v>123.8802</v>
      </c>
      <c r="AA50" s="21">
        <v>15.9668</v>
      </c>
      <c r="AB50" s="21">
        <v>19.04297</v>
      </c>
      <c r="AC50" s="21">
        <v>50</v>
      </c>
      <c r="AD50" s="21">
        <v>123.7717</v>
      </c>
      <c r="AE50" s="8">
        <v>33.78364</v>
      </c>
      <c r="AF50" s="8">
        <v>65.16385</v>
      </c>
      <c r="AG50" s="8"/>
      <c r="AH50" s="8">
        <v>0</v>
      </c>
      <c r="AI50" s="8">
        <v>0</v>
      </c>
      <c r="AJ50" s="8">
        <v>0</v>
      </c>
      <c r="AK50" s="8">
        <v>60.87601</v>
      </c>
      <c r="AL50" s="9">
        <v>51.6059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3.242493E-06</v>
      </c>
      <c r="E51" s="13">
        <v>29.01476</v>
      </c>
      <c r="F51" s="13"/>
      <c r="G51" s="13"/>
      <c r="H51" s="13">
        <v>0</v>
      </c>
      <c r="I51" s="13">
        <v>0.1418905</v>
      </c>
      <c r="J51" s="13">
        <v>33.3478</v>
      </c>
      <c r="K51" s="13">
        <v>40</v>
      </c>
      <c r="L51" s="13">
        <v>31.99146</v>
      </c>
      <c r="M51" s="13">
        <v>0</v>
      </c>
      <c r="N51" s="13">
        <v>0</v>
      </c>
      <c r="O51" s="13">
        <v>36.06952</v>
      </c>
      <c r="P51" s="13">
        <v>0.05</v>
      </c>
      <c r="Q51" s="13">
        <v>0.2231626</v>
      </c>
      <c r="R51" s="13">
        <v>0.0001725769</v>
      </c>
      <c r="S51" s="13">
        <v>0</v>
      </c>
      <c r="T51" s="13">
        <v>0</v>
      </c>
      <c r="U51" s="24">
        <v>0</v>
      </c>
      <c r="V51" s="32">
        <v>0</v>
      </c>
      <c r="W51" s="33">
        <v>98.09389</v>
      </c>
      <c r="X51" s="24">
        <v>19.99059</v>
      </c>
      <c r="Y51" s="24">
        <v>50</v>
      </c>
      <c r="Z51" s="24">
        <v>0</v>
      </c>
      <c r="AA51" s="24">
        <v>15.80404</v>
      </c>
      <c r="AB51" s="24">
        <v>18.54926</v>
      </c>
      <c r="AC51" s="24">
        <v>50</v>
      </c>
      <c r="AD51" s="24">
        <v>123.776</v>
      </c>
      <c r="AE51" s="17">
        <v>34.50702</v>
      </c>
      <c r="AF51" s="17">
        <v>59.76563</v>
      </c>
      <c r="AG51" s="17"/>
      <c r="AH51" s="17">
        <v>0</v>
      </c>
      <c r="AI51" s="17">
        <v>0</v>
      </c>
      <c r="AJ51" s="17">
        <v>0</v>
      </c>
      <c r="AK51" s="17">
        <v>60.86155</v>
      </c>
      <c r="AL51" s="18">
        <v>51.26158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3" t="s">
        <v>369</v>
      </c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224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223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352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225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226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227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228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229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230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231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232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233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234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235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236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237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238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239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240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241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242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243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244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245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246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247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248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353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249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250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354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251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252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253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254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255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256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257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258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259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 t="s">
        <v>369</v>
      </c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AO5" sqref="AO5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7" t="s">
        <v>219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5" customHeight="1" x14ac:dyDescent="0.25">
      <c r="B3" s="136" t="s">
        <v>174</v>
      </c>
      <c r="C3" s="165" t="s">
        <v>156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155</v>
      </c>
      <c r="I4" s="137" t="s">
        <v>56</v>
      </c>
      <c r="J4" s="137"/>
      <c r="K4" s="72" t="s">
        <v>6</v>
      </c>
      <c r="L4" s="72" t="s">
        <v>60</v>
      </c>
      <c r="M4" s="72" t="s">
        <v>157</v>
      </c>
      <c r="N4" s="72" t="s">
        <v>158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150</v>
      </c>
      <c r="Y4" s="72" t="s">
        <v>151</v>
      </c>
      <c r="Z4" s="72" t="s">
        <v>1</v>
      </c>
      <c r="AA4" s="72" t="s">
        <v>12</v>
      </c>
      <c r="AB4" s="72" t="s">
        <v>152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159</v>
      </c>
      <c r="AJ4" s="73" t="s">
        <v>160</v>
      </c>
      <c r="AK4" s="76" t="s">
        <v>108</v>
      </c>
      <c r="AL4" s="137" t="s">
        <v>103</v>
      </c>
      <c r="AM4" s="129"/>
      <c r="AN4" s="71" t="s">
        <v>104</v>
      </c>
      <c r="AO4" s="72" t="s">
        <v>12</v>
      </c>
      <c r="AP4" s="72" t="s">
        <v>1</v>
      </c>
      <c r="AQ4" s="129" t="s">
        <v>154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94</v>
      </c>
      <c r="V5" s="72" t="s">
        <v>277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102</v>
      </c>
      <c r="AN5" s="71" t="s">
        <v>105</v>
      </c>
      <c r="AO5" s="72" t="s">
        <v>360</v>
      </c>
      <c r="AP5" s="72" t="s">
        <v>90</v>
      </c>
      <c r="AQ5" s="72" t="s">
        <v>91</v>
      </c>
      <c r="AR5" s="119" t="s">
        <v>153</v>
      </c>
    </row>
    <row r="6" spans="2:47" ht="13.5" customHeight="1" x14ac:dyDescent="0.25">
      <c r="B6" s="120" t="s">
        <v>44</v>
      </c>
      <c r="C6" s="82"/>
      <c r="D6" s="62">
        <v>22.29818</v>
      </c>
      <c r="E6" s="62">
        <v>412.5847</v>
      </c>
      <c r="F6" s="62"/>
      <c r="G6" s="62"/>
      <c r="H6" s="63">
        <v>417.3676</v>
      </c>
      <c r="I6" s="64">
        <v>19.72295</v>
      </c>
      <c r="J6" s="62"/>
      <c r="K6" s="62">
        <v>37.19618</v>
      </c>
      <c r="L6" s="62">
        <v>1.481662</v>
      </c>
      <c r="M6" s="62">
        <v>106.7437</v>
      </c>
      <c r="N6" s="62">
        <v>115.4731</v>
      </c>
      <c r="O6" s="62">
        <v>20.0824</v>
      </c>
      <c r="P6" s="62"/>
      <c r="Q6" s="62"/>
      <c r="R6" s="62"/>
      <c r="S6" s="62">
        <v>139.3808</v>
      </c>
      <c r="T6" s="62">
        <v>1.435185</v>
      </c>
      <c r="U6" s="62">
        <v>0.2985682</v>
      </c>
      <c r="V6" s="62"/>
      <c r="W6" s="62">
        <v>90.84882</v>
      </c>
      <c r="X6" s="62">
        <v>0.5307991</v>
      </c>
      <c r="Y6" s="62" t="s">
        <v>4</v>
      </c>
      <c r="Z6" s="62">
        <v>0.7525381</v>
      </c>
      <c r="AA6" s="62">
        <v>151.425</v>
      </c>
      <c r="AB6" s="62">
        <v>164.1204</v>
      </c>
      <c r="AC6" s="62">
        <v>0.7800202</v>
      </c>
      <c r="AD6" s="62">
        <v>156.9951</v>
      </c>
      <c r="AE6" s="65">
        <v>34.2</v>
      </c>
      <c r="AF6" s="65"/>
      <c r="AG6" s="65"/>
      <c r="AH6" s="65">
        <v>15.54</v>
      </c>
      <c r="AI6" s="65"/>
      <c r="AJ6" s="65"/>
      <c r="AK6" s="65">
        <v>6.77</v>
      </c>
      <c r="AL6" s="62">
        <v>0</v>
      </c>
      <c r="AM6" s="66"/>
      <c r="AN6" s="67">
        <v>43.9417</v>
      </c>
      <c r="AO6" s="68">
        <v>55.66045</v>
      </c>
      <c r="AP6" s="69">
        <v>-80.58449</v>
      </c>
      <c r="AQ6" s="69">
        <v>0.2836372</v>
      </c>
      <c r="AR6" s="70"/>
    </row>
    <row r="7" spans="2:47" ht="13.5" customHeight="1" x14ac:dyDescent="0.25">
      <c r="B7" s="121">
        <v>0.875</v>
      </c>
      <c r="C7" s="20"/>
      <c r="D7" s="4">
        <v>22.20595</v>
      </c>
      <c r="E7" s="4">
        <v>414.0533</v>
      </c>
      <c r="F7" s="4"/>
      <c r="G7" s="4">
        <v>0</v>
      </c>
      <c r="H7" s="5">
        <v>415.2559</v>
      </c>
      <c r="I7" s="6">
        <v>19.06467</v>
      </c>
      <c r="J7" s="4">
        <v>0.02010156</v>
      </c>
      <c r="K7" s="4">
        <v>37.4566</v>
      </c>
      <c r="L7" s="4">
        <v>1.441063</v>
      </c>
      <c r="M7" s="4">
        <v>107.9536</v>
      </c>
      <c r="N7" s="4">
        <v>116.305</v>
      </c>
      <c r="O7" s="4">
        <v>20.26223</v>
      </c>
      <c r="P7" s="4">
        <v>20.27539</v>
      </c>
      <c r="Q7" s="4"/>
      <c r="R7" s="4">
        <v>2.573242</v>
      </c>
      <c r="S7" s="4">
        <v>139.5399</v>
      </c>
      <c r="T7" s="4">
        <v>1.433738</v>
      </c>
      <c r="U7" s="4">
        <v>0.2995073</v>
      </c>
      <c r="V7" s="4"/>
      <c r="W7" s="4">
        <v>90.86618</v>
      </c>
      <c r="X7" s="4">
        <v>0.5301163</v>
      </c>
      <c r="Y7" s="4" t="s">
        <v>76</v>
      </c>
      <c r="Z7" s="4">
        <v>0.7339949</v>
      </c>
      <c r="AA7" s="4">
        <v>151.2876</v>
      </c>
      <c r="AB7" s="4">
        <v>163.2306</v>
      </c>
      <c r="AC7" s="4">
        <v>0.7713035</v>
      </c>
      <c r="AD7" s="4">
        <v>155.4326</v>
      </c>
      <c r="AE7" s="7"/>
      <c r="AF7" s="7"/>
      <c r="AG7" s="7"/>
      <c r="AH7" s="7"/>
      <c r="AI7" s="7"/>
      <c r="AJ7" s="7"/>
      <c r="AK7" s="7"/>
      <c r="AL7" s="4">
        <v>0</v>
      </c>
      <c r="AM7" s="8">
        <v>0</v>
      </c>
      <c r="AN7" s="9">
        <v>42.20559</v>
      </c>
      <c r="AO7" s="10">
        <v>55.72555</v>
      </c>
      <c r="AP7" s="11">
        <v>-80.91001</v>
      </c>
      <c r="AQ7" s="11">
        <v>0.2895689</v>
      </c>
      <c r="AR7" s="12">
        <v>0.0002866516</v>
      </c>
    </row>
    <row r="8" spans="2:47" ht="13.5" customHeight="1" x14ac:dyDescent="0.25">
      <c r="B8" s="120" t="s">
        <v>260</v>
      </c>
      <c r="C8" s="20"/>
      <c r="D8" s="4">
        <v>21.72852</v>
      </c>
      <c r="E8" s="4">
        <v>416.0308</v>
      </c>
      <c r="F8" s="4"/>
      <c r="G8" s="4">
        <v>0</v>
      </c>
      <c r="H8" s="5">
        <v>415.1422</v>
      </c>
      <c r="I8" s="6">
        <v>26.71079</v>
      </c>
      <c r="J8" s="4">
        <v>0.01974609</v>
      </c>
      <c r="K8" s="4">
        <v>35.25029</v>
      </c>
      <c r="L8" s="4">
        <v>1.336625</v>
      </c>
      <c r="M8" s="4">
        <v>106.1632</v>
      </c>
      <c r="N8" s="4">
        <v>116.4062</v>
      </c>
      <c r="O8" s="4">
        <v>20.23825</v>
      </c>
      <c r="P8" s="4">
        <v>20.25977</v>
      </c>
      <c r="Q8" s="4"/>
      <c r="R8" s="4">
        <v>2.546387</v>
      </c>
      <c r="S8" s="4">
        <v>139.5182</v>
      </c>
      <c r="T8" s="4">
        <v>1.436053</v>
      </c>
      <c r="U8" s="4">
        <v>0.2970266</v>
      </c>
      <c r="V8" s="4"/>
      <c r="W8" s="4">
        <v>90.99298</v>
      </c>
      <c r="X8" s="4">
        <v>0.5328884</v>
      </c>
      <c r="Y8" s="4" t="s">
        <v>76</v>
      </c>
      <c r="Z8" s="4">
        <v>0.733097</v>
      </c>
      <c r="AA8" s="4">
        <v>151.6131</v>
      </c>
      <c r="AB8" s="4">
        <v>163.4549</v>
      </c>
      <c r="AC8" s="4">
        <v>0.7697845</v>
      </c>
      <c r="AD8" s="4">
        <v>155.6424</v>
      </c>
      <c r="AE8" s="7"/>
      <c r="AF8" s="7"/>
      <c r="AG8" s="7"/>
      <c r="AH8" s="7"/>
      <c r="AI8" s="7"/>
      <c r="AJ8" s="7"/>
      <c r="AK8" s="7"/>
      <c r="AL8" s="4">
        <v>0</v>
      </c>
      <c r="AM8" s="8">
        <v>0</v>
      </c>
      <c r="AN8" s="9">
        <v>42.2743</v>
      </c>
      <c r="AO8" s="10">
        <v>56.40191</v>
      </c>
      <c r="AP8" s="11">
        <v>-80.96788</v>
      </c>
      <c r="AQ8" s="11">
        <v>0.2858796</v>
      </c>
      <c r="AR8" s="12">
        <v>0.0002887268</v>
      </c>
    </row>
    <row r="9" spans="2:47" ht="13.5" customHeight="1" x14ac:dyDescent="0.25">
      <c r="B9" s="121">
        <v>0.95833333333333337</v>
      </c>
      <c r="C9" s="20"/>
      <c r="D9" s="4">
        <v>21.52778</v>
      </c>
      <c r="E9" s="4">
        <v>415.9805</v>
      </c>
      <c r="F9" s="4"/>
      <c r="G9" s="4">
        <v>0</v>
      </c>
      <c r="H9" s="5">
        <v>415.0159</v>
      </c>
      <c r="I9" s="6">
        <v>20.55845</v>
      </c>
      <c r="J9" s="4">
        <v>0.02002539</v>
      </c>
      <c r="K9" s="4">
        <v>34.78733</v>
      </c>
      <c r="L9" s="4">
        <v>1.406431</v>
      </c>
      <c r="M9" s="4">
        <v>106.8414</v>
      </c>
      <c r="N9" s="4">
        <v>115.8926</v>
      </c>
      <c r="O9" s="4">
        <v>20.37555</v>
      </c>
      <c r="P9" s="4">
        <v>20.27148</v>
      </c>
      <c r="Q9" s="4"/>
      <c r="R9" s="4">
        <v>2.574219</v>
      </c>
      <c r="S9" s="4">
        <v>139.5616</v>
      </c>
      <c r="T9" s="4">
        <v>1.435909</v>
      </c>
      <c r="U9" s="4">
        <v>0.2994128</v>
      </c>
      <c r="V9" s="4"/>
      <c r="W9" s="4">
        <v>90.68817</v>
      </c>
      <c r="X9" s="4">
        <v>0.5318531</v>
      </c>
      <c r="Y9" s="4" t="s">
        <v>76</v>
      </c>
      <c r="Z9" s="4">
        <v>0.7370096</v>
      </c>
      <c r="AA9" s="4">
        <v>151.2659</v>
      </c>
      <c r="AB9" s="4">
        <v>163.2523</v>
      </c>
      <c r="AC9" s="4">
        <v>0.7601635</v>
      </c>
      <c r="AD9" s="4">
        <v>155.4543</v>
      </c>
      <c r="AE9" s="7"/>
      <c r="AF9" s="7"/>
      <c r="AG9" s="7"/>
      <c r="AH9" s="7"/>
      <c r="AI9" s="7"/>
      <c r="AJ9" s="7"/>
      <c r="AK9" s="7"/>
      <c r="AL9" s="4">
        <v>0</v>
      </c>
      <c r="AM9" s="8">
        <v>0</v>
      </c>
      <c r="AN9" s="9">
        <v>40.02459</v>
      </c>
      <c r="AO9" s="10">
        <v>56.22468</v>
      </c>
      <c r="AP9" s="11">
        <v>-80.18663</v>
      </c>
      <c r="AQ9" s="11">
        <v>0.2887731</v>
      </c>
      <c r="AR9" s="12">
        <v>0.0002880249</v>
      </c>
    </row>
    <row r="10" spans="2:47" ht="13.5" customHeight="1" x14ac:dyDescent="0.25">
      <c r="B10" s="120" t="s">
        <v>261</v>
      </c>
      <c r="C10" s="20"/>
      <c r="D10" s="4">
        <v>21.33789</v>
      </c>
      <c r="E10" s="4">
        <v>416.1321</v>
      </c>
      <c r="F10" s="4"/>
      <c r="G10" s="4">
        <v>0</v>
      </c>
      <c r="H10" s="5">
        <v>414.7778</v>
      </c>
      <c r="I10" s="6">
        <v>21.52054</v>
      </c>
      <c r="J10" s="4">
        <v>0.02035351</v>
      </c>
      <c r="K10" s="4">
        <v>35.59028</v>
      </c>
      <c r="L10" s="4">
        <v>1.513491</v>
      </c>
      <c r="M10" s="4">
        <v>107.8722</v>
      </c>
      <c r="N10" s="4">
        <v>116.985</v>
      </c>
      <c r="O10" s="4">
        <v>20.29626</v>
      </c>
      <c r="P10" s="4">
        <v>20.26953</v>
      </c>
      <c r="Q10" s="4"/>
      <c r="R10" s="4">
        <v>2.541992</v>
      </c>
      <c r="S10" s="4">
        <v>139.6412</v>
      </c>
      <c r="T10" s="4">
        <v>1.438513</v>
      </c>
      <c r="U10" s="4">
        <v>0.3017623</v>
      </c>
      <c r="V10" s="4"/>
      <c r="W10" s="4">
        <v>91.72663</v>
      </c>
      <c r="X10" s="4">
        <v>0.5304604</v>
      </c>
      <c r="Y10" s="4" t="s">
        <v>76</v>
      </c>
      <c r="Z10" s="4">
        <v>0.7316672</v>
      </c>
      <c r="AA10" s="4">
        <v>151.0706</v>
      </c>
      <c r="AB10" s="4">
        <v>163.5344</v>
      </c>
      <c r="AC10" s="4">
        <v>0.7620081</v>
      </c>
      <c r="AD10" s="4">
        <v>155.4977</v>
      </c>
      <c r="AE10" s="7"/>
      <c r="AF10" s="7"/>
      <c r="AG10" s="7"/>
      <c r="AH10" s="7"/>
      <c r="AI10" s="7"/>
      <c r="AJ10" s="7"/>
      <c r="AK10" s="7"/>
      <c r="AL10" s="4">
        <v>0</v>
      </c>
      <c r="AM10" s="8">
        <v>0</v>
      </c>
      <c r="AN10" s="9">
        <v>38.83825</v>
      </c>
      <c r="AO10" s="10">
        <v>55.7798</v>
      </c>
      <c r="AP10" s="11">
        <v>-81.03299</v>
      </c>
      <c r="AQ10" s="11">
        <v>0.2827691</v>
      </c>
      <c r="AR10" s="12">
        <v>0.0002873535</v>
      </c>
    </row>
    <row r="11" spans="2:47" ht="13.5" customHeight="1" x14ac:dyDescent="0.25">
      <c r="B11" s="121">
        <v>4.1666666666666664E-2</v>
      </c>
      <c r="C11" s="20">
        <v>5.559172</v>
      </c>
      <c r="D11" s="4">
        <v>21.23481</v>
      </c>
      <c r="E11" s="4">
        <v>423.7423</v>
      </c>
      <c r="F11" s="4"/>
      <c r="G11" s="4">
        <v>0</v>
      </c>
      <c r="H11" s="5">
        <v>416.7982</v>
      </c>
      <c r="I11" s="6">
        <v>21.0395</v>
      </c>
      <c r="J11" s="4">
        <v>0.02079492</v>
      </c>
      <c r="K11" s="4">
        <v>33.96991</v>
      </c>
      <c r="L11" s="4">
        <v>1.463759</v>
      </c>
      <c r="M11" s="4">
        <v>106.9227</v>
      </c>
      <c r="N11" s="4">
        <v>114.634</v>
      </c>
      <c r="O11" s="4">
        <v>20.0708</v>
      </c>
      <c r="P11" s="4">
        <v>20.25586</v>
      </c>
      <c r="Q11" s="4"/>
      <c r="R11" s="4">
        <v>2.561523</v>
      </c>
      <c r="S11" s="4">
        <v>139.5255</v>
      </c>
      <c r="T11" s="4">
        <v>1.441117</v>
      </c>
      <c r="U11" s="4">
        <v>0.3010711</v>
      </c>
      <c r="V11" s="4"/>
      <c r="W11" s="4">
        <v>92.1595</v>
      </c>
      <c r="X11" s="4">
        <v>0.5284364</v>
      </c>
      <c r="Y11" s="4" t="s">
        <v>76</v>
      </c>
      <c r="Z11" s="4">
        <v>0.7211192</v>
      </c>
      <c r="AA11" s="4">
        <v>150.7957</v>
      </c>
      <c r="AB11" s="4">
        <v>163.0425</v>
      </c>
      <c r="AC11" s="4">
        <v>0.7653718</v>
      </c>
      <c r="AD11" s="4">
        <v>154.8539</v>
      </c>
      <c r="AE11" s="7"/>
      <c r="AF11" s="7"/>
      <c r="AG11" s="7"/>
      <c r="AH11" s="7"/>
      <c r="AI11" s="7"/>
      <c r="AJ11" s="7"/>
      <c r="AK11" s="7"/>
      <c r="AL11" s="4">
        <v>0</v>
      </c>
      <c r="AM11" s="8">
        <v>0</v>
      </c>
      <c r="AN11" s="9">
        <v>37.27575</v>
      </c>
      <c r="AO11" s="10">
        <v>55.76534</v>
      </c>
      <c r="AP11" s="11">
        <v>-81.11979</v>
      </c>
      <c r="AQ11" s="11">
        <v>0.2848669</v>
      </c>
      <c r="AR11" s="12">
        <v>0.0002878723</v>
      </c>
    </row>
    <row r="12" spans="2:47" ht="13.5" customHeight="1" x14ac:dyDescent="0.25">
      <c r="B12" s="120" t="s">
        <v>262</v>
      </c>
      <c r="C12" s="20"/>
      <c r="D12" s="4">
        <v>21.02865</v>
      </c>
      <c r="E12" s="4">
        <v>423.5815</v>
      </c>
      <c r="F12" s="4"/>
      <c r="G12" s="4">
        <v>0</v>
      </c>
      <c r="H12" s="5">
        <v>418.6693</v>
      </c>
      <c r="I12" s="6">
        <v>21.95095</v>
      </c>
      <c r="J12" s="4">
        <v>0.01937891</v>
      </c>
      <c r="K12" s="4">
        <v>33.75289</v>
      </c>
      <c r="L12" s="4">
        <v>1.379937</v>
      </c>
      <c r="M12" s="4">
        <v>104.1341</v>
      </c>
      <c r="N12" s="4">
        <v>113.5923</v>
      </c>
      <c r="O12" s="4">
        <v>20.35303</v>
      </c>
      <c r="P12" s="4">
        <v>20.27148</v>
      </c>
      <c r="Q12" s="4"/>
      <c r="R12" s="4">
        <v>2.549316</v>
      </c>
      <c r="S12" s="4">
        <v>139.4387</v>
      </c>
      <c r="T12" s="4">
        <v>1.434606</v>
      </c>
      <c r="U12" s="4">
        <v>0.302568</v>
      </c>
      <c r="V12" s="4"/>
      <c r="W12" s="4">
        <v>91.3159</v>
      </c>
      <c r="X12" s="4">
        <v>0.5298353</v>
      </c>
      <c r="Y12" s="4" t="s">
        <v>76</v>
      </c>
      <c r="Z12" s="4">
        <v>0.7325808</v>
      </c>
      <c r="AA12" s="4">
        <v>151.2008</v>
      </c>
      <c r="AB12" s="4">
        <v>163.3174</v>
      </c>
      <c r="AC12" s="4">
        <v>0.7548105</v>
      </c>
      <c r="AD12" s="4">
        <v>155.4326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</v>
      </c>
      <c r="AN12" s="9">
        <v>35.56496</v>
      </c>
      <c r="AO12" s="10">
        <v>56.36212</v>
      </c>
      <c r="AP12" s="11">
        <v>-80.10706</v>
      </c>
      <c r="AQ12" s="11">
        <v>0.2844329</v>
      </c>
      <c r="AR12" s="12">
        <v>0.0002890625</v>
      </c>
    </row>
    <row r="13" spans="2:47" ht="13.5" customHeight="1" x14ac:dyDescent="0.25">
      <c r="B13" s="121">
        <v>0.125</v>
      </c>
      <c r="C13" s="20"/>
      <c r="D13" s="4">
        <v>21.11545</v>
      </c>
      <c r="E13" s="4">
        <v>420.4492</v>
      </c>
      <c r="F13" s="4"/>
      <c r="G13" s="4">
        <v>0</v>
      </c>
      <c r="H13" s="5">
        <v>419.8576</v>
      </c>
      <c r="I13" s="6">
        <v>29.29326</v>
      </c>
      <c r="J13" s="4">
        <v>0.01942383</v>
      </c>
      <c r="K13" s="4">
        <v>32.58102</v>
      </c>
      <c r="L13" s="4">
        <v>1.281105</v>
      </c>
      <c r="M13" s="4">
        <v>103.0056</v>
      </c>
      <c r="N13" s="4">
        <v>112.4494</v>
      </c>
      <c r="O13" s="4">
        <v>20.49647</v>
      </c>
      <c r="P13" s="4">
        <v>20.26367</v>
      </c>
      <c r="Q13" s="4"/>
      <c r="R13" s="4">
        <v>2.628906</v>
      </c>
      <c r="S13" s="4">
        <v>139.5906</v>
      </c>
      <c r="T13" s="4">
        <v>1.436053</v>
      </c>
      <c r="U13" s="4">
        <v>0.3027782</v>
      </c>
      <c r="V13" s="4"/>
      <c r="W13" s="4">
        <v>91.27284</v>
      </c>
      <c r="X13" s="4">
        <v>0.5283863</v>
      </c>
      <c r="Y13" s="4" t="s">
        <v>76</v>
      </c>
      <c r="Z13" s="4">
        <v>0.7268228</v>
      </c>
      <c r="AA13" s="4">
        <v>151.5336</v>
      </c>
      <c r="AB13" s="4">
        <v>163.0859</v>
      </c>
      <c r="AC13" s="4">
        <v>0.752134</v>
      </c>
      <c r="AD13" s="4">
        <v>155.1071</v>
      </c>
      <c r="AE13" s="7"/>
      <c r="AF13" s="7"/>
      <c r="AG13" s="7"/>
      <c r="AH13" s="7"/>
      <c r="AI13" s="7"/>
      <c r="AJ13" s="7"/>
      <c r="AK13" s="7"/>
      <c r="AL13" s="4">
        <v>0</v>
      </c>
      <c r="AM13" s="8">
        <v>0</v>
      </c>
      <c r="AN13" s="9">
        <v>33.78183</v>
      </c>
      <c r="AO13" s="10">
        <v>56.94806</v>
      </c>
      <c r="AP13" s="11">
        <v>-79.57899</v>
      </c>
      <c r="AQ13" s="11">
        <v>0.2943432</v>
      </c>
      <c r="AR13" s="12">
        <v>0.0002893066</v>
      </c>
    </row>
    <row r="14" spans="2:47" ht="13.5" customHeight="1" x14ac:dyDescent="0.25">
      <c r="B14" s="121">
        <v>0.16666666666666666</v>
      </c>
      <c r="C14" s="20"/>
      <c r="D14" s="4">
        <v>21.07205</v>
      </c>
      <c r="E14" s="4">
        <v>420.1415</v>
      </c>
      <c r="F14" s="4"/>
      <c r="G14" s="4">
        <v>0</v>
      </c>
      <c r="H14" s="5">
        <v>420.2006</v>
      </c>
      <c r="I14" s="6">
        <v>25.36892</v>
      </c>
      <c r="J14" s="4">
        <v>0.02045313</v>
      </c>
      <c r="K14" s="4">
        <v>32.60272</v>
      </c>
      <c r="L14" s="4">
        <v>1.401458</v>
      </c>
      <c r="M14" s="4">
        <v>107.053</v>
      </c>
      <c r="N14" s="4">
        <v>116.0012</v>
      </c>
      <c r="O14" s="4">
        <v>20.21147</v>
      </c>
      <c r="P14" s="4">
        <v>20.28125</v>
      </c>
      <c r="Q14" s="4"/>
      <c r="R14" s="4">
        <v>2.583496</v>
      </c>
      <c r="S14" s="4">
        <v>139.511</v>
      </c>
      <c r="T14" s="4">
        <v>1.438223</v>
      </c>
      <c r="U14" s="4">
        <v>0.2973811</v>
      </c>
      <c r="V14" s="4"/>
      <c r="W14" s="4">
        <v>90.31503</v>
      </c>
      <c r="X14" s="4">
        <v>0.528738</v>
      </c>
      <c r="Y14" s="4" t="s">
        <v>76</v>
      </c>
      <c r="Z14" s="4">
        <v>0.7360346</v>
      </c>
      <c r="AA14" s="4">
        <v>151.3093</v>
      </c>
      <c r="AB14" s="4">
        <v>163.0859</v>
      </c>
      <c r="AC14" s="4">
        <v>0.7792245</v>
      </c>
      <c r="AD14" s="4">
        <v>155.2228</v>
      </c>
      <c r="AE14" s="7"/>
      <c r="AF14" s="7"/>
      <c r="AG14" s="7"/>
      <c r="AH14" s="7"/>
      <c r="AI14" s="7"/>
      <c r="AJ14" s="7"/>
      <c r="AK14" s="7"/>
      <c r="AL14" s="4">
        <v>0</v>
      </c>
      <c r="AM14" s="8">
        <v>0.04366211</v>
      </c>
      <c r="AN14" s="9">
        <v>46.97989</v>
      </c>
      <c r="AO14" s="10">
        <v>55.95703</v>
      </c>
      <c r="AP14" s="11">
        <v>-80.91724</v>
      </c>
      <c r="AQ14" s="11">
        <v>0.2889902</v>
      </c>
      <c r="AR14" s="12">
        <v>0.000286438</v>
      </c>
    </row>
    <row r="15" spans="2:47" ht="13.5" customHeight="1" x14ac:dyDescent="0.25">
      <c r="B15" s="121">
        <v>0.20833333333333334</v>
      </c>
      <c r="C15" s="20">
        <v>5.519386</v>
      </c>
      <c r="D15" s="4">
        <v>21.09375</v>
      </c>
      <c r="E15" s="4">
        <v>419.9418</v>
      </c>
      <c r="F15" s="4"/>
      <c r="G15" s="4">
        <v>0</v>
      </c>
      <c r="H15" s="5">
        <v>420.2192</v>
      </c>
      <c r="I15" s="6">
        <v>20.83695</v>
      </c>
      <c r="J15" s="4">
        <v>0.0195</v>
      </c>
      <c r="K15" s="4">
        <v>34.40393</v>
      </c>
      <c r="L15" s="4">
        <v>1.488263</v>
      </c>
      <c r="M15" s="4">
        <v>104.9316</v>
      </c>
      <c r="N15" s="4">
        <v>115.191</v>
      </c>
      <c r="O15" s="4">
        <v>20.39689</v>
      </c>
      <c r="P15" s="4">
        <v>20.25391</v>
      </c>
      <c r="Q15" s="4"/>
      <c r="R15" s="4">
        <v>2.554199</v>
      </c>
      <c r="S15" s="4">
        <v>139.4169</v>
      </c>
      <c r="T15" s="4">
        <v>1.438802</v>
      </c>
      <c r="U15" s="4">
        <v>0.3002936</v>
      </c>
      <c r="V15" s="4"/>
      <c r="W15" s="4">
        <v>90.08708</v>
      </c>
      <c r="X15" s="4">
        <v>0.5309779</v>
      </c>
      <c r="Y15" s="4" t="s">
        <v>76</v>
      </c>
      <c r="Z15" s="4">
        <v>0.7362111</v>
      </c>
      <c r="AA15" s="4">
        <v>150.9549</v>
      </c>
      <c r="AB15" s="4">
        <v>163.1149</v>
      </c>
      <c r="AC15" s="4">
        <v>0.7673611</v>
      </c>
      <c r="AD15" s="4">
        <v>155.0926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</v>
      </c>
      <c r="AN15" s="9">
        <v>45.83695</v>
      </c>
      <c r="AO15" s="10">
        <v>56.94444</v>
      </c>
      <c r="AP15" s="11">
        <v>-79.78877</v>
      </c>
      <c r="AQ15" s="11">
        <v>0.2900752</v>
      </c>
      <c r="AR15" s="12">
        <v>0.0002875671</v>
      </c>
    </row>
    <row r="16" spans="2:47" ht="13.5" customHeight="1" x14ac:dyDescent="0.25">
      <c r="B16" s="121">
        <v>0.25</v>
      </c>
      <c r="C16" s="20"/>
      <c r="D16" s="4">
        <v>20.88759</v>
      </c>
      <c r="E16" s="4">
        <v>418.6505</v>
      </c>
      <c r="F16" s="4"/>
      <c r="G16" s="4">
        <v>0</v>
      </c>
      <c r="H16" s="5">
        <v>420.2659</v>
      </c>
      <c r="I16" s="6">
        <v>18.53299</v>
      </c>
      <c r="J16" s="4">
        <v>0.02088281</v>
      </c>
      <c r="K16" s="4">
        <v>32.78357</v>
      </c>
      <c r="L16" s="4">
        <v>1.469727</v>
      </c>
      <c r="M16" s="4">
        <v>99.96745</v>
      </c>
      <c r="N16" s="4">
        <v>113.0715</v>
      </c>
      <c r="O16" s="4">
        <v>20.17017</v>
      </c>
      <c r="P16" s="4">
        <v>20.27344</v>
      </c>
      <c r="Q16" s="4"/>
      <c r="R16" s="4">
        <v>2.574219</v>
      </c>
      <c r="S16" s="4">
        <v>139.4531</v>
      </c>
      <c r="T16" s="4">
        <v>1.437789</v>
      </c>
      <c r="U16" s="4">
        <v>0.2995189</v>
      </c>
      <c r="V16" s="4"/>
      <c r="W16" s="4">
        <v>91.12972</v>
      </c>
      <c r="X16" s="4">
        <v>0.531634</v>
      </c>
      <c r="Y16" s="4" t="s">
        <v>76</v>
      </c>
      <c r="Z16" s="4">
        <v>0.735199</v>
      </c>
      <c r="AA16" s="4">
        <v>151.1212</v>
      </c>
      <c r="AB16" s="4">
        <v>163.1293</v>
      </c>
      <c r="AC16" s="4">
        <v>0.7648293</v>
      </c>
      <c r="AD16" s="4">
        <v>154.9334</v>
      </c>
      <c r="AE16" s="7"/>
      <c r="AF16" s="7"/>
      <c r="AG16" s="7"/>
      <c r="AH16" s="7"/>
      <c r="AI16" s="7"/>
      <c r="AJ16" s="7"/>
      <c r="AK16" s="7"/>
      <c r="AL16" s="4">
        <v>0</v>
      </c>
      <c r="AM16" s="8">
        <v>0.01071777</v>
      </c>
      <c r="AN16" s="9">
        <v>47.39945</v>
      </c>
      <c r="AO16" s="10">
        <v>56.77445</v>
      </c>
      <c r="AP16" s="11">
        <v>-79.71644</v>
      </c>
      <c r="AQ16" s="11">
        <v>0.2932581</v>
      </c>
      <c r="AR16" s="12">
        <v>0.0002868652</v>
      </c>
    </row>
    <row r="17" spans="2:44" ht="13.5" customHeight="1" x14ac:dyDescent="0.25">
      <c r="B17" s="121">
        <v>0.29166666666666669</v>
      </c>
      <c r="C17" s="20"/>
      <c r="D17" s="4">
        <v>21.14258</v>
      </c>
      <c r="E17" s="4">
        <v>419.459</v>
      </c>
      <c r="F17" s="4"/>
      <c r="G17" s="4">
        <v>0</v>
      </c>
      <c r="H17" s="5">
        <v>419.9391</v>
      </c>
      <c r="I17" s="6">
        <v>25.26765</v>
      </c>
      <c r="J17" s="4">
        <v>0.0198125</v>
      </c>
      <c r="K17" s="4">
        <v>32.63165</v>
      </c>
      <c r="L17" s="4">
        <v>1.347928</v>
      </c>
      <c r="M17" s="4">
        <v>106.7546</v>
      </c>
      <c r="N17" s="4">
        <v>116.0084</v>
      </c>
      <c r="O17" s="4">
        <v>20.08262</v>
      </c>
      <c r="P17" s="4">
        <v>20.25586</v>
      </c>
      <c r="Q17" s="4"/>
      <c r="R17" s="4">
        <v>2.571289</v>
      </c>
      <c r="S17" s="4">
        <v>139.6629</v>
      </c>
      <c r="T17" s="4">
        <v>1.436777</v>
      </c>
      <c r="U17" s="4">
        <v>0.2984051</v>
      </c>
      <c r="V17" s="4"/>
      <c r="W17" s="4">
        <v>91.54353</v>
      </c>
      <c r="X17" s="4">
        <v>0.5326743</v>
      </c>
      <c r="Y17" s="4" t="s">
        <v>76</v>
      </c>
      <c r="Z17" s="4">
        <v>0.7427516</v>
      </c>
      <c r="AA17" s="4">
        <v>151.2442</v>
      </c>
      <c r="AB17" s="4">
        <v>163.4621</v>
      </c>
      <c r="AC17" s="4">
        <v>0.7794054</v>
      </c>
      <c r="AD17" s="4">
        <v>155.6568</v>
      </c>
      <c r="AE17" s="7"/>
      <c r="AF17" s="7"/>
      <c r="AG17" s="7"/>
      <c r="AH17" s="7"/>
      <c r="AI17" s="7"/>
      <c r="AJ17" s="7"/>
      <c r="AK17" s="7"/>
      <c r="AL17" s="4">
        <v>0</v>
      </c>
      <c r="AM17" s="8">
        <v>0</v>
      </c>
      <c r="AN17" s="9">
        <v>46.96542</v>
      </c>
      <c r="AO17" s="10">
        <v>57.53038</v>
      </c>
      <c r="AP17" s="11">
        <v>-79.00752</v>
      </c>
      <c r="AQ17" s="11">
        <v>0.2905816</v>
      </c>
      <c r="AR17" s="12">
        <v>0.0002880249</v>
      </c>
    </row>
    <row r="18" spans="2:44" ht="13.5" customHeight="1" x14ac:dyDescent="0.25">
      <c r="B18" s="121">
        <v>0.33333333333333331</v>
      </c>
      <c r="C18" s="23"/>
      <c r="D18" s="13">
        <v>21.44097</v>
      </c>
      <c r="E18" s="13">
        <v>418.8799</v>
      </c>
      <c r="F18" s="13"/>
      <c r="G18" s="13">
        <v>0</v>
      </c>
      <c r="H18" s="14">
        <v>419.8565</v>
      </c>
      <c r="I18" s="15">
        <v>0</v>
      </c>
      <c r="J18" s="13">
        <v>0.01915039</v>
      </c>
      <c r="K18" s="13">
        <v>32.3423</v>
      </c>
      <c r="L18" s="13">
        <v>1.326136</v>
      </c>
      <c r="M18" s="13">
        <v>104.8557</v>
      </c>
      <c r="N18" s="13">
        <v>114.8582</v>
      </c>
      <c r="O18" s="13">
        <v>20.32044</v>
      </c>
      <c r="P18" s="13">
        <v>20.26953</v>
      </c>
      <c r="Q18" s="13"/>
      <c r="R18" s="13">
        <v>2.547852</v>
      </c>
      <c r="S18" s="13">
        <v>139.3952</v>
      </c>
      <c r="T18" s="13">
        <v>1.434462</v>
      </c>
      <c r="U18" s="13">
        <v>0.2989356</v>
      </c>
      <c r="V18" s="13"/>
      <c r="W18" s="13">
        <v>90.87873</v>
      </c>
      <c r="X18" s="13">
        <v>0.5308115</v>
      </c>
      <c r="Y18" s="13">
        <v>0.5283389</v>
      </c>
      <c r="Z18" s="13">
        <v>0.7355205</v>
      </c>
      <c r="AA18" s="13">
        <v>151.0706</v>
      </c>
      <c r="AB18" s="13">
        <v>162.9847</v>
      </c>
      <c r="AC18" s="13">
        <v>0.7725695</v>
      </c>
      <c r="AD18" s="13">
        <v>154.8828</v>
      </c>
      <c r="AE18" s="16">
        <v>34.43</v>
      </c>
      <c r="AF18" s="16"/>
      <c r="AG18" s="16"/>
      <c r="AH18" s="16">
        <v>17.37</v>
      </c>
      <c r="AI18" s="16">
        <v>20.52</v>
      </c>
      <c r="AJ18" s="16">
        <v>5.9</v>
      </c>
      <c r="AK18" s="16">
        <v>6.67</v>
      </c>
      <c r="AL18" s="13">
        <v>0</v>
      </c>
      <c r="AM18" s="17">
        <v>0</v>
      </c>
      <c r="AN18" s="18">
        <v>45.43909</v>
      </c>
      <c r="AO18" s="10">
        <v>58.10909</v>
      </c>
      <c r="AP18" s="11">
        <v>-80.88107</v>
      </c>
      <c r="AQ18" s="11">
        <v>0.2531105</v>
      </c>
      <c r="AR18" s="19">
        <v>0.000288269</v>
      </c>
    </row>
    <row r="19" spans="2:44" ht="18" customHeight="1" x14ac:dyDescent="0.25">
      <c r="B19" s="143" t="s">
        <v>174</v>
      </c>
      <c r="C19" s="80" t="s">
        <v>161</v>
      </c>
      <c r="D19" s="72" t="s">
        <v>164</v>
      </c>
      <c r="E19" s="124" t="s">
        <v>17</v>
      </c>
      <c r="F19" s="129"/>
      <c r="G19" s="129"/>
      <c r="H19" s="128" t="s">
        <v>101</v>
      </c>
      <c r="I19" s="129"/>
      <c r="J19" s="129"/>
      <c r="K19" s="129"/>
      <c r="L19" s="129"/>
      <c r="M19" s="128" t="s">
        <v>116</v>
      </c>
      <c r="N19" s="129"/>
      <c r="O19" s="129"/>
      <c r="P19" s="129"/>
      <c r="Q19" s="129"/>
      <c r="R19" s="128" t="s">
        <v>140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166</v>
      </c>
      <c r="AJ19" s="168"/>
      <c r="AK19" s="168"/>
      <c r="AL19" s="168"/>
      <c r="AM19" s="168"/>
      <c r="AN19" s="129" t="s">
        <v>42</v>
      </c>
      <c r="AO19" s="130"/>
      <c r="AP19" s="129" t="s">
        <v>173</v>
      </c>
      <c r="AQ19" s="130"/>
      <c r="AR19" s="162"/>
    </row>
    <row r="20" spans="2:44" ht="20.15" customHeight="1" x14ac:dyDescent="0.25">
      <c r="B20" s="136"/>
      <c r="C20" s="80" t="s">
        <v>162</v>
      </c>
      <c r="D20" s="72" t="s">
        <v>106</v>
      </c>
      <c r="E20" s="72" t="s">
        <v>15</v>
      </c>
      <c r="F20" s="128" t="s">
        <v>93</v>
      </c>
      <c r="G20" s="129"/>
      <c r="H20" s="86" t="s">
        <v>96</v>
      </c>
      <c r="I20" s="86" t="s">
        <v>98</v>
      </c>
      <c r="J20" s="83" t="s">
        <v>99</v>
      </c>
      <c r="K20" s="77" t="s">
        <v>100</v>
      </c>
      <c r="L20" s="86" t="s">
        <v>108</v>
      </c>
      <c r="M20" s="86" t="s">
        <v>109</v>
      </c>
      <c r="N20" s="86" t="s">
        <v>111</v>
      </c>
      <c r="O20" s="72" t="s">
        <v>220</v>
      </c>
      <c r="P20" s="72" t="s">
        <v>221</v>
      </c>
      <c r="Q20" s="72" t="s">
        <v>115</v>
      </c>
      <c r="R20" s="72" t="s">
        <v>117</v>
      </c>
      <c r="S20" s="86" t="s">
        <v>119</v>
      </c>
      <c r="T20" s="87" t="s">
        <v>134</v>
      </c>
      <c r="U20" s="86" t="s">
        <v>137</v>
      </c>
      <c r="V20" s="88" t="s">
        <v>124</v>
      </c>
      <c r="W20" s="88" t="s">
        <v>122</v>
      </c>
      <c r="X20" s="87" t="s">
        <v>135</v>
      </c>
      <c r="Y20" s="86" t="s">
        <v>136</v>
      </c>
      <c r="Z20" s="88" t="s">
        <v>126</v>
      </c>
      <c r="AA20" s="88" t="s">
        <v>127</v>
      </c>
      <c r="AB20" s="87" t="s">
        <v>132</v>
      </c>
      <c r="AC20" s="71" t="s">
        <v>138</v>
      </c>
      <c r="AD20" s="129" t="s">
        <v>141</v>
      </c>
      <c r="AE20" s="129"/>
      <c r="AF20" s="71" t="s">
        <v>144</v>
      </c>
      <c r="AG20" s="71" t="s">
        <v>146</v>
      </c>
      <c r="AH20" s="71" t="s">
        <v>148</v>
      </c>
      <c r="AI20" s="138" t="s">
        <v>83</v>
      </c>
      <c r="AJ20" s="126"/>
      <c r="AK20" s="138" t="s">
        <v>86</v>
      </c>
      <c r="AL20" s="126"/>
      <c r="AM20" s="75" t="s">
        <v>165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171</v>
      </c>
    </row>
    <row r="21" spans="2:44" ht="22" customHeight="1" x14ac:dyDescent="0.25">
      <c r="B21" s="136"/>
      <c r="C21" s="81" t="s">
        <v>163</v>
      </c>
      <c r="D21" s="72" t="s">
        <v>107</v>
      </c>
      <c r="E21" s="77" t="s">
        <v>92</v>
      </c>
      <c r="F21" s="72" t="s">
        <v>94</v>
      </c>
      <c r="G21" s="86" t="s">
        <v>95</v>
      </c>
      <c r="H21" s="86" t="s">
        <v>97</v>
      </c>
      <c r="I21" s="86" t="s">
        <v>97</v>
      </c>
      <c r="J21" s="86" t="s">
        <v>97</v>
      </c>
      <c r="K21" s="86" t="s">
        <v>97</v>
      </c>
      <c r="L21" s="86" t="s">
        <v>76</v>
      </c>
      <c r="M21" s="86" t="s">
        <v>110</v>
      </c>
      <c r="N21" s="86" t="s">
        <v>112</v>
      </c>
      <c r="O21" s="86" t="s">
        <v>113</v>
      </c>
      <c r="P21" s="86" t="s">
        <v>114</v>
      </c>
      <c r="Q21" s="72" t="s">
        <v>21</v>
      </c>
      <c r="R21" s="72" t="s">
        <v>118</v>
      </c>
      <c r="S21" s="89" t="s">
        <v>120</v>
      </c>
      <c r="T21" s="87" t="s">
        <v>113</v>
      </c>
      <c r="U21" s="86" t="s">
        <v>121</v>
      </c>
      <c r="V21" s="88" t="s">
        <v>125</v>
      </c>
      <c r="W21" s="88" t="s">
        <v>123</v>
      </c>
      <c r="X21" s="87" t="s">
        <v>128</v>
      </c>
      <c r="Y21" s="86" t="s">
        <v>129</v>
      </c>
      <c r="Z21" s="88" t="s">
        <v>130</v>
      </c>
      <c r="AA21" s="88" t="s">
        <v>131</v>
      </c>
      <c r="AB21" s="87" t="s">
        <v>133</v>
      </c>
      <c r="AC21" s="71" t="s">
        <v>139</v>
      </c>
      <c r="AD21" s="71" t="s">
        <v>142</v>
      </c>
      <c r="AE21" s="71" t="s">
        <v>143</v>
      </c>
      <c r="AF21" s="71" t="s">
        <v>145</v>
      </c>
      <c r="AG21" s="71" t="s">
        <v>147</v>
      </c>
      <c r="AH21" s="71" t="s">
        <v>149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167</v>
      </c>
      <c r="AO21" s="71" t="s">
        <v>168</v>
      </c>
      <c r="AP21" s="71" t="s">
        <v>169</v>
      </c>
      <c r="AQ21" s="71" t="s">
        <v>170</v>
      </c>
      <c r="AR21" s="118" t="s">
        <v>172</v>
      </c>
    </row>
    <row r="22" spans="2:44" ht="13.5" customHeight="1" x14ac:dyDescent="0.25">
      <c r="B22" s="120" t="s">
        <v>44</v>
      </c>
      <c r="C22" s="82">
        <v>-80.58449</v>
      </c>
      <c r="D22" s="62">
        <v>-79.30411</v>
      </c>
      <c r="E22" s="62">
        <v>103.1286</v>
      </c>
      <c r="F22" s="62">
        <v>0.08933739</v>
      </c>
      <c r="G22" s="62"/>
      <c r="H22" s="62"/>
      <c r="I22" s="62"/>
      <c r="J22" s="62"/>
      <c r="K22" s="62"/>
      <c r="L22" s="63"/>
      <c r="M22" s="82">
        <v>23.63281</v>
      </c>
      <c r="N22" s="62">
        <v>45.67419</v>
      </c>
      <c r="O22" s="62">
        <v>39.5</v>
      </c>
      <c r="P22" s="62">
        <v>22</v>
      </c>
      <c r="Q22" s="62">
        <v>3.454427</v>
      </c>
      <c r="R22" s="62">
        <v>18.54022</v>
      </c>
      <c r="S22" s="84">
        <v>92.9362</v>
      </c>
      <c r="T22" s="84">
        <v>50</v>
      </c>
      <c r="U22" s="84">
        <v>125.8254</v>
      </c>
      <c r="V22" s="84">
        <v>15.80404</v>
      </c>
      <c r="W22" s="84">
        <v>18.54926</v>
      </c>
      <c r="X22" s="84">
        <v>12</v>
      </c>
      <c r="Y22" s="84">
        <v>0</v>
      </c>
      <c r="Z22" s="84">
        <v>34.50702</v>
      </c>
      <c r="AA22" s="84">
        <v>59.76563</v>
      </c>
      <c r="AB22" s="84"/>
      <c r="AC22" s="66"/>
      <c r="AD22" s="66">
        <v>0</v>
      </c>
      <c r="AE22" s="66"/>
      <c r="AF22" s="66">
        <v>20.08825</v>
      </c>
      <c r="AG22" s="66">
        <v>1.678241</v>
      </c>
      <c r="AH22" s="66"/>
      <c r="AI22" s="85"/>
      <c r="AJ22" s="85"/>
      <c r="AK22" s="85"/>
      <c r="AL22" s="85"/>
      <c r="AM22" s="85"/>
      <c r="AN22" s="66">
        <v>59.8452</v>
      </c>
      <c r="AO22" s="67">
        <v>50</v>
      </c>
      <c r="AP22" s="68">
        <v>31.8287</v>
      </c>
      <c r="AQ22" s="69">
        <v>39.96311</v>
      </c>
      <c r="AR22" s="70">
        <v>0.09766388</v>
      </c>
    </row>
    <row r="23" spans="2:44" ht="13.5" customHeight="1" x14ac:dyDescent="0.25">
      <c r="B23" s="121">
        <v>0.875</v>
      </c>
      <c r="C23" s="20">
        <v>-80.91001</v>
      </c>
      <c r="D23" s="4">
        <v>-79.77431</v>
      </c>
      <c r="E23" s="4">
        <v>103.1322</v>
      </c>
      <c r="F23" s="4">
        <v>0.09020544</v>
      </c>
      <c r="G23" s="4">
        <v>9.111023E-05</v>
      </c>
      <c r="H23" s="4"/>
      <c r="I23" s="4"/>
      <c r="J23" s="4"/>
      <c r="K23" s="4"/>
      <c r="L23" s="5"/>
      <c r="M23" s="20">
        <v>23.16623</v>
      </c>
      <c r="N23" s="4">
        <v>45.45718</v>
      </c>
      <c r="O23" s="4">
        <v>39.5</v>
      </c>
      <c r="P23" s="4">
        <v>22</v>
      </c>
      <c r="Q23" s="4">
        <v>3.082899</v>
      </c>
      <c r="R23" s="4"/>
      <c r="S23" s="21">
        <v>91.00839</v>
      </c>
      <c r="T23" s="21">
        <v>50</v>
      </c>
      <c r="U23" s="21">
        <v>126.8177</v>
      </c>
      <c r="V23" s="21">
        <v>16.7806</v>
      </c>
      <c r="W23" s="21">
        <v>20.20399</v>
      </c>
      <c r="X23" s="21">
        <v>12</v>
      </c>
      <c r="Y23" s="21">
        <v>0</v>
      </c>
      <c r="Z23" s="21">
        <v>35.04412</v>
      </c>
      <c r="AA23" s="21">
        <v>58.04579</v>
      </c>
      <c r="AB23" s="21"/>
      <c r="AC23" s="8"/>
      <c r="AD23" s="8">
        <v>1.548286</v>
      </c>
      <c r="AE23" s="8">
        <v>0.001065674</v>
      </c>
      <c r="AF23" s="8">
        <v>19.79167</v>
      </c>
      <c r="AG23" s="8">
        <v>13.5923</v>
      </c>
      <c r="AH23" s="8">
        <v>595.72</v>
      </c>
      <c r="AI23" s="22"/>
      <c r="AJ23" s="22"/>
      <c r="AK23" s="22"/>
      <c r="AL23" s="22"/>
      <c r="AM23" s="22"/>
      <c r="AN23" s="8">
        <v>58.3912</v>
      </c>
      <c r="AO23" s="9">
        <v>50</v>
      </c>
      <c r="AP23" s="10">
        <v>31.72924</v>
      </c>
      <c r="AQ23" s="11">
        <v>40.23438</v>
      </c>
      <c r="AR23" s="12">
        <v>0.09766388</v>
      </c>
    </row>
    <row r="24" spans="2:44" ht="13.5" customHeight="1" x14ac:dyDescent="0.25">
      <c r="B24" s="120" t="s">
        <v>260</v>
      </c>
      <c r="C24" s="20">
        <v>-80.96788</v>
      </c>
      <c r="D24" s="4">
        <v>-79.90451</v>
      </c>
      <c r="E24" s="4">
        <v>103.1286</v>
      </c>
      <c r="F24" s="4">
        <v>0.1279659</v>
      </c>
      <c r="G24" s="4">
        <v>9.126282E-05</v>
      </c>
      <c r="H24" s="4"/>
      <c r="I24" s="4"/>
      <c r="J24" s="4"/>
      <c r="K24" s="4"/>
      <c r="L24" s="5"/>
      <c r="M24" s="20">
        <v>22.14988</v>
      </c>
      <c r="N24" s="4">
        <v>44.92911</v>
      </c>
      <c r="O24" s="4">
        <v>39.5</v>
      </c>
      <c r="P24" s="4">
        <v>22</v>
      </c>
      <c r="Q24" s="4">
        <v>3.583333</v>
      </c>
      <c r="R24" s="4"/>
      <c r="S24" s="21">
        <v>93.39555</v>
      </c>
      <c r="T24" s="21">
        <v>50</v>
      </c>
      <c r="U24" s="21">
        <v>126.6551</v>
      </c>
      <c r="V24" s="21">
        <v>18.7934</v>
      </c>
      <c r="W24" s="21">
        <v>21.13715</v>
      </c>
      <c r="X24" s="21">
        <v>12</v>
      </c>
      <c r="Y24" s="21">
        <v>0</v>
      </c>
      <c r="Z24" s="21">
        <v>22.23488</v>
      </c>
      <c r="AA24" s="21">
        <v>79.48676</v>
      </c>
      <c r="AB24" s="21"/>
      <c r="AC24" s="8"/>
      <c r="AD24" s="8">
        <v>1.548448</v>
      </c>
      <c r="AE24" s="8">
        <v>0.001162598</v>
      </c>
      <c r="AF24" s="8">
        <v>20.48611</v>
      </c>
      <c r="AG24" s="8">
        <v>40.49479</v>
      </c>
      <c r="AH24" s="8">
        <v>354.42</v>
      </c>
      <c r="AI24" s="22"/>
      <c r="AJ24" s="22"/>
      <c r="AK24" s="22"/>
      <c r="AL24" s="22"/>
      <c r="AM24" s="22"/>
      <c r="AN24" s="8">
        <v>57.73293</v>
      </c>
      <c r="AO24" s="9">
        <v>50</v>
      </c>
      <c r="AP24" s="10">
        <v>31.55744</v>
      </c>
      <c r="AQ24" s="11">
        <v>39.76056</v>
      </c>
      <c r="AR24" s="12">
        <v>0.09766388</v>
      </c>
    </row>
    <row r="25" spans="2:44" ht="13.5" customHeight="1" x14ac:dyDescent="0.25">
      <c r="B25" s="121">
        <v>0.95833333333333337</v>
      </c>
      <c r="C25" s="20">
        <v>-80.18663</v>
      </c>
      <c r="D25" s="4">
        <v>-79.1088</v>
      </c>
      <c r="E25" s="4">
        <v>103.1286</v>
      </c>
      <c r="F25" s="4">
        <v>0.1665943</v>
      </c>
      <c r="G25" s="4">
        <v>9.126282E-05</v>
      </c>
      <c r="H25" s="4"/>
      <c r="I25" s="4"/>
      <c r="J25" s="4"/>
      <c r="K25" s="4"/>
      <c r="L25" s="5"/>
      <c r="M25" s="20">
        <v>22.78284</v>
      </c>
      <c r="N25" s="4">
        <v>55.88108</v>
      </c>
      <c r="O25" s="4">
        <v>39.5</v>
      </c>
      <c r="P25" s="4">
        <v>22</v>
      </c>
      <c r="Q25" s="4">
        <v>3.268663</v>
      </c>
      <c r="R25" s="4"/>
      <c r="S25" s="21">
        <v>91.7607</v>
      </c>
      <c r="T25" s="21">
        <v>50</v>
      </c>
      <c r="U25" s="21">
        <v>120.8527</v>
      </c>
      <c r="V25" s="21">
        <v>18.66862</v>
      </c>
      <c r="W25" s="21">
        <v>20.96354</v>
      </c>
      <c r="X25" s="21">
        <v>50</v>
      </c>
      <c r="Y25" s="21">
        <v>129.3853</v>
      </c>
      <c r="Z25" s="21">
        <v>19.83145</v>
      </c>
      <c r="AA25" s="21">
        <v>21.03407</v>
      </c>
      <c r="AB25" s="21"/>
      <c r="AC25" s="8"/>
      <c r="AD25" s="8">
        <v>0</v>
      </c>
      <c r="AE25" s="8">
        <v>0.0007756348</v>
      </c>
      <c r="AF25" s="8">
        <v>99.94213</v>
      </c>
      <c r="AG25" s="8">
        <v>18.35938</v>
      </c>
      <c r="AH25" s="8">
        <v>327.32</v>
      </c>
      <c r="AI25" s="22"/>
      <c r="AJ25" s="22"/>
      <c r="AK25" s="22"/>
      <c r="AL25" s="22"/>
      <c r="AM25" s="22"/>
      <c r="AN25" s="8">
        <v>58.60822</v>
      </c>
      <c r="AO25" s="9">
        <v>50</v>
      </c>
      <c r="AP25" s="10">
        <v>31.50318</v>
      </c>
      <c r="AQ25" s="11">
        <v>39.78588</v>
      </c>
      <c r="AR25" s="12">
        <v>0.07595825</v>
      </c>
    </row>
    <row r="26" spans="2:44" ht="13.5" customHeight="1" x14ac:dyDescent="0.25">
      <c r="B26" s="120" t="s">
        <v>261</v>
      </c>
      <c r="C26" s="20">
        <v>-81.03299</v>
      </c>
      <c r="D26" s="4">
        <v>-80.02026</v>
      </c>
      <c r="E26" s="4">
        <v>103.1286</v>
      </c>
      <c r="F26" s="4">
        <v>0.08029514</v>
      </c>
      <c r="G26" s="4">
        <v>9.144592E-05</v>
      </c>
      <c r="H26" s="4"/>
      <c r="I26" s="4"/>
      <c r="J26" s="4"/>
      <c r="K26" s="4"/>
      <c r="L26" s="5"/>
      <c r="M26" s="20">
        <v>21.74841</v>
      </c>
      <c r="N26" s="4">
        <v>47.40668</v>
      </c>
      <c r="O26" s="4">
        <v>39.5</v>
      </c>
      <c r="P26" s="4">
        <v>22</v>
      </c>
      <c r="Q26" s="4">
        <v>3.345486</v>
      </c>
      <c r="R26" s="4"/>
      <c r="S26" s="21">
        <v>94.92911</v>
      </c>
      <c r="T26" s="21">
        <v>50</v>
      </c>
      <c r="U26" s="21">
        <v>0</v>
      </c>
      <c r="V26" s="21">
        <v>20.51866</v>
      </c>
      <c r="W26" s="21">
        <v>91.89454</v>
      </c>
      <c r="X26" s="21">
        <v>50</v>
      </c>
      <c r="Y26" s="21">
        <v>134.6439</v>
      </c>
      <c r="Z26" s="21">
        <v>18.60171</v>
      </c>
      <c r="AA26" s="21">
        <v>21.1263</v>
      </c>
      <c r="AB26" s="21"/>
      <c r="AC26" s="8"/>
      <c r="AD26" s="8">
        <v>1.548394</v>
      </c>
      <c r="AE26" s="8">
        <v>0.0005096436</v>
      </c>
      <c r="AF26" s="8">
        <v>99.94575</v>
      </c>
      <c r="AG26" s="8">
        <v>43.27618</v>
      </c>
      <c r="AH26" s="8"/>
      <c r="AI26" s="22"/>
      <c r="AJ26" s="22"/>
      <c r="AK26" s="22"/>
      <c r="AL26" s="22"/>
      <c r="AM26" s="22"/>
      <c r="AN26" s="8">
        <v>60.45284</v>
      </c>
      <c r="AO26" s="9">
        <v>50</v>
      </c>
      <c r="AP26" s="10">
        <v>31.22287</v>
      </c>
      <c r="AQ26" s="11">
        <v>39.83652</v>
      </c>
      <c r="AR26" s="12">
        <v>0.07595825</v>
      </c>
    </row>
    <row r="27" spans="2:44" ht="13.5" customHeight="1" x14ac:dyDescent="0.25">
      <c r="B27" s="121">
        <v>4.1666666666666664E-2</v>
      </c>
      <c r="C27" s="20">
        <v>-81.11979</v>
      </c>
      <c r="D27" s="4">
        <v>-79.99855</v>
      </c>
      <c r="E27" s="4">
        <v>103.1286</v>
      </c>
      <c r="F27" s="4">
        <v>0.09707755</v>
      </c>
      <c r="G27" s="4">
        <v>9.100342E-05</v>
      </c>
      <c r="H27" s="4"/>
      <c r="I27" s="4"/>
      <c r="J27" s="4"/>
      <c r="K27" s="4"/>
      <c r="L27" s="5"/>
      <c r="M27" s="20">
        <v>21.21311</v>
      </c>
      <c r="N27" s="4">
        <v>45.23293</v>
      </c>
      <c r="O27" s="4">
        <v>39.5</v>
      </c>
      <c r="P27" s="4">
        <v>22</v>
      </c>
      <c r="Q27" s="4">
        <v>3.317708</v>
      </c>
      <c r="R27" s="4"/>
      <c r="S27" s="21">
        <v>92.09708</v>
      </c>
      <c r="T27" s="21">
        <v>50</v>
      </c>
      <c r="U27" s="21">
        <v>0</v>
      </c>
      <c r="V27" s="21">
        <v>22.97635</v>
      </c>
      <c r="W27" s="21">
        <v>81.11437</v>
      </c>
      <c r="X27" s="21">
        <v>50</v>
      </c>
      <c r="Y27" s="21">
        <v>134.7897</v>
      </c>
      <c r="Z27" s="21">
        <v>18.12609</v>
      </c>
      <c r="AA27" s="21">
        <v>20.42643</v>
      </c>
      <c r="AB27" s="21"/>
      <c r="AC27" s="8"/>
      <c r="AD27" s="8">
        <v>0</v>
      </c>
      <c r="AE27" s="8">
        <v>0.0007973633</v>
      </c>
      <c r="AF27" s="8">
        <v>99.94213</v>
      </c>
      <c r="AG27" s="8">
        <v>0</v>
      </c>
      <c r="AH27" s="8"/>
      <c r="AI27" s="22"/>
      <c r="AJ27" s="22"/>
      <c r="AK27" s="22"/>
      <c r="AL27" s="22"/>
      <c r="AM27" s="22"/>
      <c r="AN27" s="8">
        <v>59.77286</v>
      </c>
      <c r="AO27" s="9">
        <v>50</v>
      </c>
      <c r="AP27" s="10">
        <v>30.93352</v>
      </c>
      <c r="AQ27" s="11">
        <v>39.84375</v>
      </c>
      <c r="AR27" s="12">
        <v>0.09766388</v>
      </c>
    </row>
    <row r="28" spans="2:44" ht="13.5" customHeight="1" x14ac:dyDescent="0.25">
      <c r="B28" s="120" t="s">
        <v>262</v>
      </c>
      <c r="C28" s="20">
        <v>-80.10706</v>
      </c>
      <c r="D28" s="4">
        <v>-78.94242</v>
      </c>
      <c r="E28" s="4">
        <v>103.1358</v>
      </c>
      <c r="F28" s="4">
        <v>0.1184172</v>
      </c>
      <c r="G28" s="4">
        <v>9.054565E-05</v>
      </c>
      <c r="H28" s="4"/>
      <c r="I28" s="4"/>
      <c r="J28" s="4"/>
      <c r="K28" s="4"/>
      <c r="L28" s="5"/>
      <c r="M28" s="20">
        <v>20.70674</v>
      </c>
      <c r="N28" s="4">
        <v>44.23828</v>
      </c>
      <c r="O28" s="4">
        <v>39.5</v>
      </c>
      <c r="P28" s="4">
        <v>22</v>
      </c>
      <c r="Q28" s="4">
        <v>3.232639</v>
      </c>
      <c r="R28" s="4"/>
      <c r="S28" s="21">
        <v>92.79514</v>
      </c>
      <c r="T28" s="21">
        <v>50</v>
      </c>
      <c r="U28" s="21">
        <v>0</v>
      </c>
      <c r="V28" s="21">
        <v>23.64366</v>
      </c>
      <c r="W28" s="21">
        <v>77.29492</v>
      </c>
      <c r="X28" s="21">
        <v>45</v>
      </c>
      <c r="Y28" s="21">
        <v>120.9984</v>
      </c>
      <c r="Z28" s="21">
        <v>17.30686</v>
      </c>
      <c r="AA28" s="21">
        <v>19.81879</v>
      </c>
      <c r="AB28" s="21"/>
      <c r="AC28" s="8"/>
      <c r="AD28" s="8">
        <v>1.548394</v>
      </c>
      <c r="AE28" s="8">
        <v>0.0003040771</v>
      </c>
      <c r="AF28" s="8">
        <v>99.94213</v>
      </c>
      <c r="AG28" s="8">
        <v>35.19603</v>
      </c>
      <c r="AH28" s="8"/>
      <c r="AI28" s="22"/>
      <c r="AJ28" s="22"/>
      <c r="AK28" s="22"/>
      <c r="AL28" s="22"/>
      <c r="AM28" s="22"/>
      <c r="AN28" s="8">
        <v>57.28443</v>
      </c>
      <c r="AO28" s="9">
        <v>50</v>
      </c>
      <c r="AP28" s="10">
        <v>30.5447</v>
      </c>
      <c r="AQ28" s="11">
        <v>39.85098</v>
      </c>
      <c r="AR28" s="12">
        <v>0.09766388</v>
      </c>
    </row>
    <row r="29" spans="2:44" ht="13.5" customHeight="1" x14ac:dyDescent="0.25">
      <c r="B29" s="121">
        <v>0.125</v>
      </c>
      <c r="C29" s="20">
        <v>-79.57899</v>
      </c>
      <c r="D29" s="4">
        <v>-78.34201</v>
      </c>
      <c r="E29" s="4">
        <v>103.1358</v>
      </c>
      <c r="F29" s="4">
        <v>0.1155237</v>
      </c>
      <c r="G29" s="4">
        <v>8.850098E-05</v>
      </c>
      <c r="H29" s="4"/>
      <c r="I29" s="4"/>
      <c r="J29" s="4"/>
      <c r="K29" s="4"/>
      <c r="L29" s="5"/>
      <c r="M29" s="20">
        <v>20.23293</v>
      </c>
      <c r="N29" s="4">
        <v>43.61617</v>
      </c>
      <c r="O29" s="4">
        <v>39.5</v>
      </c>
      <c r="P29" s="4">
        <v>22</v>
      </c>
      <c r="Q29" s="4">
        <v>3.200521</v>
      </c>
      <c r="R29" s="4"/>
      <c r="S29" s="21">
        <v>92.47685</v>
      </c>
      <c r="T29" s="21">
        <v>50</v>
      </c>
      <c r="U29" s="21">
        <v>0</v>
      </c>
      <c r="V29" s="21">
        <v>23.00347</v>
      </c>
      <c r="W29" s="21">
        <v>75.16277</v>
      </c>
      <c r="X29" s="21">
        <v>40</v>
      </c>
      <c r="Y29" s="21">
        <v>107.5828</v>
      </c>
      <c r="Z29" s="21">
        <v>17.24175</v>
      </c>
      <c r="AA29" s="21">
        <v>20.17144</v>
      </c>
      <c r="AB29" s="21"/>
      <c r="AC29" s="8"/>
      <c r="AD29" s="8">
        <v>1.548286</v>
      </c>
      <c r="AE29" s="8">
        <v>0.0009144287</v>
      </c>
      <c r="AF29" s="8">
        <v>99.94575</v>
      </c>
      <c r="AG29" s="8">
        <v>20.81525</v>
      </c>
      <c r="AH29" s="8"/>
      <c r="AI29" s="22"/>
      <c r="AJ29" s="22"/>
      <c r="AK29" s="22"/>
      <c r="AL29" s="22"/>
      <c r="AM29" s="22"/>
      <c r="AN29" s="8">
        <v>55.59172</v>
      </c>
      <c r="AO29" s="9">
        <v>50</v>
      </c>
      <c r="AP29" s="10">
        <v>30.03834</v>
      </c>
      <c r="AQ29" s="11">
        <v>39.63035</v>
      </c>
      <c r="AR29" s="12">
        <v>0.1085129</v>
      </c>
    </row>
    <row r="30" spans="2:44" ht="13.5" customHeight="1" x14ac:dyDescent="0.25">
      <c r="B30" s="121">
        <v>0.16666666666666666</v>
      </c>
      <c r="C30" s="20">
        <v>-80.91724</v>
      </c>
      <c r="D30" s="4">
        <v>-79.81047</v>
      </c>
      <c r="E30" s="4">
        <v>103.1322</v>
      </c>
      <c r="F30" s="4">
        <v>0.1371528</v>
      </c>
      <c r="G30" s="4">
        <v>9.199524E-05</v>
      </c>
      <c r="H30" s="4"/>
      <c r="I30" s="4"/>
      <c r="J30" s="4"/>
      <c r="K30" s="4"/>
      <c r="L30" s="5"/>
      <c r="M30" s="20">
        <v>20.00868</v>
      </c>
      <c r="N30" s="4">
        <v>42.75174</v>
      </c>
      <c r="O30" s="4">
        <v>39.5</v>
      </c>
      <c r="P30" s="4">
        <v>22</v>
      </c>
      <c r="Q30" s="4">
        <v>3.38151</v>
      </c>
      <c r="R30" s="4"/>
      <c r="S30" s="21">
        <v>93.00854</v>
      </c>
      <c r="T30" s="21">
        <v>50</v>
      </c>
      <c r="U30" s="21">
        <v>0</v>
      </c>
      <c r="V30" s="21">
        <v>23.13911</v>
      </c>
      <c r="W30" s="21">
        <v>68.96159</v>
      </c>
      <c r="X30" s="21">
        <v>40</v>
      </c>
      <c r="Y30" s="21">
        <v>107.7174</v>
      </c>
      <c r="Z30" s="21">
        <v>17.0157</v>
      </c>
      <c r="AA30" s="21">
        <v>19.90018</v>
      </c>
      <c r="AB30" s="21"/>
      <c r="AC30" s="8"/>
      <c r="AD30" s="8">
        <v>0</v>
      </c>
      <c r="AE30" s="8">
        <v>0.0006652832</v>
      </c>
      <c r="AF30" s="8">
        <v>99.94575</v>
      </c>
      <c r="AG30" s="8">
        <v>40.40799</v>
      </c>
      <c r="AH30" s="8"/>
      <c r="AI30" s="22"/>
      <c r="AJ30" s="22"/>
      <c r="AK30" s="22"/>
      <c r="AL30" s="22"/>
      <c r="AM30" s="22"/>
      <c r="AN30" s="8">
        <v>53.19734</v>
      </c>
      <c r="AO30" s="9">
        <v>50</v>
      </c>
      <c r="AP30" s="10">
        <v>29.92983</v>
      </c>
      <c r="AQ30" s="11">
        <v>39.45312</v>
      </c>
      <c r="AR30" s="12">
        <v>0.08680725</v>
      </c>
    </row>
    <row r="31" spans="2:44" ht="13.5" customHeight="1" x14ac:dyDescent="0.25">
      <c r="B31" s="121">
        <v>0.20833333333333334</v>
      </c>
      <c r="C31" s="20">
        <v>-79.78877</v>
      </c>
      <c r="D31" s="4">
        <v>-78.6603</v>
      </c>
      <c r="E31" s="4">
        <v>103.1286</v>
      </c>
      <c r="F31" s="4">
        <v>0.07761864</v>
      </c>
      <c r="G31" s="4">
        <v>9.092713E-05</v>
      </c>
      <c r="H31" s="4"/>
      <c r="I31" s="4"/>
      <c r="J31" s="4"/>
      <c r="K31" s="4"/>
      <c r="L31" s="5"/>
      <c r="M31" s="20">
        <v>20.12442</v>
      </c>
      <c r="N31" s="4">
        <v>42.62514</v>
      </c>
      <c r="O31" s="4">
        <v>39.5</v>
      </c>
      <c r="P31" s="4">
        <v>22</v>
      </c>
      <c r="Q31" s="4">
        <v>3.345052</v>
      </c>
      <c r="R31" s="4"/>
      <c r="S31" s="21">
        <v>92.28154</v>
      </c>
      <c r="T31" s="21">
        <v>50</v>
      </c>
      <c r="U31" s="21">
        <v>0</v>
      </c>
      <c r="V31" s="21">
        <v>23.56771</v>
      </c>
      <c r="W31" s="21">
        <v>61.17079</v>
      </c>
      <c r="X31" s="21">
        <v>36</v>
      </c>
      <c r="Y31" s="21">
        <v>96.36484</v>
      </c>
      <c r="Z31" s="21">
        <v>16.80773</v>
      </c>
      <c r="AA31" s="21">
        <v>19.87847</v>
      </c>
      <c r="AB31" s="21"/>
      <c r="AC31" s="8"/>
      <c r="AD31" s="8">
        <v>0</v>
      </c>
      <c r="AE31" s="8">
        <v>0.001305542</v>
      </c>
      <c r="AF31" s="8">
        <v>99.94575</v>
      </c>
      <c r="AG31" s="8">
        <v>14.45674</v>
      </c>
      <c r="AH31" s="8"/>
      <c r="AI31" s="22"/>
      <c r="AJ31" s="22"/>
      <c r="AK31" s="22"/>
      <c r="AL31" s="22"/>
      <c r="AM31" s="22"/>
      <c r="AN31" s="8">
        <v>50.54977</v>
      </c>
      <c r="AO31" s="9">
        <v>50</v>
      </c>
      <c r="AP31" s="10">
        <v>29.86654</v>
      </c>
      <c r="AQ31" s="11">
        <v>39.6846</v>
      </c>
      <c r="AR31" s="12">
        <v>0.08680725</v>
      </c>
    </row>
    <row r="32" spans="2:44" ht="13.5" customHeight="1" x14ac:dyDescent="0.25">
      <c r="B32" s="121">
        <v>0.25</v>
      </c>
      <c r="C32" s="20">
        <v>-79.71644</v>
      </c>
      <c r="D32" s="4">
        <v>-78.56626</v>
      </c>
      <c r="E32" s="4">
        <v>103.1286</v>
      </c>
      <c r="F32" s="4">
        <v>0.09512442</v>
      </c>
      <c r="G32" s="4">
        <v>9.136963E-05</v>
      </c>
      <c r="H32" s="4"/>
      <c r="I32" s="4"/>
      <c r="J32" s="4"/>
      <c r="K32" s="4"/>
      <c r="L32" s="5"/>
      <c r="M32" s="20">
        <v>20.11357</v>
      </c>
      <c r="N32" s="4">
        <v>42.41536</v>
      </c>
      <c r="O32" s="4">
        <v>39.5</v>
      </c>
      <c r="P32" s="4">
        <v>22</v>
      </c>
      <c r="Q32" s="4">
        <v>3.119358</v>
      </c>
      <c r="R32" s="4">
        <v>19.62529</v>
      </c>
      <c r="S32" s="21">
        <v>93.5366</v>
      </c>
      <c r="T32" s="21">
        <v>50</v>
      </c>
      <c r="U32" s="21">
        <v>0</v>
      </c>
      <c r="V32" s="21">
        <v>23.34527</v>
      </c>
      <c r="W32" s="21">
        <v>60.76389</v>
      </c>
      <c r="X32" s="21">
        <v>50</v>
      </c>
      <c r="Y32" s="21">
        <v>134.9747</v>
      </c>
      <c r="Z32" s="21">
        <v>16.57444</v>
      </c>
      <c r="AA32" s="21">
        <v>19.5638</v>
      </c>
      <c r="AB32" s="21"/>
      <c r="AC32" s="8"/>
      <c r="AD32" s="8">
        <v>0</v>
      </c>
      <c r="AE32" s="8">
        <v>0.0005524902</v>
      </c>
      <c r="AF32" s="8">
        <v>99.94575</v>
      </c>
      <c r="AG32" s="8">
        <v>78.82306</v>
      </c>
      <c r="AH32" s="8"/>
      <c r="AI32" s="22"/>
      <c r="AJ32" s="22"/>
      <c r="AK32" s="22"/>
      <c r="AL32" s="22"/>
      <c r="AM32" s="22"/>
      <c r="AN32" s="8">
        <v>48.34346</v>
      </c>
      <c r="AO32" s="9">
        <v>50</v>
      </c>
      <c r="AP32" s="10">
        <v>29.64048</v>
      </c>
      <c r="AQ32" s="11">
        <v>39.70269</v>
      </c>
      <c r="AR32" s="12">
        <v>0.07595825</v>
      </c>
    </row>
    <row r="33" spans="2:44" ht="13.5" customHeight="1" x14ac:dyDescent="0.25">
      <c r="B33" s="121">
        <v>0.29166666666666669</v>
      </c>
      <c r="C33" s="20">
        <v>-79.00752</v>
      </c>
      <c r="D33" s="4">
        <v>-77.91522</v>
      </c>
      <c r="E33" s="4">
        <v>103.1286</v>
      </c>
      <c r="F33" s="4">
        <v>0.1248553</v>
      </c>
      <c r="G33" s="4">
        <v>9.008789E-05</v>
      </c>
      <c r="H33" s="4"/>
      <c r="I33" s="4"/>
      <c r="J33" s="4"/>
      <c r="K33" s="4"/>
      <c r="L33" s="5"/>
      <c r="M33" s="20">
        <v>20.02315</v>
      </c>
      <c r="N33" s="4">
        <v>42.4443</v>
      </c>
      <c r="O33" s="4">
        <v>39.5</v>
      </c>
      <c r="P33" s="4">
        <v>22</v>
      </c>
      <c r="Q33" s="4">
        <v>3.333333</v>
      </c>
      <c r="R33" s="4">
        <v>18.9851</v>
      </c>
      <c r="S33" s="21">
        <v>92.82407</v>
      </c>
      <c r="T33" s="21">
        <v>50</v>
      </c>
      <c r="U33" s="21">
        <v>0</v>
      </c>
      <c r="V33" s="21">
        <v>21.21853</v>
      </c>
      <c r="W33" s="21">
        <v>62.61393</v>
      </c>
      <c r="X33" s="21">
        <v>45</v>
      </c>
      <c r="Y33" s="21">
        <v>121.9235</v>
      </c>
      <c r="Z33" s="21">
        <v>16.36104</v>
      </c>
      <c r="AA33" s="21">
        <v>19.05382</v>
      </c>
      <c r="AB33" s="21"/>
      <c r="AC33" s="8"/>
      <c r="AD33" s="8">
        <v>0</v>
      </c>
      <c r="AE33" s="8">
        <v>0.0001865234</v>
      </c>
      <c r="AF33" s="8">
        <v>99.94575</v>
      </c>
      <c r="AG33" s="8">
        <v>18.32682</v>
      </c>
      <c r="AH33" s="8"/>
      <c r="AI33" s="22"/>
      <c r="AJ33" s="22"/>
      <c r="AK33" s="22"/>
      <c r="AL33" s="22"/>
      <c r="AM33" s="22"/>
      <c r="AN33" s="8">
        <v>53.31308</v>
      </c>
      <c r="AO33" s="9">
        <v>50</v>
      </c>
      <c r="AP33" s="10">
        <v>29.48676</v>
      </c>
      <c r="AQ33" s="11">
        <v>39.61227</v>
      </c>
      <c r="AR33" s="12">
        <v>0.08680725</v>
      </c>
    </row>
    <row r="34" spans="2:44" ht="13.5" customHeight="1" x14ac:dyDescent="0.25">
      <c r="B34" s="121">
        <v>0.33333333333333331</v>
      </c>
      <c r="C34" s="100">
        <v>-80.88107</v>
      </c>
      <c r="D34" s="98">
        <v>-79.96239</v>
      </c>
      <c r="E34" s="98">
        <v>103.1286</v>
      </c>
      <c r="F34" s="98">
        <v>0.04376447</v>
      </c>
      <c r="G34" s="98">
        <v>8.863831E-05</v>
      </c>
      <c r="H34" s="98"/>
      <c r="I34" s="98"/>
      <c r="J34" s="98"/>
      <c r="K34" s="98"/>
      <c r="L34" s="99"/>
      <c r="M34" s="100">
        <v>19.0502</v>
      </c>
      <c r="N34" s="98">
        <v>42.47685</v>
      </c>
      <c r="O34" s="98">
        <v>39.5</v>
      </c>
      <c r="P34" s="98">
        <v>22</v>
      </c>
      <c r="Q34" s="98">
        <v>3.240451</v>
      </c>
      <c r="R34" s="98">
        <v>18.64873</v>
      </c>
      <c r="S34" s="101">
        <v>95.13527</v>
      </c>
      <c r="T34" s="101">
        <v>50</v>
      </c>
      <c r="U34" s="101">
        <v>0</v>
      </c>
      <c r="V34" s="101">
        <v>23.25846</v>
      </c>
      <c r="W34" s="101">
        <v>56.74371</v>
      </c>
      <c r="X34" s="101">
        <v>34</v>
      </c>
      <c r="Y34" s="101">
        <v>90.37743</v>
      </c>
      <c r="Z34" s="101">
        <v>15.88723</v>
      </c>
      <c r="AA34" s="101">
        <v>18.60352</v>
      </c>
      <c r="AB34" s="101"/>
      <c r="AC34" s="102"/>
      <c r="AD34" s="102">
        <v>0.04616971</v>
      </c>
      <c r="AE34" s="102">
        <v>9.033203E-05</v>
      </c>
      <c r="AF34" s="102">
        <v>99.94936</v>
      </c>
      <c r="AG34" s="102">
        <v>18.57277</v>
      </c>
      <c r="AH34" s="102"/>
      <c r="AI34" s="103"/>
      <c r="AJ34" s="103"/>
      <c r="AK34" s="103"/>
      <c r="AL34" s="103"/>
      <c r="AM34" s="103"/>
      <c r="AN34" s="102">
        <v>50.5353</v>
      </c>
      <c r="AO34" s="104">
        <v>50</v>
      </c>
      <c r="AP34" s="105">
        <v>29.47772</v>
      </c>
      <c r="AQ34" s="106">
        <v>39.48568</v>
      </c>
      <c r="AR34" s="19">
        <v>0.09766388</v>
      </c>
    </row>
    <row r="35" spans="2:44" ht="15" customHeight="1" x14ac:dyDescent="0.25">
      <c r="B35" s="143" t="s">
        <v>174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209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216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264</v>
      </c>
      <c r="I36" s="127"/>
      <c r="J36" s="86" t="s">
        <v>25</v>
      </c>
      <c r="K36" s="86" t="s">
        <v>28</v>
      </c>
      <c r="L36" s="86" t="s">
        <v>184</v>
      </c>
      <c r="M36" s="124" t="s">
        <v>185</v>
      </c>
      <c r="N36" s="124"/>
      <c r="O36" s="86" t="s">
        <v>24</v>
      </c>
      <c r="P36" s="86" t="s">
        <v>190</v>
      </c>
      <c r="Q36" s="128" t="s">
        <v>192</v>
      </c>
      <c r="R36" s="128"/>
      <c r="S36" s="128" t="s">
        <v>195</v>
      </c>
      <c r="T36" s="128"/>
      <c r="U36" s="128" t="s">
        <v>194</v>
      </c>
      <c r="V36" s="128"/>
      <c r="W36" s="87" t="s">
        <v>15</v>
      </c>
      <c r="X36" s="86" t="s">
        <v>12</v>
      </c>
      <c r="Y36" s="88" t="s">
        <v>197</v>
      </c>
      <c r="Z36" s="88" t="s">
        <v>198</v>
      </c>
      <c r="AA36" s="88" t="s">
        <v>199</v>
      </c>
      <c r="AB36" s="89" t="s">
        <v>200</v>
      </c>
      <c r="AC36" s="88" t="s">
        <v>201</v>
      </c>
      <c r="AD36" s="88" t="s">
        <v>203</v>
      </c>
      <c r="AE36" s="88" t="s">
        <v>204</v>
      </c>
      <c r="AF36" s="89" t="s">
        <v>205</v>
      </c>
      <c r="AG36" s="71" t="s">
        <v>206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217</v>
      </c>
      <c r="AN36" s="75" t="s">
        <v>218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179</v>
      </c>
      <c r="D37" s="86" t="s">
        <v>180</v>
      </c>
      <c r="E37" s="86" t="s">
        <v>32</v>
      </c>
      <c r="F37" s="86" t="s">
        <v>181</v>
      </c>
      <c r="G37" s="86" t="s">
        <v>182</v>
      </c>
      <c r="H37" s="86" t="s">
        <v>265</v>
      </c>
      <c r="I37" s="86" t="s">
        <v>266</v>
      </c>
      <c r="J37" s="86" t="s">
        <v>23</v>
      </c>
      <c r="K37" s="86" t="s">
        <v>29</v>
      </c>
      <c r="L37" s="83" t="s">
        <v>27</v>
      </c>
      <c r="M37" s="89" t="s">
        <v>186</v>
      </c>
      <c r="N37" s="89" t="s">
        <v>187</v>
      </c>
      <c r="O37" s="83" t="s">
        <v>26</v>
      </c>
      <c r="P37" s="83" t="s">
        <v>355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356</v>
      </c>
      <c r="AB37" s="88" t="s">
        <v>357</v>
      </c>
      <c r="AC37" s="88" t="s">
        <v>202</v>
      </c>
      <c r="AD37" s="86" t="s">
        <v>40</v>
      </c>
      <c r="AE37" s="87" t="s">
        <v>358</v>
      </c>
      <c r="AF37" s="88" t="s">
        <v>359</v>
      </c>
      <c r="AG37" s="71" t="s">
        <v>207</v>
      </c>
      <c r="AH37" s="71" t="s">
        <v>210</v>
      </c>
      <c r="AI37" s="71" t="s">
        <v>211</v>
      </c>
      <c r="AJ37" s="71" t="s">
        <v>212</v>
      </c>
      <c r="AK37" s="71" t="s">
        <v>214</v>
      </c>
      <c r="AL37" s="71" t="s">
        <v>215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175</v>
      </c>
      <c r="D38" s="74" t="s">
        <v>176</v>
      </c>
      <c r="E38" s="72" t="s">
        <v>178</v>
      </c>
      <c r="F38" s="94" t="s">
        <v>175</v>
      </c>
      <c r="G38" s="74" t="s">
        <v>176</v>
      </c>
      <c r="H38" s="94" t="s">
        <v>267</v>
      </c>
      <c r="I38" s="74" t="s">
        <v>176</v>
      </c>
      <c r="J38" s="72" t="s">
        <v>178</v>
      </c>
      <c r="K38" s="77" t="s">
        <v>183</v>
      </c>
      <c r="L38" s="72" t="s">
        <v>178</v>
      </c>
      <c r="M38" s="77" t="s">
        <v>278</v>
      </c>
      <c r="N38" s="77" t="s">
        <v>279</v>
      </c>
      <c r="O38" s="72" t="s">
        <v>178</v>
      </c>
      <c r="P38" s="77" t="s">
        <v>191</v>
      </c>
      <c r="Q38" s="72" t="s">
        <v>193</v>
      </c>
      <c r="R38" s="74" t="s">
        <v>176</v>
      </c>
      <c r="S38" s="72" t="s">
        <v>193</v>
      </c>
      <c r="T38" s="74" t="s">
        <v>176</v>
      </c>
      <c r="U38" s="72" t="s">
        <v>193</v>
      </c>
      <c r="V38" s="74" t="s">
        <v>176</v>
      </c>
      <c r="W38" s="95" t="s">
        <v>196</v>
      </c>
      <c r="X38" s="89" t="s">
        <v>177</v>
      </c>
      <c r="Y38" s="88" t="s">
        <v>183</v>
      </c>
      <c r="Z38" s="89" t="s">
        <v>188</v>
      </c>
      <c r="AA38" s="89" t="s">
        <v>177</v>
      </c>
      <c r="AB38" s="89" t="s">
        <v>177</v>
      </c>
      <c r="AC38" s="88" t="s">
        <v>183</v>
      </c>
      <c r="AD38" s="89" t="s">
        <v>188</v>
      </c>
      <c r="AE38" s="89" t="s">
        <v>177</v>
      </c>
      <c r="AF38" s="89" t="s">
        <v>177</v>
      </c>
      <c r="AG38" s="71" t="s">
        <v>208</v>
      </c>
      <c r="AH38" s="95" t="s">
        <v>196</v>
      </c>
      <c r="AI38" s="89" t="s">
        <v>188</v>
      </c>
      <c r="AJ38" s="89" t="s">
        <v>189</v>
      </c>
      <c r="AK38" s="71" t="s">
        <v>196</v>
      </c>
      <c r="AL38" s="71" t="s">
        <v>213</v>
      </c>
      <c r="AM38" s="75" t="s">
        <v>196</v>
      </c>
      <c r="AN38" s="75" t="s">
        <v>196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29.01476</v>
      </c>
      <c r="F39" s="107"/>
      <c r="G39" s="107"/>
      <c r="H39" s="107">
        <v>0</v>
      </c>
      <c r="I39" s="107"/>
      <c r="J39" s="107">
        <v>33.3478</v>
      </c>
      <c r="K39" s="107">
        <v>40</v>
      </c>
      <c r="L39" s="107">
        <v>31.99146</v>
      </c>
      <c r="M39" s="107">
        <v>0</v>
      </c>
      <c r="N39" s="107"/>
      <c r="O39" s="107">
        <v>36.06952</v>
      </c>
      <c r="P39" s="107">
        <v>0.05</v>
      </c>
      <c r="Q39" s="107">
        <v>0.2231626</v>
      </c>
      <c r="R39" s="107"/>
      <c r="S39" s="107">
        <v>0</v>
      </c>
      <c r="T39" s="107"/>
      <c r="U39" s="108">
        <v>0</v>
      </c>
      <c r="V39" s="109"/>
      <c r="W39" s="110">
        <v>98.09389</v>
      </c>
      <c r="X39" s="108">
        <v>19.99059</v>
      </c>
      <c r="Y39" s="108">
        <v>50</v>
      </c>
      <c r="Z39" s="108">
        <v>0</v>
      </c>
      <c r="AA39" s="108">
        <v>15.80404</v>
      </c>
      <c r="AB39" s="108">
        <v>18.54926</v>
      </c>
      <c r="AC39" s="108">
        <v>50</v>
      </c>
      <c r="AD39" s="108">
        <v>123.776</v>
      </c>
      <c r="AE39" s="111">
        <v>34.50702</v>
      </c>
      <c r="AF39" s="111">
        <v>59.76563</v>
      </c>
      <c r="AG39" s="111"/>
      <c r="AH39" s="111">
        <v>0</v>
      </c>
      <c r="AI39" s="111">
        <v>0</v>
      </c>
      <c r="AJ39" s="111"/>
      <c r="AK39" s="111">
        <v>60.86155</v>
      </c>
      <c r="AL39" s="112">
        <v>51.26158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1.560211E-06</v>
      </c>
      <c r="E40" s="4">
        <v>29.24624</v>
      </c>
      <c r="F40" s="4"/>
      <c r="G40" s="4"/>
      <c r="H40" s="4">
        <v>0.2218967</v>
      </c>
      <c r="I40" s="4">
        <v>0.1038465</v>
      </c>
      <c r="J40" s="4">
        <v>33.44727</v>
      </c>
      <c r="K40" s="4">
        <v>40</v>
      </c>
      <c r="L40" s="4">
        <v>31.99146</v>
      </c>
      <c r="M40" s="4">
        <v>0</v>
      </c>
      <c r="N40" s="4">
        <v>0</v>
      </c>
      <c r="O40" s="4">
        <v>35.75304</v>
      </c>
      <c r="P40" s="4">
        <v>0.05</v>
      </c>
      <c r="Q40" s="4">
        <v>0.2056568</v>
      </c>
      <c r="R40" s="4">
        <v>0.0002089844</v>
      </c>
      <c r="S40" s="4">
        <v>0</v>
      </c>
      <c r="T40" s="4">
        <v>0</v>
      </c>
      <c r="U40" s="21">
        <v>0</v>
      </c>
      <c r="V40" s="29">
        <v>0</v>
      </c>
      <c r="W40" s="30">
        <v>93.59086</v>
      </c>
      <c r="X40" s="21">
        <v>21.26013</v>
      </c>
      <c r="Y40" s="21">
        <v>50</v>
      </c>
      <c r="Z40" s="21">
        <v>123.8759</v>
      </c>
      <c r="AA40" s="21">
        <v>16.7806</v>
      </c>
      <c r="AB40" s="21">
        <v>20.20399</v>
      </c>
      <c r="AC40" s="21">
        <v>50</v>
      </c>
      <c r="AD40" s="21">
        <v>123.7717</v>
      </c>
      <c r="AE40" s="8">
        <v>35.04412</v>
      </c>
      <c r="AF40" s="8">
        <v>58.04579</v>
      </c>
      <c r="AG40" s="8"/>
      <c r="AH40" s="8">
        <v>0</v>
      </c>
      <c r="AI40" s="8">
        <v>0</v>
      </c>
      <c r="AJ40" s="8">
        <v>0</v>
      </c>
      <c r="AK40" s="8">
        <v>60.86878</v>
      </c>
      <c r="AL40" s="9">
        <v>50.87384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260</v>
      </c>
      <c r="C41" s="20">
        <v>0</v>
      </c>
      <c r="D41" s="4">
        <v>7.43866E-08</v>
      </c>
      <c r="E41" s="4">
        <v>29.52112</v>
      </c>
      <c r="F41" s="4"/>
      <c r="G41" s="4"/>
      <c r="H41" s="4">
        <v>0</v>
      </c>
      <c r="I41" s="4">
        <v>0.1455975</v>
      </c>
      <c r="J41" s="4">
        <v>33.51056</v>
      </c>
      <c r="K41" s="4">
        <v>40</v>
      </c>
      <c r="L41" s="4">
        <v>31.88296</v>
      </c>
      <c r="M41" s="4">
        <v>0</v>
      </c>
      <c r="N41" s="4">
        <v>0</v>
      </c>
      <c r="O41" s="4">
        <v>35.39135</v>
      </c>
      <c r="P41" s="4">
        <v>0.05</v>
      </c>
      <c r="Q41" s="4">
        <v>0.2110822</v>
      </c>
      <c r="R41" s="4">
        <v>0.0002095337</v>
      </c>
      <c r="S41" s="4">
        <v>0</v>
      </c>
      <c r="T41" s="4">
        <v>0</v>
      </c>
      <c r="U41" s="21">
        <v>0</v>
      </c>
      <c r="V41" s="29">
        <v>0</v>
      </c>
      <c r="W41" s="30">
        <v>92.00665</v>
      </c>
      <c r="X41" s="21">
        <v>20.65249</v>
      </c>
      <c r="Y41" s="21">
        <v>50</v>
      </c>
      <c r="Z41" s="21">
        <v>123.8759</v>
      </c>
      <c r="AA41" s="21">
        <v>18.7934</v>
      </c>
      <c r="AB41" s="21">
        <v>21.13715</v>
      </c>
      <c r="AC41" s="21">
        <v>50</v>
      </c>
      <c r="AD41" s="21">
        <v>123.776</v>
      </c>
      <c r="AE41" s="8">
        <v>22.23488</v>
      </c>
      <c r="AF41" s="8">
        <v>79.48676</v>
      </c>
      <c r="AG41" s="8"/>
      <c r="AH41" s="8">
        <v>0</v>
      </c>
      <c r="AI41" s="8">
        <v>0</v>
      </c>
      <c r="AJ41" s="8">
        <v>0</v>
      </c>
      <c r="AK41" s="8">
        <v>60.84346</v>
      </c>
      <c r="AL41" s="9">
        <v>50.45428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1.052856E-06</v>
      </c>
      <c r="E42" s="4">
        <v>29.7309</v>
      </c>
      <c r="F42" s="4"/>
      <c r="G42" s="4"/>
      <c r="H42" s="4">
        <v>0.4691117</v>
      </c>
      <c r="I42" s="4">
        <v>0.3293428</v>
      </c>
      <c r="J42" s="4">
        <v>33.44727</v>
      </c>
      <c r="K42" s="4">
        <v>40</v>
      </c>
      <c r="L42" s="4">
        <v>31.6569</v>
      </c>
      <c r="M42" s="4">
        <v>0</v>
      </c>
      <c r="N42" s="4">
        <v>0</v>
      </c>
      <c r="O42" s="4">
        <v>35.01157</v>
      </c>
      <c r="P42" s="4">
        <v>0.05</v>
      </c>
      <c r="Q42" s="4">
        <v>0.2104311</v>
      </c>
      <c r="R42" s="4">
        <v>0.0002108765</v>
      </c>
      <c r="S42" s="4">
        <v>0</v>
      </c>
      <c r="T42" s="4">
        <v>0</v>
      </c>
      <c r="U42" s="21">
        <v>0</v>
      </c>
      <c r="V42" s="29">
        <v>0</v>
      </c>
      <c r="W42" s="30">
        <v>89.47121</v>
      </c>
      <c r="X42" s="21">
        <v>20.76461</v>
      </c>
      <c r="Y42" s="21">
        <v>50</v>
      </c>
      <c r="Z42" s="21">
        <v>123.8802</v>
      </c>
      <c r="AA42" s="21">
        <v>18.66862</v>
      </c>
      <c r="AB42" s="21">
        <v>20.96354</v>
      </c>
      <c r="AC42" s="21">
        <v>50</v>
      </c>
      <c r="AD42" s="21">
        <v>123.776</v>
      </c>
      <c r="AE42" s="8">
        <v>19.83145</v>
      </c>
      <c r="AF42" s="8">
        <v>21.03407</v>
      </c>
      <c r="AG42" s="8"/>
      <c r="AH42" s="8">
        <v>0</v>
      </c>
      <c r="AI42" s="8">
        <v>0</v>
      </c>
      <c r="AJ42" s="8">
        <v>0</v>
      </c>
      <c r="AK42" s="8">
        <v>60.79282</v>
      </c>
      <c r="AL42" s="9">
        <v>50.136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261</v>
      </c>
      <c r="C43" s="20">
        <v>0</v>
      </c>
      <c r="D43" s="4">
        <v>2.496719E-06</v>
      </c>
      <c r="E43" s="4">
        <v>29.89728</v>
      </c>
      <c r="F43" s="4"/>
      <c r="G43" s="4"/>
      <c r="H43" s="4">
        <v>0.4403574</v>
      </c>
      <c r="I43" s="4">
        <v>0.4584017</v>
      </c>
      <c r="J43" s="4">
        <v>33.33876</v>
      </c>
      <c r="K43" s="4">
        <v>40</v>
      </c>
      <c r="L43" s="4">
        <v>31.47606</v>
      </c>
      <c r="M43" s="4">
        <v>0</v>
      </c>
      <c r="N43" s="4">
        <v>0</v>
      </c>
      <c r="O43" s="4">
        <v>34.67701</v>
      </c>
      <c r="P43" s="4">
        <v>0.05</v>
      </c>
      <c r="Q43" s="4">
        <v>0.2003762</v>
      </c>
      <c r="R43" s="4">
        <v>0.0002091675</v>
      </c>
      <c r="S43" s="4">
        <v>0</v>
      </c>
      <c r="T43" s="4">
        <v>0</v>
      </c>
      <c r="U43" s="21">
        <v>0</v>
      </c>
      <c r="V43" s="29">
        <v>0</v>
      </c>
      <c r="W43" s="30">
        <v>95.10995</v>
      </c>
      <c r="X43" s="21">
        <v>18.03385</v>
      </c>
      <c r="Y43" s="21">
        <v>42</v>
      </c>
      <c r="Z43" s="21">
        <v>114.6918</v>
      </c>
      <c r="AA43" s="21">
        <v>20.51866</v>
      </c>
      <c r="AB43" s="21">
        <v>91.89454</v>
      </c>
      <c r="AC43" s="21">
        <v>41.5</v>
      </c>
      <c r="AD43" s="21">
        <v>114.1363</v>
      </c>
      <c r="AE43" s="8">
        <v>18.60171</v>
      </c>
      <c r="AF43" s="8">
        <v>21.1263</v>
      </c>
      <c r="AG43" s="8"/>
      <c r="AH43" s="8">
        <v>0</v>
      </c>
      <c r="AI43" s="8">
        <v>0</v>
      </c>
      <c r="AJ43" s="8">
        <v>0</v>
      </c>
      <c r="AK43" s="8">
        <v>60.76389</v>
      </c>
      <c r="AL43" s="9">
        <v>49.83218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8.275986E-06</v>
      </c>
      <c r="E44" s="4">
        <v>30.03472</v>
      </c>
      <c r="F44" s="4"/>
      <c r="G44" s="4"/>
      <c r="H44" s="4">
        <v>0.3918909</v>
      </c>
      <c r="I44" s="4">
        <v>0.4162655</v>
      </c>
      <c r="J44" s="4">
        <v>33.23929</v>
      </c>
      <c r="K44" s="4">
        <v>40</v>
      </c>
      <c r="L44" s="4">
        <v>31.3133</v>
      </c>
      <c r="M44" s="4">
        <v>0</v>
      </c>
      <c r="N44" s="4">
        <v>0</v>
      </c>
      <c r="O44" s="4">
        <v>34.28819</v>
      </c>
      <c r="P44" s="4">
        <v>0.05</v>
      </c>
      <c r="Q44" s="4">
        <v>0.2020399</v>
      </c>
      <c r="R44" s="4">
        <v>0.0002061157</v>
      </c>
      <c r="S44" s="4">
        <v>0</v>
      </c>
      <c r="T44" s="4">
        <v>0</v>
      </c>
      <c r="U44" s="21">
        <v>0</v>
      </c>
      <c r="V44" s="29">
        <v>0</v>
      </c>
      <c r="W44" s="30">
        <v>93.68851</v>
      </c>
      <c r="X44" s="21">
        <v>18.07364</v>
      </c>
      <c r="Y44" s="21">
        <v>35.5</v>
      </c>
      <c r="Z44" s="21">
        <v>96.45834</v>
      </c>
      <c r="AA44" s="21">
        <v>22.97635</v>
      </c>
      <c r="AB44" s="21">
        <v>81.11437</v>
      </c>
      <c r="AC44" s="21">
        <v>33</v>
      </c>
      <c r="AD44" s="21">
        <v>90.75521</v>
      </c>
      <c r="AE44" s="8">
        <v>18.12609</v>
      </c>
      <c r="AF44" s="8">
        <v>20.42643</v>
      </c>
      <c r="AG44" s="8"/>
      <c r="AH44" s="8">
        <v>0</v>
      </c>
      <c r="AI44" s="8">
        <v>0</v>
      </c>
      <c r="AJ44" s="8">
        <v>0</v>
      </c>
      <c r="AK44" s="8">
        <v>60.73857</v>
      </c>
      <c r="AL44" s="9">
        <v>49.43287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262</v>
      </c>
      <c r="C45" s="20">
        <v>0</v>
      </c>
      <c r="D45" s="4">
        <v>1.354218E-07</v>
      </c>
      <c r="E45" s="4">
        <v>30.1577</v>
      </c>
      <c r="F45" s="4"/>
      <c r="G45" s="4"/>
      <c r="H45" s="4">
        <v>0.4949725</v>
      </c>
      <c r="I45" s="4">
        <v>0.2982178</v>
      </c>
      <c r="J45" s="4">
        <v>32.94994</v>
      </c>
      <c r="K45" s="4">
        <v>40</v>
      </c>
      <c r="L45" s="4">
        <v>30.97873</v>
      </c>
      <c r="M45" s="4">
        <v>0</v>
      </c>
      <c r="N45" s="4">
        <v>0</v>
      </c>
      <c r="O45" s="4">
        <v>33.78183</v>
      </c>
      <c r="P45" s="4">
        <v>0.05</v>
      </c>
      <c r="Q45" s="4">
        <v>0.2051505</v>
      </c>
      <c r="R45" s="4">
        <v>0.0001986694</v>
      </c>
      <c r="S45" s="4">
        <v>0</v>
      </c>
      <c r="T45" s="4">
        <v>0</v>
      </c>
      <c r="U45" s="21">
        <v>0</v>
      </c>
      <c r="V45" s="29">
        <v>0</v>
      </c>
      <c r="W45" s="30">
        <v>90.96499</v>
      </c>
      <c r="X45" s="21">
        <v>17.78067</v>
      </c>
      <c r="Y45" s="21">
        <v>35.5</v>
      </c>
      <c r="Z45" s="21">
        <v>96.40192</v>
      </c>
      <c r="AA45" s="21">
        <v>23.64366</v>
      </c>
      <c r="AB45" s="21">
        <v>77.29492</v>
      </c>
      <c r="AC45" s="21">
        <v>33</v>
      </c>
      <c r="AD45" s="21">
        <v>90.39497</v>
      </c>
      <c r="AE45" s="8">
        <v>17.30686</v>
      </c>
      <c r="AF45" s="8">
        <v>19.81879</v>
      </c>
      <c r="AG45" s="8"/>
      <c r="AH45" s="8">
        <v>0</v>
      </c>
      <c r="AI45" s="8">
        <v>0</v>
      </c>
      <c r="AJ45" s="8">
        <v>0</v>
      </c>
      <c r="AK45" s="8">
        <v>60.66623</v>
      </c>
      <c r="AL45" s="9">
        <v>49.04514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2.004623E-06</v>
      </c>
      <c r="E46" s="4">
        <v>30.23003</v>
      </c>
      <c r="F46" s="4"/>
      <c r="G46" s="4"/>
      <c r="H46" s="4">
        <v>0</v>
      </c>
      <c r="I46" s="4">
        <v>0.3970013</v>
      </c>
      <c r="J46" s="4">
        <v>32.72388</v>
      </c>
      <c r="K46" s="4">
        <v>40</v>
      </c>
      <c r="L46" s="4">
        <v>30.75268</v>
      </c>
      <c r="M46" s="4">
        <v>0</v>
      </c>
      <c r="N46" s="4">
        <v>0</v>
      </c>
      <c r="O46" s="4">
        <v>33.26642</v>
      </c>
      <c r="P46" s="4">
        <v>0.05</v>
      </c>
      <c r="Q46" s="4">
        <v>0.1961082</v>
      </c>
      <c r="R46" s="4">
        <v>0.0002007446</v>
      </c>
      <c r="S46" s="4">
        <v>0</v>
      </c>
      <c r="T46" s="4">
        <v>0</v>
      </c>
      <c r="U46" s="21">
        <v>0</v>
      </c>
      <c r="V46" s="29">
        <v>0</v>
      </c>
      <c r="W46" s="30">
        <v>91.14945</v>
      </c>
      <c r="X46" s="21">
        <v>16.91623</v>
      </c>
      <c r="Y46" s="21">
        <v>30</v>
      </c>
      <c r="Z46" s="21">
        <v>80.2474</v>
      </c>
      <c r="AA46" s="21">
        <v>23.00347</v>
      </c>
      <c r="AB46" s="21">
        <v>75.16277</v>
      </c>
      <c r="AC46" s="21">
        <v>33</v>
      </c>
      <c r="AD46" s="21">
        <v>89.99567</v>
      </c>
      <c r="AE46" s="8">
        <v>17.24175</v>
      </c>
      <c r="AF46" s="8">
        <v>20.17144</v>
      </c>
      <c r="AG46" s="8"/>
      <c r="AH46" s="8">
        <v>0</v>
      </c>
      <c r="AI46" s="8">
        <v>0</v>
      </c>
      <c r="AJ46" s="8">
        <v>0</v>
      </c>
      <c r="AK46" s="8">
        <v>60.62283</v>
      </c>
      <c r="AL46" s="9">
        <v>48.68924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1.173019E-06</v>
      </c>
      <c r="E47" s="4">
        <v>30.29514</v>
      </c>
      <c r="F47" s="4"/>
      <c r="G47" s="4"/>
      <c r="H47" s="4">
        <v>0</v>
      </c>
      <c r="I47" s="4">
        <v>0</v>
      </c>
      <c r="J47" s="4">
        <v>32.48879</v>
      </c>
      <c r="K47" s="4">
        <v>40</v>
      </c>
      <c r="L47" s="4">
        <v>30.76172</v>
      </c>
      <c r="M47" s="4">
        <v>0</v>
      </c>
      <c r="N47" s="4">
        <v>0</v>
      </c>
      <c r="O47" s="4">
        <v>33.0042</v>
      </c>
      <c r="P47" s="4">
        <v>0.05</v>
      </c>
      <c r="Q47" s="4">
        <v>0.1542245</v>
      </c>
      <c r="R47" s="4">
        <v>0.000162323</v>
      </c>
      <c r="S47" s="4">
        <v>0</v>
      </c>
      <c r="T47" s="4">
        <v>0</v>
      </c>
      <c r="U47" s="21">
        <v>0</v>
      </c>
      <c r="V47" s="29">
        <v>0</v>
      </c>
      <c r="W47" s="30">
        <v>96.36863</v>
      </c>
      <c r="X47" s="21">
        <v>16.1169</v>
      </c>
      <c r="Y47" s="21">
        <v>30</v>
      </c>
      <c r="Z47" s="21">
        <v>80.21702</v>
      </c>
      <c r="AA47" s="21">
        <v>23.13911</v>
      </c>
      <c r="AB47" s="21">
        <v>68.96159</v>
      </c>
      <c r="AC47" s="21">
        <v>26</v>
      </c>
      <c r="AD47" s="21">
        <v>70.14323</v>
      </c>
      <c r="AE47" s="8">
        <v>17.0157</v>
      </c>
      <c r="AF47" s="8">
        <v>19.90018</v>
      </c>
      <c r="AG47" s="8"/>
      <c r="AH47" s="8">
        <v>0</v>
      </c>
      <c r="AI47" s="8">
        <v>0</v>
      </c>
      <c r="AJ47" s="8">
        <v>0</v>
      </c>
      <c r="AK47" s="8">
        <v>60.62645</v>
      </c>
      <c r="AL47" s="9">
        <v>48.35648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2.670288E-06</v>
      </c>
      <c r="E48" s="4">
        <v>30.29514</v>
      </c>
      <c r="F48" s="4"/>
      <c r="G48" s="4"/>
      <c r="H48" s="4">
        <v>0</v>
      </c>
      <c r="I48" s="4">
        <v>0</v>
      </c>
      <c r="J48" s="4">
        <v>32.20848</v>
      </c>
      <c r="K48" s="4">
        <v>40</v>
      </c>
      <c r="L48" s="4">
        <v>30.53566</v>
      </c>
      <c r="M48" s="4">
        <v>0</v>
      </c>
      <c r="N48" s="4">
        <v>0</v>
      </c>
      <c r="O48" s="4">
        <v>32.71484</v>
      </c>
      <c r="P48" s="4">
        <v>0.05</v>
      </c>
      <c r="Q48" s="4">
        <v>0.1595775</v>
      </c>
      <c r="R48" s="4">
        <v>0.0001552734</v>
      </c>
      <c r="S48" s="4">
        <v>0</v>
      </c>
      <c r="T48" s="4">
        <v>0</v>
      </c>
      <c r="U48" s="21">
        <v>0</v>
      </c>
      <c r="V48" s="29">
        <v>0</v>
      </c>
      <c r="W48" s="30">
        <v>90.50925</v>
      </c>
      <c r="X48" s="21">
        <v>16.97049</v>
      </c>
      <c r="Y48" s="21">
        <v>30</v>
      </c>
      <c r="Z48" s="21">
        <v>80.80296</v>
      </c>
      <c r="AA48" s="21">
        <v>23.56771</v>
      </c>
      <c r="AB48" s="21">
        <v>61.17079</v>
      </c>
      <c r="AC48" s="21">
        <v>26</v>
      </c>
      <c r="AD48" s="21">
        <v>70.09549</v>
      </c>
      <c r="AE48" s="8">
        <v>16.80773</v>
      </c>
      <c r="AF48" s="8">
        <v>19.87847</v>
      </c>
      <c r="AG48" s="8"/>
      <c r="AH48" s="8">
        <v>0</v>
      </c>
      <c r="AI48" s="8">
        <v>0</v>
      </c>
      <c r="AJ48" s="8">
        <v>0</v>
      </c>
      <c r="AK48" s="8">
        <v>60.6156</v>
      </c>
      <c r="AL48" s="9">
        <v>48.00348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7.11441E-07</v>
      </c>
      <c r="E49" s="4">
        <v>30.29514</v>
      </c>
      <c r="F49" s="4"/>
      <c r="G49" s="4"/>
      <c r="H49" s="4">
        <v>0.3884549</v>
      </c>
      <c r="I49" s="4">
        <v>0.1867085</v>
      </c>
      <c r="J49" s="4">
        <v>31.97338</v>
      </c>
      <c r="K49" s="4">
        <v>40</v>
      </c>
      <c r="L49" s="4">
        <v>30.52662</v>
      </c>
      <c r="M49" s="4">
        <v>0</v>
      </c>
      <c r="N49" s="4">
        <v>0</v>
      </c>
      <c r="O49" s="4">
        <v>32.48879</v>
      </c>
      <c r="P49" s="4">
        <v>0.05</v>
      </c>
      <c r="Q49" s="4">
        <v>0.1017795</v>
      </c>
      <c r="R49" s="4">
        <v>0.0001477356</v>
      </c>
      <c r="S49" s="4">
        <v>0</v>
      </c>
      <c r="T49" s="4">
        <v>0</v>
      </c>
      <c r="U49" s="21">
        <v>0</v>
      </c>
      <c r="V49" s="29">
        <v>0</v>
      </c>
      <c r="W49" s="30">
        <v>91.98857</v>
      </c>
      <c r="X49" s="21">
        <v>17.2309</v>
      </c>
      <c r="Y49" s="21">
        <v>30</v>
      </c>
      <c r="Z49" s="21">
        <v>80.67709</v>
      </c>
      <c r="AA49" s="21">
        <v>23.34527</v>
      </c>
      <c r="AB49" s="21">
        <v>60.76389</v>
      </c>
      <c r="AC49" s="21">
        <v>26</v>
      </c>
      <c r="AD49" s="21">
        <v>70.25174</v>
      </c>
      <c r="AE49" s="8">
        <v>16.57444</v>
      </c>
      <c r="AF49" s="8">
        <v>19.5638</v>
      </c>
      <c r="AG49" s="8"/>
      <c r="AH49" s="8">
        <v>0</v>
      </c>
      <c r="AI49" s="8">
        <v>0</v>
      </c>
      <c r="AJ49" s="8">
        <v>0</v>
      </c>
      <c r="AK49" s="8">
        <v>60.57581</v>
      </c>
      <c r="AL49" s="9">
        <v>47.68808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2.338409E-06</v>
      </c>
      <c r="E50" s="4">
        <v>30.33131</v>
      </c>
      <c r="F50" s="4"/>
      <c r="G50" s="4"/>
      <c r="H50" s="4">
        <v>0</v>
      </c>
      <c r="I50" s="4">
        <v>0.07136536</v>
      </c>
      <c r="J50" s="4">
        <v>31.78349</v>
      </c>
      <c r="K50" s="4">
        <v>40</v>
      </c>
      <c r="L50" s="4">
        <v>30.53566</v>
      </c>
      <c r="M50" s="4">
        <v>0</v>
      </c>
      <c r="N50" s="4">
        <v>0</v>
      </c>
      <c r="O50" s="4">
        <v>32.26273</v>
      </c>
      <c r="P50" s="4">
        <v>0.05</v>
      </c>
      <c r="Q50" s="4">
        <v>0.1056134</v>
      </c>
      <c r="R50" s="4">
        <v>0.0001031494</v>
      </c>
      <c r="S50" s="4">
        <v>0</v>
      </c>
      <c r="T50" s="4">
        <v>0</v>
      </c>
      <c r="U50" s="21">
        <v>0</v>
      </c>
      <c r="V50" s="29">
        <v>0</v>
      </c>
      <c r="W50" s="30">
        <v>91.85836</v>
      </c>
      <c r="X50" s="21">
        <v>16.3737</v>
      </c>
      <c r="Y50" s="21">
        <v>30</v>
      </c>
      <c r="Z50" s="21">
        <v>80.49914</v>
      </c>
      <c r="AA50" s="21">
        <v>21.21853</v>
      </c>
      <c r="AB50" s="21">
        <v>62.61393</v>
      </c>
      <c r="AC50" s="21">
        <v>26</v>
      </c>
      <c r="AD50" s="21">
        <v>69.84375</v>
      </c>
      <c r="AE50" s="8">
        <v>16.36104</v>
      </c>
      <c r="AF50" s="8">
        <v>19.05382</v>
      </c>
      <c r="AG50" s="8"/>
      <c r="AH50" s="8">
        <v>0</v>
      </c>
      <c r="AI50" s="8">
        <v>0</v>
      </c>
      <c r="AJ50" s="8">
        <v>0</v>
      </c>
      <c r="AK50" s="8">
        <v>60.57943</v>
      </c>
      <c r="AL50" s="9">
        <v>47.27142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8.972168E-06</v>
      </c>
      <c r="E51" s="13">
        <v>30.34578</v>
      </c>
      <c r="F51" s="13"/>
      <c r="G51" s="13"/>
      <c r="H51" s="13">
        <v>0</v>
      </c>
      <c r="I51" s="13">
        <v>0</v>
      </c>
      <c r="J51" s="13">
        <v>31.59361</v>
      </c>
      <c r="K51" s="13">
        <v>40</v>
      </c>
      <c r="L51" s="13">
        <v>30.53566</v>
      </c>
      <c r="M51" s="13">
        <v>0</v>
      </c>
      <c r="N51" s="13">
        <v>0</v>
      </c>
      <c r="O51" s="13">
        <v>32.16327</v>
      </c>
      <c r="P51" s="13">
        <v>0.05</v>
      </c>
      <c r="Q51" s="13">
        <v>0.2105035</v>
      </c>
      <c r="R51" s="13">
        <v>0.000125824</v>
      </c>
      <c r="S51" s="13">
        <v>0</v>
      </c>
      <c r="T51" s="13">
        <v>0</v>
      </c>
      <c r="U51" s="24">
        <v>0</v>
      </c>
      <c r="V51" s="32">
        <v>0</v>
      </c>
      <c r="W51" s="33">
        <v>96.0829</v>
      </c>
      <c r="X51" s="24">
        <v>16.60518</v>
      </c>
      <c r="Y51" s="24">
        <v>0</v>
      </c>
      <c r="Z51" s="24">
        <v>0</v>
      </c>
      <c r="AA51" s="24">
        <v>23.25846</v>
      </c>
      <c r="AB51" s="24">
        <v>56.74371</v>
      </c>
      <c r="AC51" s="24">
        <v>26</v>
      </c>
      <c r="AD51" s="24">
        <v>71.4323</v>
      </c>
      <c r="AE51" s="17">
        <v>15.88723</v>
      </c>
      <c r="AF51" s="17">
        <v>18.60352</v>
      </c>
      <c r="AG51" s="17"/>
      <c r="AH51" s="17">
        <v>0</v>
      </c>
      <c r="AI51" s="17">
        <v>0</v>
      </c>
      <c r="AJ51" s="17">
        <v>0</v>
      </c>
      <c r="AK51" s="17">
        <v>60.57943</v>
      </c>
      <c r="AL51" s="18">
        <v>46.9647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40" t="s">
        <v>369</v>
      </c>
      <c r="C52" s="241"/>
      <c r="D52" s="72" t="s">
        <v>263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222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224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223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352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225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226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227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228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229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230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231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232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233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234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235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236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237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238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239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240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241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242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243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244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245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246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247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248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353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249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250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354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251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252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253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254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255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256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257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258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259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 t="s">
        <v>369</v>
      </c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3" t="s">
        <v>330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 t="s">
        <v>369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331</v>
      </c>
      <c r="C4" s="41" t="s">
        <v>280</v>
      </c>
      <c r="D4" s="56" t="s">
        <v>332</v>
      </c>
      <c r="E4" s="56" t="s">
        <v>275</v>
      </c>
      <c r="F4" s="56" t="s">
        <v>276</v>
      </c>
      <c r="G4" s="41" t="s">
        <v>333</v>
      </c>
      <c r="H4" s="41" t="s">
        <v>334</v>
      </c>
      <c r="I4" s="41" t="s">
        <v>335</v>
      </c>
      <c r="J4" s="41" t="s">
        <v>336</v>
      </c>
      <c r="K4" s="56" t="s">
        <v>337</v>
      </c>
      <c r="L4" s="56" t="s">
        <v>338</v>
      </c>
      <c r="M4" s="41" t="s">
        <v>339</v>
      </c>
      <c r="N4" s="41" t="s">
        <v>340</v>
      </c>
      <c r="O4" s="41" t="s">
        <v>341</v>
      </c>
      <c r="P4" s="41" t="s">
        <v>342</v>
      </c>
      <c r="Q4" s="41" t="s">
        <v>343</v>
      </c>
      <c r="R4" s="41" t="s">
        <v>350</v>
      </c>
      <c r="S4" s="41" t="s">
        <v>349</v>
      </c>
      <c r="T4" s="41" t="s">
        <v>351</v>
      </c>
    </row>
    <row r="5" spans="2:20" x14ac:dyDescent="0.25">
      <c r="B5" s="359"/>
      <c r="C5" s="41" t="s">
        <v>281</v>
      </c>
      <c r="D5" s="57" t="s">
        <v>344</v>
      </c>
      <c r="E5" s="41" t="s">
        <v>345</v>
      </c>
      <c r="F5" s="41" t="s">
        <v>346</v>
      </c>
      <c r="G5" s="41" t="s">
        <v>346</v>
      </c>
      <c r="H5" s="41" t="s">
        <v>346</v>
      </c>
      <c r="I5" s="41" t="s">
        <v>346</v>
      </c>
      <c r="J5" s="41" t="s">
        <v>346</v>
      </c>
      <c r="K5" s="41" t="s">
        <v>272</v>
      </c>
      <c r="L5" s="41" t="s">
        <v>270</v>
      </c>
      <c r="M5" s="41" t="s">
        <v>271</v>
      </c>
      <c r="N5" s="41" t="s">
        <v>271</v>
      </c>
      <c r="O5" s="41" t="s">
        <v>271</v>
      </c>
      <c r="P5" s="41" t="s">
        <v>269</v>
      </c>
      <c r="Q5" s="41" t="s">
        <v>269</v>
      </c>
      <c r="R5" s="41" t="s">
        <v>269</v>
      </c>
      <c r="S5" s="41" t="s">
        <v>269</v>
      </c>
      <c r="T5" s="41" t="s">
        <v>269</v>
      </c>
    </row>
    <row r="6" spans="2:20" x14ac:dyDescent="0.25">
      <c r="B6" s="360" t="s">
        <v>369</v>
      </c>
      <c r="C6" s="360"/>
      <c r="D6" s="58">
        <v>92.68</v>
      </c>
      <c r="E6" s="58">
        <v>5.3</v>
      </c>
      <c r="F6" s="58">
        <v>622.07</v>
      </c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>
        <v>0</v>
      </c>
      <c r="L6" s="362">
        <v>421.9146166666667</v>
      </c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347</v>
      </c>
      <c r="Q6" s="362" t="e">
        <f>(I6+I9)/(K6+K9)/AVERAGE(L6:L11)*1.2*100</f>
        <v>#DIV/0!</v>
      </c>
      <c r="R6" s="362">
        <v>2013.287992</v>
      </c>
      <c r="S6" s="362">
        <v>2203.15</v>
      </c>
      <c r="T6" s="362" t="e">
        <f>SUM(K6:K11)*AVERAGE(L6:L11)/SUM(I6:I11)*1000</f>
        <v>#DIV/0!</v>
      </c>
    </row>
    <row r="7" spans="2:20" x14ac:dyDescent="0.25">
      <c r="B7" s="360"/>
      <c r="C7" s="360"/>
      <c r="D7" s="58">
        <v>90.23</v>
      </c>
      <c r="E7" s="58">
        <v>8.2</v>
      </c>
      <c r="F7" s="58">
        <v>303.62</v>
      </c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347</v>
      </c>
      <c r="Q7" s="362"/>
      <c r="R7" s="362"/>
      <c r="S7" s="362"/>
      <c r="T7" s="362"/>
    </row>
    <row r="8" spans="2:20" x14ac:dyDescent="0.25">
      <c r="B8" s="360"/>
      <c r="C8" s="360"/>
      <c r="D8" s="58"/>
      <c r="E8" s="58"/>
      <c r="F8" s="58"/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348</v>
      </c>
      <c r="Q8" s="362"/>
      <c r="R8" s="362"/>
      <c r="S8" s="362"/>
      <c r="T8" s="362"/>
    </row>
    <row r="9" spans="2:20" x14ac:dyDescent="0.25">
      <c r="B9" s="360"/>
      <c r="C9" s="360"/>
      <c r="D9" s="58">
        <v>92.26</v>
      </c>
      <c r="E9" s="58">
        <v>6.37</v>
      </c>
      <c r="F9" s="58">
        <v>595.72</v>
      </c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>
        <v>0</v>
      </c>
      <c r="L9" s="362">
        <v>417.7924416666666</v>
      </c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347</v>
      </c>
      <c r="Q9" s="362"/>
      <c r="R9" s="362"/>
      <c r="S9" s="362"/>
      <c r="T9" s="362"/>
    </row>
    <row r="10" spans="2:20" x14ac:dyDescent="0.25">
      <c r="B10" s="360"/>
      <c r="C10" s="360"/>
      <c r="D10" s="58">
        <v>90.53</v>
      </c>
      <c r="E10" s="58">
        <v>8.12</v>
      </c>
      <c r="F10" s="58">
        <v>354.42</v>
      </c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347</v>
      </c>
      <c r="Q10" s="362"/>
      <c r="R10" s="362"/>
      <c r="S10" s="362"/>
      <c r="T10" s="362"/>
    </row>
    <row r="11" spans="2:20" x14ac:dyDescent="0.25">
      <c r="B11" s="360"/>
      <c r="C11" s="360"/>
      <c r="D11" s="58">
        <v>89.31</v>
      </c>
      <c r="E11" s="58">
        <v>7.36</v>
      </c>
      <c r="F11" s="58">
        <v>327.32</v>
      </c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348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tabSelected="1" zoomScaleNormal="100" workbookViewId="0">
      <selection activeCell="M11" sqref="M11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80" t="s">
        <v>329</v>
      </c>
      <c r="C2" s="381"/>
      <c r="D2" s="381"/>
      <c r="E2" s="381"/>
      <c r="F2" s="381"/>
      <c r="G2" s="381"/>
      <c r="H2" s="381"/>
      <c r="I2" s="381"/>
      <c r="J2" s="382"/>
    </row>
    <row r="3" spans="2:10" ht="20.15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280</v>
      </c>
      <c r="C4" s="386"/>
      <c r="D4" s="387"/>
      <c r="E4" s="38" t="s">
        <v>281</v>
      </c>
      <c r="F4" s="38" t="s">
        <v>282</v>
      </c>
      <c r="G4" s="38" t="s">
        <v>283</v>
      </c>
      <c r="H4" s="388" t="s">
        <v>284</v>
      </c>
      <c r="I4" s="387"/>
      <c r="J4" s="39" t="s">
        <v>285</v>
      </c>
    </row>
    <row r="5" spans="2:10" x14ac:dyDescent="0.25">
      <c r="B5" s="40" t="s">
        <v>286</v>
      </c>
      <c r="C5" s="359" t="s">
        <v>287</v>
      </c>
      <c r="D5" s="359"/>
      <c r="E5" s="41" t="s">
        <v>271</v>
      </c>
      <c r="F5" s="42">
        <v>90</v>
      </c>
      <c r="G5" s="43">
        <v>0</v>
      </c>
      <c r="H5" s="44">
        <f>(G5-F5)/F5*100</f>
        <v>-100</v>
      </c>
      <c r="I5" s="45" t="s">
        <v>271</v>
      </c>
      <c r="J5" s="46"/>
    </row>
    <row r="6" spans="2:10" x14ac:dyDescent="0.25">
      <c r="B6" s="364" t="s">
        <v>288</v>
      </c>
      <c r="C6" s="359" t="s">
        <v>289</v>
      </c>
      <c r="D6" s="359"/>
      <c r="E6" s="41" t="s">
        <v>268</v>
      </c>
      <c r="F6" s="42" t="s">
        <v>290</v>
      </c>
      <c r="G6" s="43">
        <v>0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291</v>
      </c>
      <c r="D7" s="359"/>
      <c r="E7" s="41" t="s">
        <v>268</v>
      </c>
      <c r="F7" s="42" t="s">
        <v>361</v>
      </c>
      <c r="G7" s="43">
        <v>223.54501779594383</v>
      </c>
      <c r="H7" s="47" t="str">
        <f>IF($G7="","",IF(AND($G7&gt;=0,$G7&lt;=220),"合格","不合格"))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292</v>
      </c>
      <c r="D8" s="359"/>
      <c r="E8" s="41" t="s">
        <v>268</v>
      </c>
      <c r="F8" s="42" t="s">
        <v>362</v>
      </c>
      <c r="G8" s="43">
        <v>94.13763542677505</v>
      </c>
      <c r="H8" s="47" t="str">
        <f>IF($G8="","",IF(AND($G8&gt;=0,$G8&lt;=200),"合格","不合格"))</f>
        <v/>
      </c>
      <c r="I8" s="48" t="s">
        <v>4</v>
      </c>
      <c r="J8" s="46"/>
    </row>
    <row r="9" spans="2:10" x14ac:dyDescent="0.25">
      <c r="B9" s="364" t="s">
        <v>293</v>
      </c>
      <c r="C9" s="41" t="s">
        <v>294</v>
      </c>
      <c r="D9" s="41" t="s">
        <v>295</v>
      </c>
      <c r="E9" s="41" t="s">
        <v>296</v>
      </c>
      <c r="F9" s="42" t="s">
        <v>297</v>
      </c>
      <c r="G9" s="43">
        <v>419.8535291666667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298</v>
      </c>
      <c r="D10" s="41" t="s">
        <v>299</v>
      </c>
      <c r="E10" s="48" t="s">
        <v>4</v>
      </c>
      <c r="F10" s="42" t="s">
        <v>300</v>
      </c>
      <c r="G10" s="43">
        <v>0.5283161541666667</v>
      </c>
      <c r="H10" s="47" t="str">
        <f>IF($G10="","",IF(AND($G10&gt;=0.525,$G10&lt;=0.535),"合格","不合格"))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301</v>
      </c>
      <c r="E11" s="41" t="s">
        <v>302</v>
      </c>
      <c r="F11" s="42">
        <v>46.63</v>
      </c>
      <c r="G11" s="43">
        <v>46.652650905808386</v>
      </c>
      <c r="H11" s="47" t="s">
        <v>303</v>
      </c>
      <c r="I11" s="48" t="s">
        <v>4</v>
      </c>
      <c r="J11" s="46"/>
    </row>
    <row r="12" spans="2:10" x14ac:dyDescent="0.25">
      <c r="B12" s="378"/>
      <c r="C12" s="359"/>
      <c r="D12" s="41" t="s">
        <v>304</v>
      </c>
      <c r="E12" s="41" t="s">
        <v>273</v>
      </c>
      <c r="F12" s="42" t="s">
        <v>305</v>
      </c>
      <c r="G12" s="43">
        <v>0.737301075</v>
      </c>
      <c r="H12" s="47" t="str">
        <f>IF($G12="","",IF(AND($G12&gt;=0.7,$G12&lt;=0.8),"合格","不合格"))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306</v>
      </c>
      <c r="E13" s="41" t="s">
        <v>274</v>
      </c>
      <c r="F13" s="42" t="s">
        <v>307</v>
      </c>
      <c r="G13" s="43">
        <v>91.00689083333333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308</v>
      </c>
      <c r="E14" s="41" t="s">
        <v>274</v>
      </c>
      <c r="F14" s="42" t="s">
        <v>368</v>
      </c>
      <c r="G14" s="43">
        <v>139.48809166666666</v>
      </c>
      <c r="H14" s="47" t="str">
        <f>IF($G14="","",IF(AND($G14&gt;=138,$G14&lt;=142),"合格","不合格"))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309</v>
      </c>
      <c r="E15" s="41" t="s">
        <v>274</v>
      </c>
      <c r="F15" s="42" t="s">
        <v>363</v>
      </c>
      <c r="G15" s="43">
        <v>163.2514</v>
      </c>
      <c r="H15" s="47" t="str">
        <f>IF($G15="","",IF(AND($G15&gt;=160,$G15&lt;=164),"合格","不合格"))</f>
        <v/>
      </c>
      <c r="I15" s="48" t="s">
        <v>4</v>
      </c>
      <c r="J15" s="46"/>
    </row>
    <row r="16" spans="2:10" x14ac:dyDescent="0.25">
      <c r="B16" s="378"/>
      <c r="C16" s="359" t="s">
        <v>310</v>
      </c>
      <c r="D16" s="41" t="s">
        <v>364</v>
      </c>
      <c r="E16" s="41" t="s">
        <v>274</v>
      </c>
      <c r="F16" s="42" t="s">
        <v>365</v>
      </c>
      <c r="G16" s="43">
        <v>56.319775416666666</v>
      </c>
      <c r="H16" s="47" t="str">
        <f>IF($G16="","",IF(AND($G16&gt;=52,$G16&lt;=58),"合格","不合格"))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366</v>
      </c>
      <c r="E17" s="41" t="s">
        <v>274</v>
      </c>
      <c r="F17" s="42" t="s">
        <v>311</v>
      </c>
      <c r="G17" s="43">
        <v>19.038145555555555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312</v>
      </c>
      <c r="E18" s="41" t="s">
        <v>274</v>
      </c>
      <c r="F18" s="42" t="s">
        <v>367</v>
      </c>
      <c r="G18" s="43">
        <v>52.6068775</v>
      </c>
      <c r="H18" s="47" t="str">
        <f>IF($G18="","",IF(AND($G18&gt;=45,$G18&lt;=55),"合格","不合格"))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313</v>
      </c>
      <c r="E19" s="41" t="s">
        <v>274</v>
      </c>
      <c r="F19" s="42" t="s">
        <v>314</v>
      </c>
      <c r="G19" s="43">
        <v>19.599367916666665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315</v>
      </c>
      <c r="D20" s="41" t="s">
        <v>83</v>
      </c>
      <c r="E20" s="41" t="s">
        <v>271</v>
      </c>
      <c r="F20" s="49" t="s">
        <v>76</v>
      </c>
      <c r="G20" s="43">
        <v>34.5175</v>
      </c>
      <c r="H20" s="50" t="s">
        <v>316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271</v>
      </c>
      <c r="F21" s="49" t="s">
        <v>76</v>
      </c>
      <c r="G21" s="43"/>
      <c r="H21" s="50" t="s">
        <v>316</v>
      </c>
      <c r="I21" s="48" t="s">
        <v>4</v>
      </c>
      <c r="J21" s="46"/>
    </row>
    <row r="22" spans="2:10" x14ac:dyDescent="0.25">
      <c r="B22" s="378"/>
      <c r="C22" s="359"/>
      <c r="D22" s="41" t="s">
        <v>317</v>
      </c>
      <c r="E22" s="48" t="s">
        <v>4</v>
      </c>
      <c r="F22" s="49" t="s">
        <v>76</v>
      </c>
      <c r="G22" s="43">
        <v>6.715</v>
      </c>
      <c r="H22" s="50" t="s">
        <v>316</v>
      </c>
      <c r="I22" s="48" t="s">
        <v>4</v>
      </c>
      <c r="J22" s="46"/>
    </row>
    <row r="23" spans="2:10" x14ac:dyDescent="0.25">
      <c r="B23" s="378"/>
      <c r="C23" s="359"/>
      <c r="D23" s="41" t="s">
        <v>159</v>
      </c>
      <c r="E23" s="41" t="s">
        <v>296</v>
      </c>
      <c r="F23" s="49" t="s">
        <v>76</v>
      </c>
      <c r="G23" s="43">
        <v>20.786666666666665</v>
      </c>
      <c r="H23" s="50" t="s">
        <v>316</v>
      </c>
      <c r="I23" s="48" t="s">
        <v>4</v>
      </c>
      <c r="J23" s="46"/>
    </row>
    <row r="24" spans="2:10" x14ac:dyDescent="0.25">
      <c r="B24" s="379"/>
      <c r="C24" s="359"/>
      <c r="D24" s="41" t="s">
        <v>160</v>
      </c>
      <c r="E24" s="41" t="s">
        <v>296</v>
      </c>
      <c r="F24" s="49" t="s">
        <v>76</v>
      </c>
      <c r="G24" s="43">
        <v>6.613333333333334</v>
      </c>
      <c r="H24" s="50" t="s">
        <v>316</v>
      </c>
      <c r="I24" s="48" t="s">
        <v>4</v>
      </c>
      <c r="J24" s="46"/>
    </row>
    <row r="25" spans="2:10" x14ac:dyDescent="0.25">
      <c r="B25" s="363" t="s">
        <v>318</v>
      </c>
      <c r="C25" s="41" t="s">
        <v>319</v>
      </c>
      <c r="D25" s="41" t="s">
        <v>320</v>
      </c>
      <c r="E25" s="41" t="s">
        <v>321</v>
      </c>
      <c r="F25" s="42" t="s">
        <v>322</v>
      </c>
      <c r="G25" s="43">
        <v>0.14022643611932892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323</v>
      </c>
      <c r="D26" s="41" t="s">
        <v>10</v>
      </c>
      <c r="E26" s="41" t="s">
        <v>271</v>
      </c>
      <c r="F26" s="42">
        <v>7</v>
      </c>
      <c r="G26" s="43">
        <v>40.96</v>
      </c>
      <c r="H26" s="44">
        <f>(G26-F26)</f>
        <v>-7</v>
      </c>
      <c r="I26" s="48" t="s">
        <v>271</v>
      </c>
      <c r="J26" s="46"/>
    </row>
    <row r="27" spans="2:10" x14ac:dyDescent="0.25">
      <c r="B27" s="363"/>
      <c r="C27" s="359"/>
      <c r="D27" s="41" t="s">
        <v>324</v>
      </c>
      <c r="E27" s="41" t="s">
        <v>271</v>
      </c>
      <c r="F27" s="42">
        <v>15</v>
      </c>
      <c r="G27" s="43">
        <v>100.43</v>
      </c>
      <c r="H27" s="44">
        <f t="shared" ref="H27:H31" si="0">(G27-F27)</f>
        <v>-15</v>
      </c>
      <c r="I27" s="48" t="s">
        <v>271</v>
      </c>
      <c r="J27" s="46"/>
    </row>
    <row r="28" spans="2:10" x14ac:dyDescent="0.25">
      <c r="B28" s="363"/>
      <c r="C28" s="359"/>
      <c r="D28" s="41" t="s">
        <v>325</v>
      </c>
      <c r="E28" s="41" t="s">
        <v>271</v>
      </c>
      <c r="F28" s="42">
        <v>4</v>
      </c>
      <c r="G28" s="43">
        <v>5.91</v>
      </c>
      <c r="H28" s="44">
        <f t="shared" si="0"/>
        <v>-4</v>
      </c>
      <c r="I28" s="48" t="s">
        <v>271</v>
      </c>
      <c r="J28" s="46"/>
    </row>
    <row r="29" spans="2:10" x14ac:dyDescent="0.25">
      <c r="B29" s="363"/>
      <c r="C29" s="359"/>
      <c r="D29" s="41" t="s">
        <v>159</v>
      </c>
      <c r="E29" s="41" t="s">
        <v>271</v>
      </c>
      <c r="F29" s="42">
        <v>7</v>
      </c>
      <c r="G29" s="43">
        <v>92.35</v>
      </c>
      <c r="H29" s="44">
        <f t="shared" si="0"/>
        <v>-7</v>
      </c>
      <c r="I29" s="48" t="s">
        <v>271</v>
      </c>
      <c r="J29" s="46"/>
    </row>
    <row r="30" spans="2:10" x14ac:dyDescent="0.25">
      <c r="B30" s="363"/>
      <c r="C30" s="359"/>
      <c r="D30" s="41" t="s">
        <v>160</v>
      </c>
      <c r="E30" s="41" t="s">
        <v>271</v>
      </c>
      <c r="F30" s="42">
        <v>7</v>
      </c>
      <c r="G30" s="43">
        <v>4.29</v>
      </c>
      <c r="H30" s="44">
        <f t="shared" si="0"/>
        <v>-7</v>
      </c>
      <c r="I30" s="48" t="s">
        <v>271</v>
      </c>
      <c r="J30" s="46"/>
    </row>
    <row r="31" spans="2:10" x14ac:dyDescent="0.25">
      <c r="B31" s="363"/>
      <c r="C31" s="359"/>
      <c r="D31" s="41" t="s">
        <v>326</v>
      </c>
      <c r="E31" s="41" t="s">
        <v>327</v>
      </c>
      <c r="F31" s="42">
        <v>10</v>
      </c>
      <c r="G31" s="43"/>
      <c r="H31" s="44">
        <f t="shared" si="0"/>
        <v>-10</v>
      </c>
      <c r="I31" s="48" t="s">
        <v>271</v>
      </c>
      <c r="J31" s="46"/>
    </row>
    <row r="32" spans="2:10" ht="14.5" thickBot="1" x14ac:dyDescent="0.3">
      <c r="B32" s="364"/>
      <c r="C32" s="365"/>
      <c r="D32" s="51" t="s">
        <v>275</v>
      </c>
      <c r="E32" s="51" t="s">
        <v>271</v>
      </c>
      <c r="F32" s="52">
        <v>50</v>
      </c>
      <c r="G32" s="53">
        <v>79.69</v>
      </c>
      <c r="H32" s="44">
        <f>(G32-F32)</f>
        <v>-50</v>
      </c>
      <c r="I32" s="48" t="s">
        <v>271</v>
      </c>
      <c r="J32" s="54"/>
    </row>
    <row r="33" spans="2:10" x14ac:dyDescent="0.25">
      <c r="B33" s="366" t="s">
        <v>328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2026-06-08T06:08:17Z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