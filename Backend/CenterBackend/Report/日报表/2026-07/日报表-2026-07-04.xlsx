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1520" yWindow="1520" windowWidth="19200" windowHeight="1405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0" i="12" l="1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<sst xmlns="http://schemas.openxmlformats.org/spreadsheetml/2006/main" count="875" uniqueCount="368">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</sst>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5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>
        <v>20.23112</v>
      </c>
      <c r="E6" s="62">
        <v>416.3634</v>
      </c>
      <c r="F6" s="62"/>
      <c r="G6" s="62"/>
      <c r="H6" s="63">
        <v>417.2929</v>
      </c>
      <c r="I6" s="64">
        <v>21.46991</v>
      </c>
      <c r="J6" s="62"/>
      <c r="K6" s="62">
        <v>30.40364</v>
      </c>
      <c r="L6" s="62">
        <v>1.366826</v>
      </c>
      <c r="M6" s="62">
        <v>102.5391</v>
      </c>
      <c r="N6" s="62">
        <v>112.6736</v>
      </c>
      <c r="O6" s="62">
        <v>20.23018</v>
      </c>
      <c r="P6" s="62"/>
      <c r="Q6" s="62"/>
      <c r="R6" s="62"/>
      <c r="S6" s="62">
        <v>139.3663</v>
      </c>
      <c r="T6" s="62">
        <v>1.437066</v>
      </c>
      <c r="U6" s="62">
        <v>0.2995884</v>
      </c>
      <c r="V6" s="62"/>
      <c r="W6" s="62">
        <v>90.72174</v>
      </c>
      <c r="X6" s="62">
        <v>0.5316994</v>
      </c>
      <c r="Y6" s="62"/>
      <c r="Z6" s="62">
        <v>0.7406671</v>
      </c>
      <c r="AA6" s="62">
        <v>152.4161</v>
      </c>
      <c r="AB6" s="62">
        <v>163.3608</v>
      </c>
      <c r="AC6" s="62">
        <v>1.050456</v>
      </c>
      <c r="AD6" s="62">
        <v>155.8232</v>
      </c>
      <c r="AE6" s="65"/>
      <c r="AF6" s="65"/>
      <c r="AG6" s="65"/>
      <c r="AH6" s="65"/>
      <c r="AI6" s="65"/>
      <c r="AJ6" s="65"/>
      <c r="AK6" s="65"/>
      <c r="AL6" s="62">
        <v>0</v>
      </c>
      <c r="AM6" s="66"/>
      <c r="AN6" s="67">
        <v>43.89468</v>
      </c>
      <c r="AO6" s="68">
        <v>56.70211</v>
      </c>
      <c r="AP6" s="69">
        <v>-80.04919</v>
      </c>
      <c r="AQ6" s="69">
        <v>0.2897135</v>
      </c>
      <c r="AR6" s="70"/>
    </row>
    <row r="7" spans="2:47" ht="13.5" customHeight="1" x14ac:dyDescent="0.25">
      <c r="B7" s="121">
        <v>0.375</v>
      </c>
      <c r="C7" s="20"/>
      <c r="D7" s="62">
        <v>20.46984</v>
      </c>
      <c r="E7" s="4">
        <v>416.138</v>
      </c>
      <c r="F7" s="4"/>
      <c r="G7" s="4">
        <v>0</v>
      </c>
      <c r="H7" s="5">
        <v>417.6827</v>
      </c>
      <c r="I7" s="6">
        <v>23.57133</v>
      </c>
      <c r="J7" s="4">
        <v>0.02003906</v>
      </c>
      <c r="K7" s="4">
        <v>32.87037</v>
      </c>
      <c r="L7" s="4">
        <v>1.368544</v>
      </c>
      <c r="M7" s="4">
        <v>99.52258</v>
      </c>
      <c r="N7" s="4">
        <v>110.6916</v>
      </c>
      <c r="O7" s="4">
        <v>20.3631</v>
      </c>
      <c r="P7" s="4">
        <v>20.2793</v>
      </c>
      <c r="Q7" s="4"/>
      <c r="R7" s="4">
        <v>2.68457</v>
      </c>
      <c r="S7" s="4">
        <v>139.3374</v>
      </c>
      <c r="T7" s="4">
        <v>1.438368</v>
      </c>
      <c r="U7" s="4">
        <v>0.3005496</v>
      </c>
      <c r="V7" s="4"/>
      <c r="W7" s="4">
        <v>91.13961</v>
      </c>
      <c r="X7" s="4">
        <v>0.5307939</v>
      </c>
      <c r="Y7" s="4" t="s">
        <v>76</v>
      </c>
      <c r="Z7" s="4">
        <v>0.7301133</v>
      </c>
      <c r="AA7" s="4">
        <v>151.5697</v>
      </c>
      <c r="AB7" s="4">
        <v>162.9774</v>
      </c>
      <c r="AC7" s="4">
        <v>1.050456</v>
      </c>
      <c r="AD7" s="4">
        <v>154.9552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43.08449</v>
      </c>
      <c r="AO7" s="10">
        <v>56.61892</v>
      </c>
      <c r="AP7" s="11">
        <v>-80.25897</v>
      </c>
      <c r="AQ7" s="11">
        <v>0.2890625</v>
      </c>
      <c r="AR7" s="12">
        <v>0.0002906799</v>
      </c>
    </row>
    <row r="8" spans="2:47" ht="13.5" customHeight="1" x14ac:dyDescent="0.25">
      <c r="B8" s="121">
        <v>0.41666666666666669</v>
      </c>
      <c r="C8" s="20"/>
      <c r="D8" s="62">
        <v>21.35417</v>
      </c>
      <c r="E8" s="4">
        <v>415.7834</v>
      </c>
      <c r="F8" s="4"/>
      <c r="G8" s="4">
        <v>0</v>
      </c>
      <c r="H8" s="5">
        <v>417.5462</v>
      </c>
      <c r="I8" s="6">
        <v>21.09013</v>
      </c>
      <c r="J8" s="4">
        <v>0.01967578</v>
      </c>
      <c r="K8" s="4">
        <v>36.9213</v>
      </c>
      <c r="L8" s="4">
        <v>1.441334</v>
      </c>
      <c r="M8" s="4">
        <v>102.9351</v>
      </c>
      <c r="N8" s="4">
        <v>112.0515</v>
      </c>
      <c r="O8" s="4">
        <v>20.18018</v>
      </c>
      <c r="P8" s="4">
        <v>20.25195</v>
      </c>
      <c r="Q8" s="4"/>
      <c r="R8" s="4">
        <v>2.617676</v>
      </c>
      <c r="S8" s="4">
        <v>139.6557</v>
      </c>
      <c r="T8" s="4">
        <v>1.438223</v>
      </c>
      <c r="U8" s="4">
        <v>0.2987514</v>
      </c>
      <c r="V8" s="4"/>
      <c r="W8" s="4">
        <v>91.25288</v>
      </c>
      <c r="X8" s="4">
        <v>0.5312472</v>
      </c>
      <c r="Y8" s="4" t="s">
        <v>76</v>
      </c>
      <c r="Z8" s="4">
        <v>0.7310748</v>
      </c>
      <c r="AA8" s="4">
        <v>151.0634</v>
      </c>
      <c r="AB8" s="4">
        <v>163.3391</v>
      </c>
      <c r="AC8" s="4">
        <v>1.050492</v>
      </c>
      <c r="AD8" s="4">
        <v>155.3819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41.88368</v>
      </c>
      <c r="AO8" s="10">
        <v>56.62254</v>
      </c>
      <c r="AP8" s="11">
        <v>-79.90451</v>
      </c>
      <c r="AQ8" s="11">
        <v>0.2890625</v>
      </c>
      <c r="AR8" s="12">
        <v>0.0002883911</v>
      </c>
    </row>
    <row r="9" spans="2:47" ht="13.5" customHeight="1" x14ac:dyDescent="0.25">
      <c r="B9" s="121">
        <v>0.45833333333333298</v>
      </c>
      <c r="C9" s="20"/>
      <c r="D9" s="62">
        <v>21.8099</v>
      </c>
      <c r="E9" s="4">
        <v>414.0978</v>
      </c>
      <c r="F9" s="4"/>
      <c r="G9" s="4">
        <v>0</v>
      </c>
      <c r="H9" s="5">
        <v>418.1258</v>
      </c>
      <c r="I9" s="6">
        <v>13.49465</v>
      </c>
      <c r="J9" s="4">
        <v>0.01911523</v>
      </c>
      <c r="K9" s="4">
        <v>38.67188</v>
      </c>
      <c r="L9" s="4">
        <v>1.469908</v>
      </c>
      <c r="M9" s="4">
        <v>100.8138</v>
      </c>
      <c r="N9" s="4">
        <v>110.4745</v>
      </c>
      <c r="O9" s="4">
        <v>20.19542</v>
      </c>
      <c r="P9" s="4">
        <v>20.28711</v>
      </c>
      <c r="Q9" s="4"/>
      <c r="R9" s="4">
        <v>2.637207</v>
      </c>
      <c r="S9" s="4">
        <v>139.5906</v>
      </c>
      <c r="T9" s="4">
        <v>1.434462</v>
      </c>
      <c r="U9" s="4">
        <v>0.3006989</v>
      </c>
      <c r="V9" s="4"/>
      <c r="W9" s="4">
        <v>91.21268</v>
      </c>
      <c r="X9" s="4">
        <v>0.528788</v>
      </c>
      <c r="Y9" s="4" t="s">
        <v>76</v>
      </c>
      <c r="Z9" s="4">
        <v>0.7226712</v>
      </c>
      <c r="AA9" s="4">
        <v>150.8681</v>
      </c>
      <c r="AB9" s="4">
        <v>162.9919</v>
      </c>
      <c r="AC9" s="4">
        <v>1.050456</v>
      </c>
      <c r="AD9" s="4">
        <v>154.7309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40.20906</v>
      </c>
      <c r="AO9" s="10">
        <v>56.46339</v>
      </c>
      <c r="AP9" s="11">
        <v>-80.21557</v>
      </c>
      <c r="AQ9" s="11">
        <v>0.286603</v>
      </c>
      <c r="AR9" s="12">
        <v>0.0002873535</v>
      </c>
    </row>
    <row r="10" spans="2:47" ht="13.5" customHeight="1" x14ac:dyDescent="0.25">
      <c r="B10" s="121">
        <v>0.5</v>
      </c>
      <c r="C10" s="20"/>
      <c r="D10" s="62">
        <v>22.67253</v>
      </c>
      <c r="E10" s="4">
        <v>415.2514</v>
      </c>
      <c r="F10" s="4"/>
      <c r="G10" s="4">
        <v>0</v>
      </c>
      <c r="H10" s="5">
        <v>419.0586</v>
      </c>
      <c r="I10" s="6">
        <v>21.29268</v>
      </c>
      <c r="J10" s="4">
        <v>0.01739648</v>
      </c>
      <c r="K10" s="4">
        <v>37.81105</v>
      </c>
      <c r="L10" s="4">
        <v>1.405255</v>
      </c>
      <c r="M10" s="4">
        <v>102.2841</v>
      </c>
      <c r="N10" s="4">
        <v>109.3605</v>
      </c>
      <c r="O10" s="4">
        <v>20.43411</v>
      </c>
      <c r="P10" s="4">
        <v>20.25586</v>
      </c>
      <c r="Q10" s="4"/>
      <c r="R10" s="4">
        <v>2.604004</v>
      </c>
      <c r="S10" s="4">
        <v>139.4604</v>
      </c>
      <c r="T10" s="4">
        <v>1.436632</v>
      </c>
      <c r="U10" s="4">
        <v>0.2991382</v>
      </c>
      <c r="V10" s="4"/>
      <c r="W10" s="4">
        <v>90.90442</v>
      </c>
      <c r="X10" s="4">
        <v>0.5317509</v>
      </c>
      <c r="Y10" s="4" t="s">
        <v>76</v>
      </c>
      <c r="Z10" s="4">
        <v>0.7356767</v>
      </c>
      <c r="AA10" s="4">
        <v>150.7885</v>
      </c>
      <c r="AB10" s="4">
        <v>163.18</v>
      </c>
      <c r="AC10" s="4">
        <v>1.05042</v>
      </c>
      <c r="AD10" s="4">
        <v>155.353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39.09143</v>
      </c>
      <c r="AO10" s="10">
        <v>56.60084</v>
      </c>
      <c r="AP10" s="11">
        <v>-80.09259</v>
      </c>
      <c r="AQ10" s="11">
        <v>0.2877604</v>
      </c>
      <c r="AR10" s="12">
        <v>0.0002882385</v>
      </c>
    </row>
    <row r="11" spans="2:47" ht="13.5" customHeight="1" x14ac:dyDescent="0.25">
      <c r="B11" s="121">
        <v>0.54166666666666696</v>
      </c>
      <c r="C11" s="20"/>
      <c r="D11" s="62">
        <v>22.84614</v>
      </c>
      <c r="E11" s="4">
        <v>416.3379</v>
      </c>
      <c r="F11" s="4"/>
      <c r="G11" s="4">
        <v>0</v>
      </c>
      <c r="H11" s="5">
        <v>419.8111</v>
      </c>
      <c r="I11" s="6">
        <v>15.69734</v>
      </c>
      <c r="J11" s="4">
        <v>0.01684961</v>
      </c>
      <c r="K11" s="4">
        <v>36.74045</v>
      </c>
      <c r="L11" s="4">
        <v>1.356608</v>
      </c>
      <c r="M11" s="4">
        <v>102.4414</v>
      </c>
      <c r="N11" s="4">
        <v>109.3244</v>
      </c>
      <c r="O11" s="4">
        <v>20.5137</v>
      </c>
      <c r="P11" s="4">
        <v>20.25977</v>
      </c>
      <c r="Q11" s="4"/>
      <c r="R11" s="4">
        <v>2.620605</v>
      </c>
      <c r="S11" s="4">
        <v>139.4893</v>
      </c>
      <c r="T11" s="4">
        <v>1.43533</v>
      </c>
      <c r="U11" s="4">
        <v>0.3000483</v>
      </c>
      <c r="V11" s="4"/>
      <c r="W11" s="4">
        <v>90.77654</v>
      </c>
      <c r="X11" s="4">
        <v>0.5312567</v>
      </c>
      <c r="Y11" s="4" t="s">
        <v>76</v>
      </c>
      <c r="Z11" s="4">
        <v>0.7447304</v>
      </c>
      <c r="AA11" s="4">
        <v>151.0127</v>
      </c>
      <c r="AB11" s="4">
        <v>163.3753</v>
      </c>
      <c r="AC11" s="4">
        <v>1.05042</v>
      </c>
      <c r="AD11" s="4">
        <v>156.0836</v>
      </c>
      <c r="AE11" s="7">
        <v>33.15</v>
      </c>
      <c r="AF11" s="7"/>
      <c r="AG11" s="7"/>
      <c r="AH11" s="7">
        <v>18.29</v>
      </c>
      <c r="AI11" s="7">
        <v>20.11</v>
      </c>
      <c r="AJ11" s="7">
        <v>8.04</v>
      </c>
      <c r="AK11" s="7">
        <v>6.73</v>
      </c>
      <c r="AL11" s="4">
        <v>0</v>
      </c>
      <c r="AM11" s="8">
        <v>0</v>
      </c>
      <c r="AN11" s="9">
        <v>38.1004</v>
      </c>
      <c r="AO11" s="10">
        <v>56.60807</v>
      </c>
      <c r="AP11" s="11">
        <v>-79.84664</v>
      </c>
      <c r="AQ11" s="11">
        <v>0.2907986</v>
      </c>
      <c r="AR11" s="12">
        <v>0.0002904053</v>
      </c>
    </row>
    <row r="12" spans="2:47" ht="13.5" customHeight="1" x14ac:dyDescent="0.25">
      <c r="B12" s="121">
        <v>0.58333333333333304</v>
      </c>
      <c r="C12" s="20"/>
      <c r="D12" s="62">
        <v>23.19336</v>
      </c>
      <c r="E12" s="4">
        <v>417.5344</v>
      </c>
      <c r="F12" s="4"/>
      <c r="G12" s="4">
        <v>0</v>
      </c>
      <c r="H12" s="5">
        <v>420.358</v>
      </c>
      <c r="I12" s="6">
        <v>24.88788</v>
      </c>
      <c r="J12" s="4">
        <v>0.01732617</v>
      </c>
      <c r="K12" s="4">
        <v>36.64641</v>
      </c>
      <c r="L12" s="4">
        <v>1.340694</v>
      </c>
      <c r="M12" s="4">
        <v>102.5391</v>
      </c>
      <c r="N12" s="4">
        <v>109.8524</v>
      </c>
      <c r="O12" s="4">
        <v>20.3527</v>
      </c>
      <c r="P12" s="4">
        <v>20.25195</v>
      </c>
      <c r="Q12" s="4"/>
      <c r="R12" s="4">
        <v>2.606934</v>
      </c>
      <c r="S12" s="4">
        <v>139.5761</v>
      </c>
      <c r="T12" s="4">
        <v>1.433594</v>
      </c>
      <c r="U12" s="4">
        <v>0.3017816</v>
      </c>
      <c r="V12" s="4"/>
      <c r="W12" s="4">
        <v>91.07989</v>
      </c>
      <c r="X12" s="4">
        <v>0.5305017</v>
      </c>
      <c r="Y12" s="4" t="s">
        <v>76</v>
      </c>
      <c r="Z12" s="4">
        <v>0.727688</v>
      </c>
      <c r="AA12" s="4">
        <v>150.7523</v>
      </c>
      <c r="AB12" s="4">
        <v>163.2596</v>
      </c>
      <c r="AC12" s="4">
        <v>1.050456</v>
      </c>
      <c r="AD12" s="4">
        <v>155.3241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35.9158</v>
      </c>
      <c r="AO12" s="10">
        <v>57.24103</v>
      </c>
      <c r="AP12" s="11">
        <v>-79.33305</v>
      </c>
      <c r="AQ12" s="11">
        <v>0.2843605</v>
      </c>
      <c r="AR12" s="12">
        <v>0.0002908325</v>
      </c>
    </row>
    <row r="13" spans="2:47" ht="13.5" customHeight="1" x14ac:dyDescent="0.25">
      <c r="B13" s="121">
        <v>0.625</v>
      </c>
      <c r="C13" s="20">
        <v>5.591724</v>
      </c>
      <c r="D13" s="62">
        <v>23.10655</v>
      </c>
      <c r="E13" s="4">
        <v>417.4506</v>
      </c>
      <c r="F13" s="4"/>
      <c r="G13" s="4">
        <v>0</v>
      </c>
      <c r="H13" s="5">
        <v>421.3894</v>
      </c>
      <c r="I13" s="6">
        <v>19.03935</v>
      </c>
      <c r="J13" s="4">
        <v>0.01752734</v>
      </c>
      <c r="K13" s="4">
        <v>37.10938</v>
      </c>
      <c r="L13" s="4">
        <v>1.38048</v>
      </c>
      <c r="M13" s="4">
        <v>103.2715</v>
      </c>
      <c r="N13" s="4">
        <v>109.592</v>
      </c>
      <c r="O13" s="4">
        <v>20.13764</v>
      </c>
      <c r="P13" s="4">
        <v>20.28125</v>
      </c>
      <c r="Q13" s="4"/>
      <c r="R13" s="4">
        <v>2.605957</v>
      </c>
      <c r="S13" s="4">
        <v>139.5472</v>
      </c>
      <c r="T13" s="4">
        <v>1.43533</v>
      </c>
      <c r="U13" s="4">
        <v>0.3009841</v>
      </c>
      <c r="V13" s="4"/>
      <c r="W13" s="4">
        <v>91.22643</v>
      </c>
      <c r="X13" s="4">
        <v>0.5295113</v>
      </c>
      <c r="Y13" s="4" t="s">
        <v>76</v>
      </c>
      <c r="Z13" s="4">
        <v>0.7263601</v>
      </c>
      <c r="AA13" s="4">
        <v>150.6944</v>
      </c>
      <c r="AB13" s="4">
        <v>163.0425</v>
      </c>
      <c r="AC13" s="4">
        <v>1.050456</v>
      </c>
      <c r="AD13" s="4">
        <v>155.0058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34.54499</v>
      </c>
      <c r="AO13" s="10">
        <v>56.47786</v>
      </c>
      <c r="AP13" s="11">
        <v>-80.59896</v>
      </c>
      <c r="AQ13" s="11">
        <v>0.3005642</v>
      </c>
      <c r="AR13" s="12">
        <v>0.0002898865</v>
      </c>
    </row>
    <row r="14" spans="2:47" ht="13.5" customHeight="1" x14ac:dyDescent="0.25">
      <c r="B14" s="121">
        <v>0.66666666666666696</v>
      </c>
      <c r="C14" s="20"/>
      <c r="D14" s="62">
        <v>22.63997</v>
      </c>
      <c r="E14" s="4">
        <v>416.8875</v>
      </c>
      <c r="F14" s="4"/>
      <c r="G14" s="4">
        <v>0</v>
      </c>
      <c r="H14" s="5">
        <v>421.7858</v>
      </c>
      <c r="I14" s="6">
        <v>19.59635</v>
      </c>
      <c r="J14" s="4">
        <v>0.01971289</v>
      </c>
      <c r="K14" s="4">
        <v>38.15828</v>
      </c>
      <c r="L14" s="4">
        <v>1.468551</v>
      </c>
      <c r="M14" s="4">
        <v>104.3294</v>
      </c>
      <c r="N14" s="4">
        <v>111.5741</v>
      </c>
      <c r="O14" s="4">
        <v>20.40638</v>
      </c>
      <c r="P14" s="4">
        <v>20.27539</v>
      </c>
      <c r="Q14" s="4"/>
      <c r="R14" s="4">
        <v>2.594238</v>
      </c>
      <c r="S14" s="4">
        <v>139.3374</v>
      </c>
      <c r="T14" s="4">
        <v>1.434751</v>
      </c>
      <c r="U14" s="4">
        <v>0.3008932</v>
      </c>
      <c r="V14" s="4"/>
      <c r="W14" s="4">
        <v>90.63855</v>
      </c>
      <c r="X14" s="4">
        <v>0.5305555</v>
      </c>
      <c r="Y14" s="4" t="s">
        <v>76</v>
      </c>
      <c r="Z14" s="4">
        <v>0.737079</v>
      </c>
      <c r="AA14" s="4">
        <v>151.1791</v>
      </c>
      <c r="AB14" s="4">
        <v>163.3608</v>
      </c>
      <c r="AC14" s="4">
        <v>1.050456</v>
      </c>
      <c r="AD14" s="4">
        <v>155.7509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0.04456055</v>
      </c>
      <c r="AN14" s="9">
        <v>46.86776</v>
      </c>
      <c r="AO14" s="10">
        <v>56.06554</v>
      </c>
      <c r="AP14" s="11">
        <v>-80.61343</v>
      </c>
      <c r="AQ14" s="11">
        <v>0.2887731</v>
      </c>
      <c r="AR14" s="12">
        <v>0.0002888489</v>
      </c>
    </row>
    <row r="15" spans="2:47" ht="13.5" customHeight="1" x14ac:dyDescent="0.25">
      <c r="B15" s="121">
        <v>0.70833333333333304</v>
      </c>
      <c r="C15" s="20">
        <v>5.57364</v>
      </c>
      <c r="D15" s="62">
        <v>22.7105</v>
      </c>
      <c r="E15" s="4">
        <v>417.2536</v>
      </c>
      <c r="F15" s="4"/>
      <c r="G15" s="4">
        <v>0</v>
      </c>
      <c r="H15" s="5">
        <v>422.3033</v>
      </c>
      <c r="I15" s="6">
        <v>24.76129</v>
      </c>
      <c r="J15" s="4">
        <v>0.02001367</v>
      </c>
      <c r="K15" s="4">
        <v>37.13831</v>
      </c>
      <c r="L15" s="4">
        <v>1.376139</v>
      </c>
      <c r="M15" s="4">
        <v>101.8989</v>
      </c>
      <c r="N15" s="4">
        <v>108.5793</v>
      </c>
      <c r="O15" s="4">
        <v>20.20712</v>
      </c>
      <c r="P15" s="4">
        <v>20.25781</v>
      </c>
      <c r="Q15" s="4"/>
      <c r="R15" s="4">
        <v>2.579102</v>
      </c>
      <c r="S15" s="4">
        <v>139.3157</v>
      </c>
      <c r="T15" s="4">
        <v>1.432726</v>
      </c>
      <c r="U15" s="4">
        <v>0.2995882</v>
      </c>
      <c r="V15" s="4"/>
      <c r="W15" s="4">
        <v>91.34595</v>
      </c>
      <c r="X15" s="4">
        <v>0.5320191</v>
      </c>
      <c r="Y15" s="4" t="s">
        <v>76</v>
      </c>
      <c r="Z15" s="4">
        <v>0.7349426</v>
      </c>
      <c r="AA15" s="4">
        <v>151.5553</v>
      </c>
      <c r="AB15" s="4">
        <v>163.2596</v>
      </c>
      <c r="AC15" s="4">
        <v>1.050492</v>
      </c>
      <c r="AD15" s="4">
        <v>155.476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45.90567</v>
      </c>
      <c r="AO15" s="10">
        <v>56.61169</v>
      </c>
      <c r="AP15" s="11">
        <v>-79.88281</v>
      </c>
      <c r="AQ15" s="11">
        <v>0.2922454</v>
      </c>
      <c r="AR15" s="12">
        <v>0.0002911987</v>
      </c>
    </row>
    <row r="16" spans="2:47" ht="13.5" customHeight="1" x14ac:dyDescent="0.25">
      <c r="B16" s="121">
        <v>0.75</v>
      </c>
      <c r="C16" s="20"/>
      <c r="D16" s="62">
        <v>22.18425</v>
      </c>
      <c r="E16" s="4">
        <v>409.2052</v>
      </c>
      <c r="F16" s="4"/>
      <c r="G16" s="4">
        <v>0</v>
      </c>
      <c r="H16" s="5">
        <v>420.5381</v>
      </c>
      <c r="I16" s="6">
        <v>23.77387</v>
      </c>
      <c r="J16" s="4">
        <v>0.01962891</v>
      </c>
      <c r="K16" s="4">
        <v>36.79832</v>
      </c>
      <c r="L16" s="4">
        <v>1.441967</v>
      </c>
      <c r="M16" s="4">
        <v>105.1758</v>
      </c>
      <c r="N16" s="4">
        <v>112.066</v>
      </c>
      <c r="O16" s="4">
        <v>20.25985</v>
      </c>
      <c r="P16" s="4">
        <v>20.28516</v>
      </c>
      <c r="Q16" s="4"/>
      <c r="R16" s="4">
        <v>2.604004</v>
      </c>
      <c r="S16" s="4">
        <v>139.5327</v>
      </c>
      <c r="T16" s="4">
        <v>1.432147</v>
      </c>
      <c r="U16" s="4">
        <v>0.2992518</v>
      </c>
      <c r="V16" s="4"/>
      <c r="W16" s="4">
        <v>91.34392</v>
      </c>
      <c r="X16" s="4">
        <v>0.5302896</v>
      </c>
      <c r="Y16" s="4" t="s">
        <v>76</v>
      </c>
      <c r="Z16" s="4">
        <v>0.7367196</v>
      </c>
      <c r="AA16" s="4">
        <v>151.5553</v>
      </c>
      <c r="AB16" s="4">
        <v>163.5489</v>
      </c>
      <c r="AC16" s="4">
        <v>1.050492</v>
      </c>
      <c r="AD16" s="4">
        <v>155.8015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44.8857</v>
      </c>
      <c r="AO16" s="10">
        <v>56.07277</v>
      </c>
      <c r="AP16" s="11">
        <v>-80.7147</v>
      </c>
      <c r="AQ16" s="11">
        <v>0.2799479</v>
      </c>
      <c r="AR16" s="12">
        <v>0.000289093</v>
      </c>
    </row>
    <row r="17" spans="2:44" ht="13.5" customHeight="1" x14ac:dyDescent="0.25">
      <c r="B17" s="121">
        <v>0.79166666666666696</v>
      </c>
      <c r="C17" s="20"/>
      <c r="D17" s="62">
        <v>21.82075</v>
      </c>
      <c r="E17" s="4">
        <v>409.201</v>
      </c>
      <c r="F17" s="4"/>
      <c r="G17" s="4">
        <v>0</v>
      </c>
      <c r="H17" s="5">
        <v>418.7371</v>
      </c>
      <c r="I17" s="6">
        <v>27.11588</v>
      </c>
      <c r="J17" s="4">
        <v>0.0195625</v>
      </c>
      <c r="K17" s="4">
        <v>35.81453</v>
      </c>
      <c r="L17" s="4">
        <v>1.306062</v>
      </c>
      <c r="M17" s="4">
        <v>104.9967</v>
      </c>
      <c r="N17" s="4">
        <v>112.5651</v>
      </c>
      <c r="O17" s="4">
        <v>20.28904</v>
      </c>
      <c r="P17" s="4">
        <v>20.25391</v>
      </c>
      <c r="Q17" s="4"/>
      <c r="R17" s="4">
        <v>2.586426</v>
      </c>
      <c r="S17" s="4">
        <v>139.4314</v>
      </c>
      <c r="T17" s="4">
        <v>1.439091</v>
      </c>
      <c r="U17" s="4">
        <v>0.2994736</v>
      </c>
      <c r="V17" s="4"/>
      <c r="W17" s="4">
        <v>90.80163</v>
      </c>
      <c r="X17" s="4">
        <v>0.5293618</v>
      </c>
      <c r="Y17" s="4" t="s">
        <v>76</v>
      </c>
      <c r="Z17" s="4">
        <v>0.7327451</v>
      </c>
      <c r="AA17" s="4">
        <v>151.5625</v>
      </c>
      <c r="AB17" s="4">
        <v>163.4187</v>
      </c>
      <c r="AC17" s="4">
        <v>1.050492</v>
      </c>
      <c r="AD17" s="4">
        <v>155.6496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42.98322</v>
      </c>
      <c r="AO17" s="10">
        <v>56.60807</v>
      </c>
      <c r="AP17" s="11">
        <v>-79.79601</v>
      </c>
      <c r="AQ17" s="11">
        <v>0.2912326</v>
      </c>
      <c r="AR17" s="12">
        <v>0.000287384</v>
      </c>
    </row>
    <row r="18" spans="2:44" ht="13.5" customHeight="1" x14ac:dyDescent="0.25">
      <c r="B18" s="121">
        <v>0.83333333333333404</v>
      </c>
      <c r="C18" s="23"/>
      <c r="D18" s="62">
        <v>21.66884</v>
      </c>
      <c r="E18" s="13">
        <v>409.6871</v>
      </c>
      <c r="F18" s="13"/>
      <c r="G18" s="13">
        <v>0</v>
      </c>
      <c r="H18" s="14">
        <v>415.9572</v>
      </c>
      <c r="I18" s="15">
        <v>19.46976</v>
      </c>
      <c r="J18" s="13">
        <v>0.02018555</v>
      </c>
      <c r="K18" s="13">
        <v>35.34433</v>
      </c>
      <c r="L18" s="13">
        <v>1.386086</v>
      </c>
      <c r="M18" s="13">
        <v>107.3351</v>
      </c>
      <c r="N18" s="13">
        <v>115.0029</v>
      </c>
      <c r="O18" s="13">
        <v>20.31209</v>
      </c>
      <c r="P18" s="13">
        <v>20.26953</v>
      </c>
      <c r="Q18" s="13"/>
      <c r="R18" s="13">
        <v>2.557129</v>
      </c>
      <c r="S18" s="13">
        <v>139.4459</v>
      </c>
      <c r="T18" s="13">
        <v>1.437789</v>
      </c>
      <c r="U18" s="13">
        <v>0.30122</v>
      </c>
      <c r="V18" s="13"/>
      <c r="W18" s="13">
        <v>90.99271</v>
      </c>
      <c r="X18" s="13">
        <v>0.5278069</v>
      </c>
      <c r="Y18" s="13">
        <v>0.5282244</v>
      </c>
      <c r="Z18" s="13">
        <v>0.7383178</v>
      </c>
      <c r="AA18" s="13">
        <v>151.5697</v>
      </c>
      <c r="AB18" s="13">
        <v>163.5851</v>
      </c>
      <c r="AC18" s="13">
        <v>1.050456</v>
      </c>
      <c r="AD18" s="13">
        <v>155.6713</v>
      </c>
      <c r="AE18" s="16">
        <v>33.1</v>
      </c>
      <c r="AF18" s="16"/>
      <c r="AG18" s="16"/>
      <c r="AH18" s="16">
        <v>13.71</v>
      </c>
      <c r="AI18" s="16"/>
      <c r="AJ18" s="16"/>
      <c r="AK18" s="16">
        <v>6.58</v>
      </c>
      <c r="AL18" s="13">
        <v>0</v>
      </c>
      <c r="AM18" s="17">
        <v>0</v>
      </c>
      <c r="AN18" s="18">
        <v>42.54919</v>
      </c>
      <c r="AO18" s="10">
        <v>56.06192</v>
      </c>
      <c r="AP18" s="11">
        <v>-80.61343</v>
      </c>
      <c r="AQ18" s="11">
        <v>0.3009259</v>
      </c>
      <c r="AR18" s="19">
        <v>0.0002857361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-80.04919</v>
      </c>
      <c r="D22" s="62">
        <v>-79.80324</v>
      </c>
      <c r="E22" s="62">
        <v>103.125</v>
      </c>
      <c r="F22" s="62">
        <v>0</v>
      </c>
      <c r="G22" s="62"/>
      <c r="H22" s="62"/>
      <c r="I22" s="62"/>
      <c r="J22" s="62"/>
      <c r="K22" s="62"/>
      <c r="L22" s="63"/>
      <c r="M22" s="82">
        <v>15.23799</v>
      </c>
      <c r="N22" s="62">
        <v>27.3112</v>
      </c>
      <c r="O22" s="62">
        <v>39.5</v>
      </c>
      <c r="P22" s="62">
        <v>22</v>
      </c>
      <c r="Q22" s="62">
        <v>2.954861</v>
      </c>
      <c r="R22" s="62">
        <v>19.12254</v>
      </c>
      <c r="S22" s="84">
        <v>92.60344</v>
      </c>
      <c r="T22" s="84">
        <v>35</v>
      </c>
      <c r="U22" s="84">
        <v>86.87355</v>
      </c>
      <c r="V22" s="84">
        <v>12.31011</v>
      </c>
      <c r="W22" s="84">
        <v>18.93989</v>
      </c>
      <c r="X22" s="84">
        <v>0</v>
      </c>
      <c r="Y22" s="84">
        <v>0</v>
      </c>
      <c r="Z22" s="84">
        <v>30.36929</v>
      </c>
      <c r="AA22" s="84">
        <v>55.94618</v>
      </c>
      <c r="AB22" s="84"/>
      <c r="AC22" s="66"/>
      <c r="AD22" s="66">
        <v>1.548231</v>
      </c>
      <c r="AE22" s="66"/>
      <c r="AF22" s="66">
        <v>71.84968</v>
      </c>
      <c r="AG22" s="66">
        <v>17.29601</v>
      </c>
      <c r="AH22" s="66"/>
      <c r="AI22" s="85"/>
      <c r="AJ22" s="85"/>
      <c r="AK22" s="85"/>
      <c r="AL22" s="85"/>
      <c r="AM22" s="85"/>
      <c r="AN22" s="66">
        <v>53.46499</v>
      </c>
      <c r="AO22" s="67">
        <v>50</v>
      </c>
      <c r="AP22" s="68">
        <v>25.28212</v>
      </c>
      <c r="AQ22" s="69">
        <v>39.44227</v>
      </c>
      <c r="AR22" s="70">
        <v>0.1085129</v>
      </c>
    </row>
    <row r="23" spans="2:44" ht="13.5" customHeight="1" x14ac:dyDescent="0.25">
      <c r="B23" s="121">
        <v>0.375</v>
      </c>
      <c r="C23" s="20">
        <v>-80.25897</v>
      </c>
      <c r="D23" s="4">
        <v>-79.94792</v>
      </c>
      <c r="E23" s="4">
        <v>103.1322</v>
      </c>
      <c r="F23" s="4">
        <v>0.09302662</v>
      </c>
      <c r="G23" s="4">
        <v>8.857727E-05</v>
      </c>
      <c r="H23" s="4"/>
      <c r="I23" s="4"/>
      <c r="J23" s="4"/>
      <c r="K23" s="4"/>
      <c r="L23" s="5"/>
      <c r="M23" s="20">
        <v>15.25608</v>
      </c>
      <c r="N23" s="4">
        <v>27.76693</v>
      </c>
      <c r="O23" s="4">
        <v>39.5</v>
      </c>
      <c r="P23" s="4">
        <v>22</v>
      </c>
      <c r="Q23" s="4">
        <v>3.288629</v>
      </c>
      <c r="R23" s="62">
        <v>19.864</v>
      </c>
      <c r="S23" s="21">
        <v>93.37746</v>
      </c>
      <c r="T23" s="21">
        <v>36</v>
      </c>
      <c r="U23" s="21">
        <v>89.44119</v>
      </c>
      <c r="V23" s="84">
        <v>12.20703</v>
      </c>
      <c r="W23" s="21">
        <v>19.74826</v>
      </c>
      <c r="X23" s="21">
        <v>0</v>
      </c>
      <c r="Y23" s="21">
        <v>0</v>
      </c>
      <c r="Z23" s="21">
        <v>30.84672</v>
      </c>
      <c r="AA23" s="21">
        <v>53.27691</v>
      </c>
      <c r="AB23" s="21"/>
      <c r="AC23" s="8"/>
      <c r="AD23" s="8">
        <v>1.548286</v>
      </c>
      <c r="AE23" s="8">
        <v>0.001154419</v>
      </c>
      <c r="AF23" s="8">
        <v>72.18243</v>
      </c>
      <c r="AG23" s="8">
        <v>23.72685</v>
      </c>
      <c r="AH23" s="8">
        <v>450</v>
      </c>
      <c r="AI23" s="22"/>
      <c r="AJ23" s="22"/>
      <c r="AK23" s="22"/>
      <c r="AL23" s="22"/>
      <c r="AM23" s="22"/>
      <c r="AN23" s="8">
        <v>51.6059</v>
      </c>
      <c r="AO23" s="9">
        <v>50</v>
      </c>
      <c r="AP23" s="10">
        <v>25.63477</v>
      </c>
      <c r="AQ23" s="11">
        <v>39.22526</v>
      </c>
      <c r="AR23" s="12">
        <v>0.08680725</v>
      </c>
    </row>
    <row r="24" spans="2:44" ht="13.5" customHeight="1" x14ac:dyDescent="0.25">
      <c r="B24" s="121">
        <v>0.41666666666666702</v>
      </c>
      <c r="C24" s="20">
        <v>-79.90451</v>
      </c>
      <c r="D24" s="4">
        <v>-79.65133</v>
      </c>
      <c r="E24" s="4">
        <v>103.1286</v>
      </c>
      <c r="F24" s="4">
        <v>0.08832465</v>
      </c>
      <c r="G24" s="4">
        <v>8.935547E-05</v>
      </c>
      <c r="H24" s="4"/>
      <c r="I24" s="4"/>
      <c r="J24" s="4"/>
      <c r="K24" s="4"/>
      <c r="L24" s="5"/>
      <c r="M24" s="20">
        <v>15.28139</v>
      </c>
      <c r="N24" s="4">
        <v>28.44329</v>
      </c>
      <c r="O24" s="4">
        <v>39.5</v>
      </c>
      <c r="P24" s="4">
        <v>22</v>
      </c>
      <c r="Q24" s="4">
        <v>3.360677</v>
      </c>
      <c r="R24" s="62">
        <v>19.86039</v>
      </c>
      <c r="S24" s="21">
        <v>91.909</v>
      </c>
      <c r="T24" s="21">
        <v>33</v>
      </c>
      <c r="U24" s="21">
        <v>81.0319</v>
      </c>
      <c r="V24" s="84">
        <v>10.94835</v>
      </c>
      <c r="W24" s="21">
        <v>19.67773</v>
      </c>
      <c r="X24" s="21">
        <v>0</v>
      </c>
      <c r="Y24" s="21">
        <v>6.895617</v>
      </c>
      <c r="Z24" s="21">
        <v>0</v>
      </c>
      <c r="AA24" s="21">
        <v>90.44054</v>
      </c>
      <c r="AB24" s="21"/>
      <c r="AC24" s="8"/>
      <c r="AD24" s="8">
        <v>1.54834</v>
      </c>
      <c r="AE24" s="8">
        <v>0.001255249</v>
      </c>
      <c r="AF24" s="8">
        <v>72.41753</v>
      </c>
      <c r="AG24" s="8">
        <v>16.61965</v>
      </c>
      <c r="AH24" s="8">
        <v>279.1</v>
      </c>
      <c r="AI24" s="22"/>
      <c r="AJ24" s="22"/>
      <c r="AK24" s="22"/>
      <c r="AL24" s="22"/>
      <c r="AM24" s="22"/>
      <c r="AN24" s="8">
        <v>52.1846</v>
      </c>
      <c r="AO24" s="9">
        <v>50</v>
      </c>
      <c r="AP24" s="10">
        <v>26.31293</v>
      </c>
      <c r="AQ24" s="11">
        <v>39.41695</v>
      </c>
      <c r="AR24" s="12">
        <v>0.09766388</v>
      </c>
    </row>
    <row r="25" spans="2:44" ht="13.5" customHeight="1" x14ac:dyDescent="0.25">
      <c r="B25" s="121">
        <v>0.45833333333333298</v>
      </c>
      <c r="C25" s="20">
        <v>-80.21557</v>
      </c>
      <c r="D25" s="4">
        <v>-79.86835</v>
      </c>
      <c r="E25" s="4">
        <v>103.1286</v>
      </c>
      <c r="F25" s="4">
        <v>0.1226852</v>
      </c>
      <c r="G25" s="4">
        <v>9.120179E-05</v>
      </c>
      <c r="H25" s="4"/>
      <c r="I25" s="4"/>
      <c r="J25" s="4"/>
      <c r="K25" s="4"/>
      <c r="L25" s="5"/>
      <c r="M25" s="20">
        <v>15.33565</v>
      </c>
      <c r="N25" s="4">
        <v>29.1739</v>
      </c>
      <c r="O25" s="4">
        <v>39.5</v>
      </c>
      <c r="P25" s="4">
        <v>22</v>
      </c>
      <c r="Q25" s="4">
        <v>3.315972</v>
      </c>
      <c r="R25" s="62">
        <v>19.57827</v>
      </c>
      <c r="S25" s="21">
        <v>92.55642</v>
      </c>
      <c r="T25" s="21">
        <v>33.5</v>
      </c>
      <c r="U25" s="21">
        <v>82.36617</v>
      </c>
      <c r="V25" s="84">
        <v>11.38238</v>
      </c>
      <c r="W25" s="21">
        <v>19.41732</v>
      </c>
      <c r="X25" s="21">
        <v>0</v>
      </c>
      <c r="Y25" s="21">
        <v>7.562753</v>
      </c>
      <c r="Z25" s="21">
        <v>11.03335</v>
      </c>
      <c r="AA25" s="21">
        <v>61.71875</v>
      </c>
      <c r="AB25" s="21"/>
      <c r="AC25" s="8"/>
      <c r="AD25" s="8">
        <v>1.548231</v>
      </c>
      <c r="AE25" s="8">
        <v>0.0006031494</v>
      </c>
      <c r="AF25" s="8">
        <v>72.60923</v>
      </c>
      <c r="AG25" s="8">
        <v>51.99653</v>
      </c>
      <c r="AH25" s="8">
        <v>329.8</v>
      </c>
      <c r="AI25" s="22"/>
      <c r="AJ25" s="22"/>
      <c r="AK25" s="22"/>
      <c r="AL25" s="22"/>
      <c r="AM25" s="22"/>
      <c r="AN25" s="8">
        <v>54.91175</v>
      </c>
      <c r="AO25" s="9">
        <v>50</v>
      </c>
      <c r="AP25" s="10">
        <v>26.80122</v>
      </c>
      <c r="AQ25" s="11">
        <v>39.42781</v>
      </c>
      <c r="AR25" s="12">
        <v>0.08680725</v>
      </c>
    </row>
    <row r="26" spans="2:44" ht="13.5" customHeight="1" x14ac:dyDescent="0.25">
      <c r="B26" s="121">
        <v>0.5</v>
      </c>
      <c r="C26" s="20">
        <v>-80.09259</v>
      </c>
      <c r="D26" s="4">
        <v>-79.65857</v>
      </c>
      <c r="E26" s="4">
        <v>103.1286</v>
      </c>
      <c r="F26" s="4">
        <v>0.08449074</v>
      </c>
      <c r="G26" s="4">
        <v>9.007263E-05</v>
      </c>
      <c r="H26" s="4"/>
      <c r="I26" s="4"/>
      <c r="J26" s="4"/>
      <c r="K26" s="4"/>
      <c r="L26" s="5"/>
      <c r="M26" s="20">
        <v>15.39713</v>
      </c>
      <c r="N26" s="4">
        <v>30.09621</v>
      </c>
      <c r="O26" s="4">
        <v>39.5</v>
      </c>
      <c r="P26" s="4">
        <v>22</v>
      </c>
      <c r="Q26" s="4">
        <v>3.356771</v>
      </c>
      <c r="R26" s="62">
        <v>19.85315</v>
      </c>
      <c r="S26" s="21">
        <v>94.50593</v>
      </c>
      <c r="T26" s="21">
        <v>0</v>
      </c>
      <c r="U26" s="21">
        <v>138.9999</v>
      </c>
      <c r="V26" s="84">
        <v>8.919271</v>
      </c>
      <c r="W26" s="21">
        <v>145.4644</v>
      </c>
      <c r="X26" s="21">
        <v>35</v>
      </c>
      <c r="Y26" s="21">
        <v>92.69278</v>
      </c>
      <c r="Z26" s="21">
        <v>14.44951</v>
      </c>
      <c r="AA26" s="21">
        <v>19.67231</v>
      </c>
      <c r="AB26" s="21"/>
      <c r="AC26" s="8"/>
      <c r="AD26" s="8">
        <v>0.4575195</v>
      </c>
      <c r="AE26" s="8">
        <v>0.00135437</v>
      </c>
      <c r="AF26" s="8">
        <v>73.00347</v>
      </c>
      <c r="AG26" s="8">
        <v>11.30281</v>
      </c>
      <c r="AH26" s="8"/>
      <c r="AI26" s="22">
        <v>6.08</v>
      </c>
      <c r="AJ26" s="22"/>
      <c r="AK26" s="22"/>
      <c r="AL26" s="22"/>
      <c r="AM26" s="22"/>
      <c r="AN26" s="8">
        <v>54.85388</v>
      </c>
      <c r="AO26" s="9">
        <v>50</v>
      </c>
      <c r="AP26" s="10">
        <v>27.41609</v>
      </c>
      <c r="AQ26" s="11">
        <v>39.21803</v>
      </c>
      <c r="AR26" s="12">
        <v>0.09766388</v>
      </c>
    </row>
    <row r="27" spans="2:44" ht="13.5" customHeight="1" x14ac:dyDescent="0.25">
      <c r="B27" s="121">
        <v>0.54166666666666596</v>
      </c>
      <c r="C27" s="20">
        <v>-79.84664</v>
      </c>
      <c r="D27" s="4">
        <v>-79.34028</v>
      </c>
      <c r="E27" s="4">
        <v>103.1286</v>
      </c>
      <c r="F27" s="4">
        <v>0.1201534</v>
      </c>
      <c r="G27" s="4">
        <v>8.72345E-05</v>
      </c>
      <c r="H27" s="4"/>
      <c r="I27" s="4"/>
      <c r="J27" s="4"/>
      <c r="K27" s="4"/>
      <c r="L27" s="5"/>
      <c r="M27" s="20">
        <v>15.43692</v>
      </c>
      <c r="N27" s="4">
        <v>31.11617</v>
      </c>
      <c r="O27" s="4">
        <v>39.5</v>
      </c>
      <c r="P27" s="4">
        <v>22</v>
      </c>
      <c r="Q27" s="4">
        <v>3.428819</v>
      </c>
      <c r="R27" s="62">
        <v>19.71933</v>
      </c>
      <c r="S27" s="21">
        <v>92.82407</v>
      </c>
      <c r="T27" s="21">
        <v>0</v>
      </c>
      <c r="U27" s="21">
        <v>0</v>
      </c>
      <c r="V27" s="84">
        <v>12.14193</v>
      </c>
      <c r="W27" s="21">
        <v>98.88239</v>
      </c>
      <c r="X27" s="21">
        <v>35</v>
      </c>
      <c r="Y27" s="21">
        <v>91.92474</v>
      </c>
      <c r="Z27" s="21">
        <v>15.56713</v>
      </c>
      <c r="AA27" s="21">
        <v>19.5638</v>
      </c>
      <c r="AB27" s="21"/>
      <c r="AC27" s="8"/>
      <c r="AD27" s="8">
        <v>1.548394</v>
      </c>
      <c r="AE27" s="8">
        <v>0.001326782</v>
      </c>
      <c r="AF27" s="8">
        <v>73.09751</v>
      </c>
      <c r="AG27" s="8">
        <v>12.91233</v>
      </c>
      <c r="AH27" s="8"/>
      <c r="AI27" s="22"/>
      <c r="AJ27" s="22"/>
      <c r="AK27" s="22"/>
      <c r="AL27" s="22"/>
      <c r="AM27" s="22"/>
      <c r="AN27" s="8">
        <v>57.364</v>
      </c>
      <c r="AO27" s="9">
        <v>50</v>
      </c>
      <c r="AP27" s="10">
        <v>27.9315</v>
      </c>
      <c r="AQ27" s="11">
        <v>39.40611</v>
      </c>
      <c r="AR27" s="12">
        <v>0.08680725</v>
      </c>
    </row>
    <row r="28" spans="2:44" ht="13.5" customHeight="1" x14ac:dyDescent="0.25">
      <c r="B28" s="121">
        <v>0.58333333333333304</v>
      </c>
      <c r="C28" s="20">
        <v>-79.33305</v>
      </c>
      <c r="D28" s="4">
        <v>-78.74711</v>
      </c>
      <c r="E28" s="4">
        <v>103.1286</v>
      </c>
      <c r="F28" s="4">
        <v>0.06409144</v>
      </c>
      <c r="G28" s="4">
        <v>8.758545E-05</v>
      </c>
      <c r="H28" s="4"/>
      <c r="I28" s="4"/>
      <c r="J28" s="4"/>
      <c r="K28" s="4"/>
      <c r="L28" s="5"/>
      <c r="M28" s="20">
        <v>15.48394</v>
      </c>
      <c r="N28" s="4">
        <v>31.91551</v>
      </c>
      <c r="O28" s="4">
        <v>39.5</v>
      </c>
      <c r="P28" s="4">
        <v>22</v>
      </c>
      <c r="Q28" s="4">
        <v>3.050347</v>
      </c>
      <c r="R28" s="62">
        <v>19.57827</v>
      </c>
      <c r="S28" s="21">
        <v>93.8151</v>
      </c>
      <c r="T28" s="21">
        <v>0</v>
      </c>
      <c r="U28" s="21">
        <v>0</v>
      </c>
      <c r="V28" s="84">
        <v>15.42969</v>
      </c>
      <c r="W28" s="21">
        <v>88.43859</v>
      </c>
      <c r="X28" s="21">
        <v>50</v>
      </c>
      <c r="Y28" s="21">
        <v>132.2613</v>
      </c>
      <c r="Z28" s="21">
        <v>13.64837</v>
      </c>
      <c r="AA28" s="21">
        <v>19.49327</v>
      </c>
      <c r="AB28" s="21"/>
      <c r="AC28" s="8"/>
      <c r="AD28" s="8">
        <v>0</v>
      </c>
      <c r="AE28" s="8">
        <v>0.0008338623</v>
      </c>
      <c r="AF28" s="8">
        <v>73.32175</v>
      </c>
      <c r="AG28" s="8">
        <v>14.96672</v>
      </c>
      <c r="AH28" s="8"/>
      <c r="AI28" s="22"/>
      <c r="AJ28" s="22"/>
      <c r="AK28" s="22"/>
      <c r="AL28" s="22"/>
      <c r="AM28" s="22"/>
      <c r="AN28" s="8">
        <v>56.45255</v>
      </c>
      <c r="AO28" s="9">
        <v>50</v>
      </c>
      <c r="AP28" s="10">
        <v>28.32031</v>
      </c>
      <c r="AQ28" s="11">
        <v>39.69546</v>
      </c>
      <c r="AR28" s="12">
        <v>0.08680725</v>
      </c>
    </row>
    <row r="29" spans="2:44" ht="13.5" customHeight="1" x14ac:dyDescent="0.25">
      <c r="B29" s="121">
        <v>0.625</v>
      </c>
      <c r="C29" s="20">
        <v>-80.59896</v>
      </c>
      <c r="D29" s="4">
        <v>-80.00578</v>
      </c>
      <c r="E29" s="4">
        <v>103.1286</v>
      </c>
      <c r="F29" s="4">
        <v>0.09150752</v>
      </c>
      <c r="G29" s="4">
        <v>8.813477E-05</v>
      </c>
      <c r="H29" s="4"/>
      <c r="I29" s="4"/>
      <c r="J29" s="4"/>
      <c r="K29" s="4"/>
      <c r="L29" s="5"/>
      <c r="M29" s="20">
        <v>15.51288</v>
      </c>
      <c r="N29" s="4">
        <v>32.58464</v>
      </c>
      <c r="O29" s="4">
        <v>39.5</v>
      </c>
      <c r="P29" s="4">
        <v>22</v>
      </c>
      <c r="Q29" s="4">
        <v>3.021267</v>
      </c>
      <c r="R29" s="62"/>
      <c r="S29" s="21">
        <v>93.05917</v>
      </c>
      <c r="T29" s="21">
        <v>0</v>
      </c>
      <c r="U29" s="21">
        <v>0</v>
      </c>
      <c r="V29" s="84">
        <v>16.99761</v>
      </c>
      <c r="W29" s="21">
        <v>82.23742</v>
      </c>
      <c r="X29" s="21">
        <v>50</v>
      </c>
      <c r="Y29" s="21">
        <v>132.1492</v>
      </c>
      <c r="Z29" s="21">
        <v>11.82002</v>
      </c>
      <c r="AA29" s="21">
        <v>21.41385</v>
      </c>
      <c r="AB29" s="21"/>
      <c r="AC29" s="8"/>
      <c r="AD29" s="8">
        <v>1.548394</v>
      </c>
      <c r="AE29" s="8">
        <v>0.000848999</v>
      </c>
      <c r="AF29" s="8">
        <v>73.56409</v>
      </c>
      <c r="AG29" s="8">
        <v>52.60055</v>
      </c>
      <c r="AH29" s="8"/>
      <c r="AI29" s="22"/>
      <c r="AJ29" s="22"/>
      <c r="AK29" s="22"/>
      <c r="AL29" s="22"/>
      <c r="AM29" s="22"/>
      <c r="AN29" s="8">
        <v>54.38368</v>
      </c>
      <c r="AO29" s="9">
        <v>50</v>
      </c>
      <c r="AP29" s="10">
        <v>28.82668</v>
      </c>
      <c r="AQ29" s="11">
        <v>39.6629</v>
      </c>
      <c r="AR29" s="12">
        <v>0.08680725</v>
      </c>
    </row>
    <row r="30" spans="2:44" ht="13.5" customHeight="1" x14ac:dyDescent="0.25">
      <c r="B30" s="121">
        <v>0.66666666666666596</v>
      </c>
      <c r="C30" s="20">
        <v>-80.61343</v>
      </c>
      <c r="D30" s="4">
        <v>-79.92622</v>
      </c>
      <c r="E30" s="4">
        <v>103.1286</v>
      </c>
      <c r="F30" s="4">
        <v>0.07364005</v>
      </c>
      <c r="G30" s="4">
        <v>9.056091E-05</v>
      </c>
      <c r="H30" s="4"/>
      <c r="I30" s="4"/>
      <c r="J30" s="4"/>
      <c r="K30" s="4"/>
      <c r="L30" s="5"/>
      <c r="M30" s="20">
        <v>15.53096</v>
      </c>
      <c r="N30" s="4">
        <v>33.07653</v>
      </c>
      <c r="O30" s="4">
        <v>39.5</v>
      </c>
      <c r="P30" s="4">
        <v>22</v>
      </c>
      <c r="Q30" s="4">
        <v>3.154514</v>
      </c>
      <c r="R30" s="62"/>
      <c r="S30" s="21">
        <v>91.9307</v>
      </c>
      <c r="T30" s="21">
        <v>0</v>
      </c>
      <c r="U30" s="21">
        <v>0</v>
      </c>
      <c r="V30" s="84">
        <v>17.66493</v>
      </c>
      <c r="W30" s="21">
        <v>81.43446</v>
      </c>
      <c r="X30" s="21">
        <v>33</v>
      </c>
      <c r="Y30" s="21">
        <v>85.34867</v>
      </c>
      <c r="Z30" s="21">
        <v>9.872323</v>
      </c>
      <c r="AA30" s="21">
        <v>20.37761</v>
      </c>
      <c r="AB30" s="21"/>
      <c r="AC30" s="8"/>
      <c r="AD30" s="8">
        <v>1.54834</v>
      </c>
      <c r="AE30" s="8">
        <v>0.0007947998</v>
      </c>
      <c r="AF30" s="8">
        <v>73.5026</v>
      </c>
      <c r="AG30" s="8">
        <v>72.45009</v>
      </c>
      <c r="AH30" s="8"/>
      <c r="AI30" s="22"/>
      <c r="AJ30" s="22"/>
      <c r="AK30" s="22"/>
      <c r="AL30" s="22"/>
      <c r="AM30" s="22"/>
      <c r="AN30" s="8">
        <v>52.84288</v>
      </c>
      <c r="AO30" s="9">
        <v>50</v>
      </c>
      <c r="AP30" s="10">
        <v>28.87189</v>
      </c>
      <c r="AQ30" s="11">
        <v>39.57972</v>
      </c>
      <c r="AR30" s="12">
        <v>0.08680725</v>
      </c>
    </row>
    <row r="31" spans="2:44" ht="13.5" customHeight="1" x14ac:dyDescent="0.25">
      <c r="B31" s="121">
        <v>0.70833333333333304</v>
      </c>
      <c r="C31" s="20">
        <v>-79.88281</v>
      </c>
      <c r="D31" s="4">
        <v>-79.07986</v>
      </c>
      <c r="E31" s="4">
        <v>103.1322</v>
      </c>
      <c r="F31" s="4">
        <v>0.08912037</v>
      </c>
      <c r="G31" s="4">
        <v>8.737182E-05</v>
      </c>
      <c r="H31" s="4"/>
      <c r="I31" s="4"/>
      <c r="J31" s="4"/>
      <c r="K31" s="4"/>
      <c r="L31" s="5"/>
      <c r="M31" s="20">
        <v>15.54181</v>
      </c>
      <c r="N31" s="4">
        <v>33.28631</v>
      </c>
      <c r="O31" s="4">
        <v>39.5</v>
      </c>
      <c r="P31" s="4">
        <v>22</v>
      </c>
      <c r="Q31" s="4">
        <v>3.255208</v>
      </c>
      <c r="R31" s="62"/>
      <c r="S31" s="21">
        <v>92.67578</v>
      </c>
      <c r="T31" s="21">
        <v>0</v>
      </c>
      <c r="U31" s="21">
        <v>0</v>
      </c>
      <c r="V31" s="84">
        <v>17.68663</v>
      </c>
      <c r="W31" s="21">
        <v>82.08009</v>
      </c>
      <c r="X31" s="21">
        <v>33</v>
      </c>
      <c r="Y31" s="21">
        <v>85.42715</v>
      </c>
      <c r="Z31" s="21">
        <v>10.5523</v>
      </c>
      <c r="AA31" s="21">
        <v>20.38303</v>
      </c>
      <c r="AB31" s="21"/>
      <c r="AC31" s="8"/>
      <c r="AD31" s="8">
        <v>1.548231</v>
      </c>
      <c r="AE31" s="8">
        <v>0.0008881836</v>
      </c>
      <c r="AF31" s="8">
        <v>73.59303</v>
      </c>
      <c r="AG31" s="8">
        <v>53.23712</v>
      </c>
      <c r="AH31" s="8"/>
      <c r="AI31" s="22"/>
      <c r="AJ31" s="22"/>
      <c r="AK31" s="22"/>
      <c r="AL31" s="22"/>
      <c r="AM31" s="22"/>
      <c r="AN31" s="8">
        <v>51.55526</v>
      </c>
      <c r="AO31" s="9">
        <v>50</v>
      </c>
      <c r="AP31" s="10">
        <v>29.43251</v>
      </c>
      <c r="AQ31" s="11">
        <v>39.54716</v>
      </c>
      <c r="AR31" s="12">
        <v>0.07595825</v>
      </c>
    </row>
    <row r="32" spans="2:44" ht="13.5" customHeight="1" x14ac:dyDescent="0.25">
      <c r="B32" s="121">
        <v>0.75</v>
      </c>
      <c r="C32" s="20">
        <v>-80.7147</v>
      </c>
      <c r="D32" s="4">
        <v>-80.02749</v>
      </c>
      <c r="E32" s="4">
        <v>103.1322</v>
      </c>
      <c r="F32" s="4">
        <v>0.1072049</v>
      </c>
      <c r="G32" s="4">
        <v>9.065247E-05</v>
      </c>
      <c r="H32" s="4"/>
      <c r="I32" s="4"/>
      <c r="J32" s="4"/>
      <c r="K32" s="4"/>
      <c r="L32" s="5"/>
      <c r="M32" s="20">
        <v>15.54181</v>
      </c>
      <c r="N32" s="4">
        <v>33.30801</v>
      </c>
      <c r="O32" s="4">
        <v>39.5</v>
      </c>
      <c r="P32" s="4">
        <v>22</v>
      </c>
      <c r="Q32" s="4">
        <v>3.380642</v>
      </c>
      <c r="R32" s="62">
        <v>19.11892</v>
      </c>
      <c r="S32" s="21">
        <v>94.36125</v>
      </c>
      <c r="T32" s="21">
        <v>0</v>
      </c>
      <c r="U32" s="21">
        <v>0</v>
      </c>
      <c r="V32" s="84">
        <v>17.87652</v>
      </c>
      <c r="W32" s="21">
        <v>81.72201</v>
      </c>
      <c r="X32" s="21">
        <v>50</v>
      </c>
      <c r="Y32" s="21">
        <v>130.8822</v>
      </c>
      <c r="Z32" s="21">
        <v>10.49443</v>
      </c>
      <c r="AA32" s="21">
        <v>19.04297</v>
      </c>
      <c r="AB32" s="21"/>
      <c r="AC32" s="8"/>
      <c r="AD32" s="8">
        <v>0</v>
      </c>
      <c r="AE32" s="8">
        <v>0.0003303223</v>
      </c>
      <c r="AF32" s="8">
        <v>73.88238</v>
      </c>
      <c r="AG32" s="8">
        <v>22.55136</v>
      </c>
      <c r="AH32" s="8"/>
      <c r="AI32" s="22"/>
      <c r="AJ32" s="22"/>
      <c r="AK32" s="22"/>
      <c r="AL32" s="22"/>
      <c r="AM32" s="22"/>
      <c r="AN32" s="8">
        <v>50.72338</v>
      </c>
      <c r="AO32" s="9">
        <v>50</v>
      </c>
      <c r="AP32" s="10">
        <v>29.50485</v>
      </c>
      <c r="AQ32" s="11">
        <v>39.63035</v>
      </c>
      <c r="AR32" s="12">
        <v>0.06510925</v>
      </c>
    </row>
    <row r="33" spans="2:44" ht="13.5" customHeight="1" x14ac:dyDescent="0.25">
      <c r="B33" s="121">
        <v>0.79166666666666696</v>
      </c>
      <c r="C33" s="20">
        <v>-79.79601</v>
      </c>
      <c r="D33" s="4">
        <v>-79.00752</v>
      </c>
      <c r="E33" s="4">
        <v>103.1322</v>
      </c>
      <c r="F33" s="4">
        <v>0.1402633</v>
      </c>
      <c r="G33" s="4">
        <v>9.057617E-05</v>
      </c>
      <c r="H33" s="4"/>
      <c r="I33" s="4"/>
      <c r="J33" s="4"/>
      <c r="K33" s="4"/>
      <c r="L33" s="5"/>
      <c r="M33" s="20">
        <v>15.53096</v>
      </c>
      <c r="N33" s="4">
        <v>33.26099</v>
      </c>
      <c r="O33" s="4">
        <v>39.5</v>
      </c>
      <c r="P33" s="4">
        <v>22</v>
      </c>
      <c r="Q33" s="4">
        <v>3.219184</v>
      </c>
      <c r="R33" s="62">
        <v>19.74826</v>
      </c>
      <c r="S33" s="21">
        <v>92.14048</v>
      </c>
      <c r="T33" s="21">
        <v>0</v>
      </c>
      <c r="U33" s="21">
        <v>0</v>
      </c>
      <c r="V33" s="84">
        <v>18.10439</v>
      </c>
      <c r="W33" s="21">
        <v>80.36567</v>
      </c>
      <c r="X33" s="21">
        <v>32</v>
      </c>
      <c r="Y33" s="21">
        <v>81.49722</v>
      </c>
      <c r="Z33" s="21">
        <v>10.17614</v>
      </c>
      <c r="AA33" s="21">
        <v>19.56923</v>
      </c>
      <c r="AB33" s="21"/>
      <c r="AC33" s="8"/>
      <c r="AD33" s="8">
        <v>0</v>
      </c>
      <c r="AE33" s="8">
        <v>0.0008033447</v>
      </c>
      <c r="AF33" s="8">
        <v>95.08463</v>
      </c>
      <c r="AG33" s="8">
        <v>57.97526</v>
      </c>
      <c r="AH33" s="8"/>
      <c r="AI33" s="22"/>
      <c r="AJ33" s="22"/>
      <c r="AK33" s="22"/>
      <c r="AL33" s="22"/>
      <c r="AM33" s="22"/>
      <c r="AN33" s="8">
        <v>50.13021</v>
      </c>
      <c r="AO33" s="9">
        <v>50</v>
      </c>
      <c r="AP33" s="10">
        <v>29.43251</v>
      </c>
      <c r="AQ33" s="11">
        <v>39.50014</v>
      </c>
      <c r="AR33" s="12">
        <v>0.07595825</v>
      </c>
    </row>
    <row r="34" spans="2:44" ht="13.5" customHeight="1" x14ac:dyDescent="0.25">
      <c r="B34" s="121">
        <v>0.83333333333333304</v>
      </c>
      <c r="C34" s="23">
        <v>-80.61343</v>
      </c>
      <c r="D34" s="13">
        <v>-79.90451</v>
      </c>
      <c r="E34" s="13">
        <v>103.1322</v>
      </c>
      <c r="F34" s="13">
        <v>0.09606481</v>
      </c>
      <c r="G34" s="13">
        <v>9.002686E-05</v>
      </c>
      <c r="H34" s="13"/>
      <c r="I34" s="13"/>
      <c r="J34" s="13"/>
      <c r="K34" s="13"/>
      <c r="L34" s="14"/>
      <c r="M34" s="23">
        <v>15.52011</v>
      </c>
      <c r="N34" s="13">
        <v>33.07653</v>
      </c>
      <c r="O34" s="13">
        <v>39.5</v>
      </c>
      <c r="P34" s="13">
        <v>22</v>
      </c>
      <c r="Q34" s="13">
        <v>3.554254</v>
      </c>
      <c r="R34" s="13">
        <v>19.13339</v>
      </c>
      <c r="S34" s="24">
        <v>91.50391</v>
      </c>
      <c r="T34" s="24">
        <v>50</v>
      </c>
      <c r="U34" s="24">
        <v>116.1155</v>
      </c>
      <c r="V34" s="84">
        <v>17.31228</v>
      </c>
      <c r="W34" s="24">
        <v>19.46615</v>
      </c>
      <c r="X34" s="24">
        <v>50</v>
      </c>
      <c r="Y34" s="24">
        <v>101.1525</v>
      </c>
      <c r="Z34" s="24">
        <v>11.63375</v>
      </c>
      <c r="AA34" s="24">
        <v>19.12978</v>
      </c>
      <c r="AB34" s="24"/>
      <c r="AC34" s="17"/>
      <c r="AD34" s="17">
        <v>0</v>
      </c>
      <c r="AE34" s="17">
        <v>0</v>
      </c>
      <c r="AF34" s="17">
        <v>99.94575</v>
      </c>
      <c r="AG34" s="17">
        <v>0</v>
      </c>
      <c r="AH34" s="17"/>
      <c r="AI34" s="25"/>
      <c r="AJ34" s="25"/>
      <c r="AK34" s="25"/>
      <c r="AL34" s="25"/>
      <c r="AM34" s="25"/>
      <c r="AN34" s="17">
        <v>50.18808</v>
      </c>
      <c r="AO34" s="18">
        <v>50</v>
      </c>
      <c r="AP34" s="26">
        <v>29.324</v>
      </c>
      <c r="AQ34" s="27">
        <v>39.58695</v>
      </c>
      <c r="AR34" s="28">
        <v>0.06510925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25.76678</v>
      </c>
      <c r="F39" s="62"/>
      <c r="G39" s="62"/>
      <c r="H39" s="62">
        <v>0</v>
      </c>
      <c r="I39" s="62"/>
      <c r="J39" s="62">
        <v>27.17195</v>
      </c>
      <c r="K39" s="62">
        <v>40</v>
      </c>
      <c r="L39" s="62">
        <v>26.87355</v>
      </c>
      <c r="M39" s="62">
        <v>0</v>
      </c>
      <c r="N39" s="62"/>
      <c r="O39" s="62">
        <v>27.78682</v>
      </c>
      <c r="P39" s="62">
        <v>0.05</v>
      </c>
      <c r="Q39" s="62">
        <v>0.3331163</v>
      </c>
      <c r="R39" s="62"/>
      <c r="S39" s="62">
        <v>0</v>
      </c>
      <c r="T39" s="62"/>
      <c r="U39" s="84">
        <v>0</v>
      </c>
      <c r="V39" s="90"/>
      <c r="W39" s="91">
        <v>97.33073</v>
      </c>
      <c r="X39" s="84">
        <v>18.96701</v>
      </c>
      <c r="Y39" s="84">
        <v>50</v>
      </c>
      <c r="Z39" s="84">
        <v>0</v>
      </c>
      <c r="AA39" s="84">
        <v>12.31011</v>
      </c>
      <c r="AB39" s="84">
        <v>18.93989</v>
      </c>
      <c r="AC39" s="84">
        <v>50</v>
      </c>
      <c r="AD39" s="84">
        <v>123.7847</v>
      </c>
      <c r="AE39" s="66">
        <v>30.36929</v>
      </c>
      <c r="AF39" s="66">
        <v>55.94618</v>
      </c>
      <c r="AG39" s="66"/>
      <c r="AH39" s="66">
        <v>0</v>
      </c>
      <c r="AI39" s="66">
        <v>2.238788</v>
      </c>
      <c r="AJ39" s="66"/>
      <c r="AK39" s="66">
        <v>68.45703</v>
      </c>
      <c r="AL39" s="67">
        <v>42.47685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7.69043E-06</v>
      </c>
      <c r="E40" s="4">
        <v>32.11805</v>
      </c>
      <c r="F40" s="4"/>
      <c r="G40" s="4"/>
      <c r="H40" s="4">
        <v>0</v>
      </c>
      <c r="I40" s="4">
        <v>0.0002450943</v>
      </c>
      <c r="J40" s="4">
        <v>27.1629</v>
      </c>
      <c r="K40" s="4">
        <v>40</v>
      </c>
      <c r="L40" s="4">
        <v>26.9911</v>
      </c>
      <c r="M40" s="4">
        <v>0</v>
      </c>
      <c r="N40" s="4">
        <v>0</v>
      </c>
      <c r="O40" s="4">
        <v>28.5735</v>
      </c>
      <c r="P40" s="4">
        <v>0.05</v>
      </c>
      <c r="Q40" s="4">
        <v>0.3217593</v>
      </c>
      <c r="R40" s="4">
        <v>0.0003160706</v>
      </c>
      <c r="S40" s="4">
        <v>0</v>
      </c>
      <c r="T40" s="4">
        <v>0</v>
      </c>
      <c r="U40" s="21">
        <v>0</v>
      </c>
      <c r="V40" s="29">
        <v>0</v>
      </c>
      <c r="W40" s="30">
        <v>97.6454</v>
      </c>
      <c r="X40" s="21">
        <v>19.12254</v>
      </c>
      <c r="Y40" s="21">
        <v>40</v>
      </c>
      <c r="Z40" s="21">
        <v>104.1406</v>
      </c>
      <c r="AA40" s="21">
        <v>12.20703</v>
      </c>
      <c r="AB40" s="21">
        <v>19.74826</v>
      </c>
      <c r="AC40" s="21">
        <v>40</v>
      </c>
      <c r="AD40" s="21">
        <v>107.7734</v>
      </c>
      <c r="AE40" s="8">
        <v>30.84672</v>
      </c>
      <c r="AF40" s="8">
        <v>53.27691</v>
      </c>
      <c r="AG40" s="8"/>
      <c r="AH40" s="8">
        <v>0</v>
      </c>
      <c r="AI40" s="8">
        <v>0</v>
      </c>
      <c r="AJ40" s="8">
        <v>0.0001736965</v>
      </c>
      <c r="AK40" s="8">
        <v>68.45341</v>
      </c>
      <c r="AL40" s="9">
        <v>42.22512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7.698059E-06</v>
      </c>
      <c r="E41" s="4">
        <v>27.32928</v>
      </c>
      <c r="F41" s="4"/>
      <c r="G41" s="4"/>
      <c r="H41" s="4">
        <v>0</v>
      </c>
      <c r="I41" s="4">
        <v>0</v>
      </c>
      <c r="J41" s="4">
        <v>27.32566</v>
      </c>
      <c r="K41" s="4">
        <v>40</v>
      </c>
      <c r="L41" s="4">
        <v>27.38896</v>
      </c>
      <c r="M41" s="4">
        <v>0</v>
      </c>
      <c r="N41" s="4">
        <v>0</v>
      </c>
      <c r="O41" s="4">
        <v>29.23358</v>
      </c>
      <c r="P41" s="4">
        <v>0.05</v>
      </c>
      <c r="Q41" s="4">
        <v>0.3164062</v>
      </c>
      <c r="R41" s="4">
        <v>0.000315918</v>
      </c>
      <c r="S41" s="4">
        <v>0</v>
      </c>
      <c r="T41" s="4">
        <v>0</v>
      </c>
      <c r="U41" s="21">
        <v>0</v>
      </c>
      <c r="V41" s="29">
        <v>0</v>
      </c>
      <c r="W41" s="30">
        <v>95.09548</v>
      </c>
      <c r="X41" s="21">
        <v>18.60894</v>
      </c>
      <c r="Y41" s="21">
        <v>35</v>
      </c>
      <c r="Z41" s="21">
        <v>91.05035</v>
      </c>
      <c r="AA41" s="21">
        <v>10.94835</v>
      </c>
      <c r="AB41" s="21">
        <v>19.67773</v>
      </c>
      <c r="AC41" s="21">
        <v>35</v>
      </c>
      <c r="AD41" s="21">
        <v>94.3099</v>
      </c>
      <c r="AE41" s="8">
        <v>0</v>
      </c>
      <c r="AF41" s="8">
        <v>90.44054</v>
      </c>
      <c r="AG41" s="8"/>
      <c r="AH41" s="8">
        <v>0</v>
      </c>
      <c r="AI41" s="8">
        <v>0</v>
      </c>
      <c r="AJ41" s="8">
        <v>0</v>
      </c>
      <c r="AK41" s="8">
        <v>68.49682</v>
      </c>
      <c r="AL41" s="9">
        <v>41.91551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2.312469E-05</v>
      </c>
      <c r="E42" s="4">
        <v>30.42535</v>
      </c>
      <c r="F42" s="4"/>
      <c r="G42" s="4"/>
      <c r="H42" s="4">
        <v>0</v>
      </c>
      <c r="I42" s="4">
        <v>0.001229286</v>
      </c>
      <c r="J42" s="4">
        <v>27.61502</v>
      </c>
      <c r="K42" s="4">
        <v>40</v>
      </c>
      <c r="L42" s="4">
        <v>27.77778</v>
      </c>
      <c r="M42" s="4">
        <v>0</v>
      </c>
      <c r="N42" s="4">
        <v>0</v>
      </c>
      <c r="O42" s="4">
        <v>30.12876</v>
      </c>
      <c r="P42" s="4">
        <v>0.05</v>
      </c>
      <c r="Q42" s="4">
        <v>0.3155382</v>
      </c>
      <c r="R42" s="4">
        <v>0.0003141785</v>
      </c>
      <c r="S42" s="4">
        <v>0</v>
      </c>
      <c r="T42" s="4">
        <v>0</v>
      </c>
      <c r="U42" s="21">
        <v>0</v>
      </c>
      <c r="V42" s="29">
        <v>0</v>
      </c>
      <c r="W42" s="30">
        <v>95.81525</v>
      </c>
      <c r="X42" s="21">
        <v>17.9362</v>
      </c>
      <c r="Y42" s="21">
        <v>35</v>
      </c>
      <c r="Z42" s="21">
        <v>90.6033</v>
      </c>
      <c r="AA42" s="21">
        <v>11.38238</v>
      </c>
      <c r="AB42" s="21">
        <v>19.41732</v>
      </c>
      <c r="AC42" s="21">
        <v>35</v>
      </c>
      <c r="AD42" s="21">
        <v>93.93664</v>
      </c>
      <c r="AE42" s="8">
        <v>11.03335</v>
      </c>
      <c r="AF42" s="8">
        <v>61.71875</v>
      </c>
      <c r="AG42" s="8"/>
      <c r="AH42" s="8">
        <v>0</v>
      </c>
      <c r="AI42" s="8">
        <v>0</v>
      </c>
      <c r="AJ42" s="8">
        <v>0</v>
      </c>
      <c r="AK42" s="8">
        <v>68.53298</v>
      </c>
      <c r="AL42" s="9">
        <v>41.67824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8.762359E-06</v>
      </c>
      <c r="E43" s="4">
        <v>27.95862</v>
      </c>
      <c r="F43" s="4"/>
      <c r="G43" s="4"/>
      <c r="H43" s="4">
        <v>0</v>
      </c>
      <c r="I43" s="4">
        <v>0.0001945496</v>
      </c>
      <c r="J43" s="4">
        <v>28.00383</v>
      </c>
      <c r="K43" s="4">
        <v>40</v>
      </c>
      <c r="L43" s="4">
        <v>28.17564</v>
      </c>
      <c r="M43" s="4">
        <v>0</v>
      </c>
      <c r="N43" s="4">
        <v>0</v>
      </c>
      <c r="O43" s="4">
        <v>30.96969</v>
      </c>
      <c r="P43" s="4">
        <v>0.05</v>
      </c>
      <c r="Q43" s="4">
        <v>0.3261719</v>
      </c>
      <c r="R43" s="4">
        <v>0.0003162537</v>
      </c>
      <c r="S43" s="4">
        <v>0</v>
      </c>
      <c r="T43" s="4">
        <v>0</v>
      </c>
      <c r="U43" s="21">
        <v>0</v>
      </c>
      <c r="V43" s="29">
        <v>0</v>
      </c>
      <c r="W43" s="30">
        <v>96.64713</v>
      </c>
      <c r="X43" s="21">
        <v>19.36849</v>
      </c>
      <c r="Y43" s="21">
        <v>40.5</v>
      </c>
      <c r="Z43" s="21">
        <v>104.6528</v>
      </c>
      <c r="AA43" s="21">
        <v>8.919271</v>
      </c>
      <c r="AB43" s="21">
        <v>145.4644</v>
      </c>
      <c r="AC43" s="21">
        <v>41.5</v>
      </c>
      <c r="AD43" s="21">
        <v>111.4063</v>
      </c>
      <c r="AE43" s="8">
        <v>14.44951</v>
      </c>
      <c r="AF43" s="8">
        <v>19.67231</v>
      </c>
      <c r="AG43" s="8"/>
      <c r="AH43" s="8">
        <v>0</v>
      </c>
      <c r="AI43" s="8">
        <v>0</v>
      </c>
      <c r="AJ43" s="8">
        <v>0</v>
      </c>
      <c r="AK43" s="8">
        <v>68.56915</v>
      </c>
      <c r="AL43" s="9">
        <v>41.42361</v>
      </c>
      <c r="AM43" s="31"/>
      <c r="AN43" s="22">
        <v>0.06</v>
      </c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1.124763E-05</v>
      </c>
      <c r="E44" s="4">
        <v>25.62211</v>
      </c>
      <c r="F44" s="4"/>
      <c r="G44" s="4"/>
      <c r="H44" s="4">
        <v>0</v>
      </c>
      <c r="I44" s="4">
        <v>0.0002326965</v>
      </c>
      <c r="J44" s="4">
        <v>28.34744</v>
      </c>
      <c r="K44" s="4">
        <v>40</v>
      </c>
      <c r="L44" s="4">
        <v>28.51924</v>
      </c>
      <c r="M44" s="4">
        <v>0</v>
      </c>
      <c r="N44" s="4">
        <v>0</v>
      </c>
      <c r="O44" s="4">
        <v>31.70211</v>
      </c>
      <c r="P44" s="4">
        <v>0.05</v>
      </c>
      <c r="Q44" s="4">
        <v>0.3085214</v>
      </c>
      <c r="R44" s="4">
        <v>0.0003144531</v>
      </c>
      <c r="S44" s="4">
        <v>0</v>
      </c>
      <c r="T44" s="4">
        <v>0</v>
      </c>
      <c r="U44" s="21">
        <v>0</v>
      </c>
      <c r="V44" s="29">
        <v>0</v>
      </c>
      <c r="W44" s="30">
        <v>96.92202</v>
      </c>
      <c r="X44" s="21">
        <v>19.36487</v>
      </c>
      <c r="Y44" s="21">
        <v>43</v>
      </c>
      <c r="Z44" s="21">
        <v>111.3629</v>
      </c>
      <c r="AA44" s="21">
        <v>12.14193</v>
      </c>
      <c r="AB44" s="21">
        <v>98.88239</v>
      </c>
      <c r="AC44" s="21">
        <v>41.5</v>
      </c>
      <c r="AD44" s="21">
        <v>111.467</v>
      </c>
      <c r="AE44" s="8">
        <v>15.56713</v>
      </c>
      <c r="AF44" s="8">
        <v>19.5638</v>
      </c>
      <c r="AG44" s="8"/>
      <c r="AH44" s="8">
        <v>0</v>
      </c>
      <c r="AI44" s="8">
        <v>0</v>
      </c>
      <c r="AJ44" s="8">
        <v>0</v>
      </c>
      <c r="AK44" s="8">
        <v>68.58</v>
      </c>
      <c r="AL44" s="9">
        <v>41.26447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4.816437E-05</v>
      </c>
      <c r="E45" s="4">
        <v>24.39236</v>
      </c>
      <c r="F45" s="4"/>
      <c r="G45" s="4"/>
      <c r="H45" s="4">
        <v>0</v>
      </c>
      <c r="I45" s="4">
        <v>0.0007553101</v>
      </c>
      <c r="J45" s="4">
        <v>28.73626</v>
      </c>
      <c r="K45" s="4">
        <v>40</v>
      </c>
      <c r="L45" s="4">
        <v>28.79955</v>
      </c>
      <c r="M45" s="4">
        <v>0</v>
      </c>
      <c r="N45" s="4">
        <v>0</v>
      </c>
      <c r="O45" s="4">
        <v>32.20848</v>
      </c>
      <c r="P45" s="4">
        <v>0.05</v>
      </c>
      <c r="Q45" s="4">
        <v>0.3085938</v>
      </c>
      <c r="R45" s="4">
        <v>0.0003138428</v>
      </c>
      <c r="S45" s="4">
        <v>0</v>
      </c>
      <c r="T45" s="4">
        <v>0</v>
      </c>
      <c r="U45" s="21">
        <v>0</v>
      </c>
      <c r="V45" s="29">
        <v>0</v>
      </c>
      <c r="W45" s="30">
        <v>98.716</v>
      </c>
      <c r="X45" s="21">
        <v>19.68678</v>
      </c>
      <c r="Y45" s="21">
        <v>43</v>
      </c>
      <c r="Z45" s="21">
        <v>111.5191</v>
      </c>
      <c r="AA45" s="21">
        <v>15.42969</v>
      </c>
      <c r="AB45" s="21">
        <v>88.43859</v>
      </c>
      <c r="AC45" s="21">
        <v>41.5</v>
      </c>
      <c r="AD45" s="21">
        <v>111.9835</v>
      </c>
      <c r="AE45" s="8">
        <v>13.64837</v>
      </c>
      <c r="AF45" s="8">
        <v>19.49327</v>
      </c>
      <c r="AG45" s="8"/>
      <c r="AH45" s="8">
        <v>0</v>
      </c>
      <c r="AI45" s="8">
        <v>0</v>
      </c>
      <c r="AJ45" s="8">
        <v>0</v>
      </c>
      <c r="AK45" s="8">
        <v>68.59447</v>
      </c>
      <c r="AL45" s="9">
        <v>41.0272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3.93486E-06</v>
      </c>
      <c r="E46" s="4">
        <v>23.30006</v>
      </c>
      <c r="F46" s="4"/>
      <c r="G46" s="4"/>
      <c r="H46" s="4">
        <v>0</v>
      </c>
      <c r="I46" s="4">
        <v>0.0003442764</v>
      </c>
      <c r="J46" s="4">
        <v>29.13412</v>
      </c>
      <c r="K46" s="4">
        <v>40</v>
      </c>
      <c r="L46" s="4">
        <v>29.01657</v>
      </c>
      <c r="M46" s="4">
        <v>0</v>
      </c>
      <c r="N46" s="4">
        <v>0</v>
      </c>
      <c r="O46" s="4">
        <v>32.59729</v>
      </c>
      <c r="P46" s="4">
        <v>0.05</v>
      </c>
      <c r="Q46" s="4">
        <v>0.3092448</v>
      </c>
      <c r="R46" s="4">
        <v>0.0003158874</v>
      </c>
      <c r="S46" s="4">
        <v>0</v>
      </c>
      <c r="T46" s="4">
        <v>0</v>
      </c>
      <c r="U46" s="21">
        <v>0</v>
      </c>
      <c r="V46" s="29">
        <v>0</v>
      </c>
      <c r="W46" s="30">
        <v>94.32146</v>
      </c>
      <c r="X46" s="21">
        <v>19.04659</v>
      </c>
      <c r="Y46" s="21">
        <v>43</v>
      </c>
      <c r="Z46" s="21">
        <v>110.9635</v>
      </c>
      <c r="AA46" s="21">
        <v>16.99761</v>
      </c>
      <c r="AB46" s="21">
        <v>82.23742</v>
      </c>
      <c r="AC46" s="21">
        <v>45</v>
      </c>
      <c r="AD46" s="21">
        <v>120.4774</v>
      </c>
      <c r="AE46" s="8">
        <v>11.82002</v>
      </c>
      <c r="AF46" s="8">
        <v>21.41385</v>
      </c>
      <c r="AG46" s="8"/>
      <c r="AH46" s="8">
        <v>0</v>
      </c>
      <c r="AI46" s="8">
        <v>0</v>
      </c>
      <c r="AJ46" s="8">
        <v>0</v>
      </c>
      <c r="AK46" s="8">
        <v>68.60894</v>
      </c>
      <c r="AL46" s="9">
        <v>40.85359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2.09198E-05</v>
      </c>
      <c r="E47" s="4">
        <v>24.00174</v>
      </c>
      <c r="F47" s="4"/>
      <c r="G47" s="4"/>
      <c r="H47" s="4">
        <v>0</v>
      </c>
      <c r="I47" s="4">
        <v>0.0003061295</v>
      </c>
      <c r="J47" s="4">
        <v>29.46868</v>
      </c>
      <c r="K47" s="4">
        <v>40</v>
      </c>
      <c r="L47" s="4">
        <v>29.07986</v>
      </c>
      <c r="M47" s="4">
        <v>0</v>
      </c>
      <c r="N47" s="4">
        <v>0</v>
      </c>
      <c r="O47" s="4">
        <v>32.76006</v>
      </c>
      <c r="P47" s="4">
        <v>0.05</v>
      </c>
      <c r="Q47" s="4">
        <v>0.3082321</v>
      </c>
      <c r="R47" s="4">
        <v>0.0003145142</v>
      </c>
      <c r="S47" s="4">
        <v>0</v>
      </c>
      <c r="T47" s="4">
        <v>0</v>
      </c>
      <c r="U47" s="21">
        <v>0</v>
      </c>
      <c r="V47" s="29">
        <v>0</v>
      </c>
      <c r="W47" s="30">
        <v>95.0991</v>
      </c>
      <c r="X47" s="21">
        <v>18.67405</v>
      </c>
      <c r="Y47" s="21">
        <v>40.5</v>
      </c>
      <c r="Z47" s="21">
        <v>104.0321</v>
      </c>
      <c r="AA47" s="21">
        <v>17.66493</v>
      </c>
      <c r="AB47" s="21">
        <v>81.43446</v>
      </c>
      <c r="AC47" s="21">
        <v>41</v>
      </c>
      <c r="AD47" s="21">
        <v>109.6484</v>
      </c>
      <c r="AE47" s="8">
        <v>9.872323</v>
      </c>
      <c r="AF47" s="8">
        <v>20.37761</v>
      </c>
      <c r="AG47" s="8"/>
      <c r="AH47" s="8">
        <v>0</v>
      </c>
      <c r="AI47" s="8">
        <v>0</v>
      </c>
      <c r="AJ47" s="8">
        <v>0</v>
      </c>
      <c r="AK47" s="8">
        <v>68.59086</v>
      </c>
      <c r="AL47" s="9">
        <v>40.68287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3.3741E-06</v>
      </c>
      <c r="E48" s="4">
        <v>25.02893</v>
      </c>
      <c r="F48" s="4"/>
      <c r="G48" s="4"/>
      <c r="H48" s="4">
        <v>0</v>
      </c>
      <c r="I48" s="4">
        <v>0</v>
      </c>
      <c r="J48" s="4">
        <v>29.81228</v>
      </c>
      <c r="K48" s="4">
        <v>40</v>
      </c>
      <c r="L48" s="4">
        <v>29.41442</v>
      </c>
      <c r="M48" s="4">
        <v>0</v>
      </c>
      <c r="N48" s="4">
        <v>0</v>
      </c>
      <c r="O48" s="4">
        <v>33.09462</v>
      </c>
      <c r="P48" s="4">
        <v>0.05</v>
      </c>
      <c r="Q48" s="4">
        <v>0.3177083</v>
      </c>
      <c r="R48" s="4">
        <v>0.0003147888</v>
      </c>
      <c r="S48" s="4">
        <v>0</v>
      </c>
      <c r="T48" s="4">
        <v>0</v>
      </c>
      <c r="U48" s="21">
        <v>0</v>
      </c>
      <c r="V48" s="29">
        <v>0</v>
      </c>
      <c r="W48" s="30">
        <v>92.34303</v>
      </c>
      <c r="X48" s="21">
        <v>19.41913</v>
      </c>
      <c r="Y48" s="21">
        <v>38</v>
      </c>
      <c r="Z48" s="21">
        <v>97.59549</v>
      </c>
      <c r="AA48" s="21">
        <v>17.68663</v>
      </c>
      <c r="AB48" s="21">
        <v>82.08009</v>
      </c>
      <c r="AC48" s="21">
        <v>38</v>
      </c>
      <c r="AD48" s="21">
        <v>101.9531</v>
      </c>
      <c r="AE48" s="8">
        <v>10.5523</v>
      </c>
      <c r="AF48" s="8">
        <v>20.38303</v>
      </c>
      <c r="AG48" s="8"/>
      <c r="AH48" s="8">
        <v>0</v>
      </c>
      <c r="AI48" s="8">
        <v>0</v>
      </c>
      <c r="AJ48" s="8">
        <v>0</v>
      </c>
      <c r="AK48" s="8">
        <v>68.61979</v>
      </c>
      <c r="AL48" s="9">
        <v>40.54977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1.377869E-05</v>
      </c>
      <c r="E49" s="4">
        <v>23.95833</v>
      </c>
      <c r="F49" s="4"/>
      <c r="G49" s="4"/>
      <c r="H49" s="4">
        <v>0</v>
      </c>
      <c r="I49" s="4">
        <v>0</v>
      </c>
      <c r="J49" s="4">
        <v>30.09259</v>
      </c>
      <c r="K49" s="4">
        <v>40</v>
      </c>
      <c r="L49" s="4">
        <v>29.45963</v>
      </c>
      <c r="M49" s="4">
        <v>0</v>
      </c>
      <c r="N49" s="4">
        <v>0</v>
      </c>
      <c r="O49" s="4">
        <v>33.22121</v>
      </c>
      <c r="P49" s="4">
        <v>0.05</v>
      </c>
      <c r="Q49" s="4">
        <v>0.3085214</v>
      </c>
      <c r="R49" s="4">
        <v>0.00031427</v>
      </c>
      <c r="S49" s="4">
        <v>0</v>
      </c>
      <c r="T49" s="4">
        <v>0</v>
      </c>
      <c r="U49" s="21">
        <v>0</v>
      </c>
      <c r="V49" s="29">
        <v>0</v>
      </c>
      <c r="W49" s="30">
        <v>91.91261</v>
      </c>
      <c r="X49" s="21">
        <v>19.68316</v>
      </c>
      <c r="Y49" s="21">
        <v>40</v>
      </c>
      <c r="Z49" s="21">
        <v>102.8516</v>
      </c>
      <c r="AA49" s="21">
        <v>17.87652</v>
      </c>
      <c r="AB49" s="21">
        <v>81.72201</v>
      </c>
      <c r="AC49" s="21">
        <v>40</v>
      </c>
      <c r="AD49" s="21">
        <v>107.4436</v>
      </c>
      <c r="AE49" s="8">
        <v>10.49443</v>
      </c>
      <c r="AF49" s="8">
        <v>19.04297</v>
      </c>
      <c r="AG49" s="8"/>
      <c r="AH49" s="8">
        <v>0</v>
      </c>
      <c r="AI49" s="8">
        <v>0</v>
      </c>
      <c r="AJ49" s="8">
        <v>0</v>
      </c>
      <c r="AK49" s="8">
        <v>68.59809</v>
      </c>
      <c r="AL49" s="9">
        <v>40.32986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1.763153E-05</v>
      </c>
      <c r="E50" s="4">
        <v>24.11024</v>
      </c>
      <c r="F50" s="4"/>
      <c r="G50" s="4"/>
      <c r="H50" s="4">
        <v>0</v>
      </c>
      <c r="I50" s="4">
        <v>0.000793457</v>
      </c>
      <c r="J50" s="4">
        <v>30.30961</v>
      </c>
      <c r="K50" s="4">
        <v>40</v>
      </c>
      <c r="L50" s="4">
        <v>29.52293</v>
      </c>
      <c r="M50" s="4">
        <v>0</v>
      </c>
      <c r="N50" s="4">
        <v>0</v>
      </c>
      <c r="O50" s="4">
        <v>33.21217</v>
      </c>
      <c r="P50" s="4">
        <v>0.05</v>
      </c>
      <c r="Q50" s="4">
        <v>0.2720631</v>
      </c>
      <c r="R50" s="4">
        <v>0.0002254639</v>
      </c>
      <c r="S50" s="4">
        <v>0</v>
      </c>
      <c r="T50" s="4">
        <v>0</v>
      </c>
      <c r="U50" s="21">
        <v>0</v>
      </c>
      <c r="V50" s="29">
        <v>0</v>
      </c>
      <c r="W50" s="30">
        <v>89.70631</v>
      </c>
      <c r="X50" s="21">
        <v>18.09534</v>
      </c>
      <c r="Y50" s="21">
        <v>40</v>
      </c>
      <c r="Z50" s="21">
        <v>102.8168</v>
      </c>
      <c r="AA50" s="21">
        <v>18.10439</v>
      </c>
      <c r="AB50" s="21">
        <v>80.36567</v>
      </c>
      <c r="AC50" s="21">
        <v>40</v>
      </c>
      <c r="AD50" s="21">
        <v>106.8056</v>
      </c>
      <c r="AE50" s="8">
        <v>10.17614</v>
      </c>
      <c r="AF50" s="8">
        <v>19.56923</v>
      </c>
      <c r="AG50" s="8"/>
      <c r="AH50" s="8">
        <v>0</v>
      </c>
      <c r="AI50" s="8">
        <v>0</v>
      </c>
      <c r="AJ50" s="8">
        <v>0</v>
      </c>
      <c r="AK50" s="8">
        <v>68.57277</v>
      </c>
      <c r="AL50" s="9">
        <v>40.17361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2.108765E-05</v>
      </c>
      <c r="E51" s="13">
        <v>24.71065</v>
      </c>
      <c r="F51" s="13"/>
      <c r="G51" s="13"/>
      <c r="H51" s="13">
        <v>0</v>
      </c>
      <c r="I51" s="13">
        <v>0.0004472733</v>
      </c>
      <c r="J51" s="13">
        <v>30.42716</v>
      </c>
      <c r="K51" s="13">
        <v>40</v>
      </c>
      <c r="L51" s="13">
        <v>29.52293</v>
      </c>
      <c r="M51" s="13">
        <v>0</v>
      </c>
      <c r="N51" s="13">
        <v>0</v>
      </c>
      <c r="O51" s="13">
        <v>33.04036</v>
      </c>
      <c r="P51" s="13">
        <v>0.05</v>
      </c>
      <c r="Q51" s="13">
        <v>0.1094473</v>
      </c>
      <c r="R51" s="13">
        <v>0.0002600098</v>
      </c>
      <c r="S51" s="13">
        <v>0</v>
      </c>
      <c r="T51" s="13">
        <v>0</v>
      </c>
      <c r="U51" s="24">
        <v>0</v>
      </c>
      <c r="V51" s="32">
        <v>0</v>
      </c>
      <c r="W51" s="33">
        <v>97.21137</v>
      </c>
      <c r="X51" s="24">
        <v>18.78617</v>
      </c>
      <c r="Y51" s="24">
        <v>50</v>
      </c>
      <c r="Z51" s="24">
        <v>123.8802</v>
      </c>
      <c r="AA51" s="24">
        <v>17.31228</v>
      </c>
      <c r="AB51" s="24">
        <v>19.46615</v>
      </c>
      <c r="AC51" s="24">
        <v>0</v>
      </c>
      <c r="AD51" s="24">
        <v>20.59462</v>
      </c>
      <c r="AE51" s="17">
        <v>11.63375</v>
      </c>
      <c r="AF51" s="17">
        <v>19.12978</v>
      </c>
      <c r="AG51" s="17"/>
      <c r="AH51" s="17">
        <v>0</v>
      </c>
      <c r="AI51" s="17">
        <v>0</v>
      </c>
      <c r="AJ51" s="17">
        <v>0</v>
      </c>
      <c r="AK51" s="17">
        <v>68.54745</v>
      </c>
      <c r="AL51" s="18">
        <v>40.02315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55" t="s">
        <v>367</v>
      </c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350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351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352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 t="s">
        <v>367</v>
      </c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5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>
        <v>21.66884</v>
      </c>
      <c r="E6" s="62">
        <v>409.6871</v>
      </c>
      <c r="F6" s="62"/>
      <c r="G6" s="62"/>
      <c r="H6" s="63">
        <v>415.9572</v>
      </c>
      <c r="I6" s="64">
        <v>19.46976</v>
      </c>
      <c r="J6" s="62"/>
      <c r="K6" s="62">
        <v>35.34433</v>
      </c>
      <c r="L6" s="62">
        <v>1.386086</v>
      </c>
      <c r="M6" s="62">
        <v>107.3351</v>
      </c>
      <c r="N6" s="62">
        <v>115.0029</v>
      </c>
      <c r="O6" s="62">
        <v>20.31209</v>
      </c>
      <c r="P6" s="62"/>
      <c r="Q6" s="62"/>
      <c r="R6" s="62"/>
      <c r="S6" s="62">
        <v>139.4459</v>
      </c>
      <c r="T6" s="62">
        <v>1.437789</v>
      </c>
      <c r="U6" s="62">
        <v>0.30122</v>
      </c>
      <c r="V6" s="62"/>
      <c r="W6" s="62">
        <v>90.99271</v>
      </c>
      <c r="X6" s="62">
        <v>0.5278069</v>
      </c>
      <c r="Y6" s="62" t="s">
        <v>4</v>
      </c>
      <c r="Z6" s="62">
        <v>0.7383178</v>
      </c>
      <c r="AA6" s="62">
        <v>151.5697</v>
      </c>
      <c r="AB6" s="62">
        <v>163.5851</v>
      </c>
      <c r="AC6" s="62">
        <v>1.050456</v>
      </c>
      <c r="AD6" s="62">
        <v>155.6713</v>
      </c>
      <c r="AE6" s="65">
        <v>33.1</v>
      </c>
      <c r="AF6" s="65"/>
      <c r="AG6" s="65"/>
      <c r="AH6" s="65">
        <v>13.71</v>
      </c>
      <c r="AI6" s="65"/>
      <c r="AJ6" s="65"/>
      <c r="AK6" s="65">
        <v>6.58</v>
      </c>
      <c r="AL6" s="62">
        <v>0</v>
      </c>
      <c r="AM6" s="66"/>
      <c r="AN6" s="67">
        <v>42.54919</v>
      </c>
      <c r="AO6" s="68">
        <v>56.06192</v>
      </c>
      <c r="AP6" s="69">
        <v>-80.61343</v>
      </c>
      <c r="AQ6" s="69">
        <v>0.3009259</v>
      </c>
      <c r="AR6" s="70"/>
    </row>
    <row r="7" spans="2:47" ht="13.5" customHeight="1" x14ac:dyDescent="0.25">
      <c r="B7" s="121">
        <v>0.875</v>
      </c>
      <c r="C7" s="20"/>
      <c r="D7" s="4">
        <v>21.03407</v>
      </c>
      <c r="E7" s="4">
        <v>413.6552</v>
      </c>
      <c r="F7" s="4"/>
      <c r="G7" s="4">
        <v>0</v>
      </c>
      <c r="H7" s="5">
        <v>415.4086</v>
      </c>
      <c r="I7" s="6">
        <v>20.86227</v>
      </c>
      <c r="J7" s="4">
        <v>0.01958008</v>
      </c>
      <c r="K7" s="4">
        <v>33.7963</v>
      </c>
      <c r="L7" s="4">
        <v>1.393591</v>
      </c>
      <c r="M7" s="4">
        <v>106.0927</v>
      </c>
      <c r="N7" s="4">
        <v>115.4731</v>
      </c>
      <c r="O7" s="4">
        <v>20.54101</v>
      </c>
      <c r="P7" s="4">
        <v>20.28711</v>
      </c>
      <c r="Q7" s="4"/>
      <c r="R7" s="4">
        <v>2.546387</v>
      </c>
      <c r="S7" s="4">
        <v>139.4242</v>
      </c>
      <c r="T7" s="4">
        <v>1.43533</v>
      </c>
      <c r="U7" s="4">
        <v>0.3000301</v>
      </c>
      <c r="V7" s="4"/>
      <c r="W7" s="4">
        <v>90.88427</v>
      </c>
      <c r="X7" s="4">
        <v>0.5305855</v>
      </c>
      <c r="Y7" s="4" t="s">
        <v>76</v>
      </c>
      <c r="Z7" s="4">
        <v>0.7264377</v>
      </c>
      <c r="AA7" s="4">
        <v>150.7957</v>
      </c>
      <c r="AB7" s="4">
        <v>162.8038</v>
      </c>
      <c r="AC7" s="4">
        <v>1.05042</v>
      </c>
      <c r="AD7" s="4">
        <v>154.2101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40.18374</v>
      </c>
      <c r="AO7" s="10">
        <v>56.19936</v>
      </c>
      <c r="AP7" s="11">
        <v>-80.59896</v>
      </c>
      <c r="AQ7" s="11">
        <v>0.2871817</v>
      </c>
      <c r="AR7" s="12">
        <v>0.0002878723</v>
      </c>
    </row>
    <row r="8" spans="2:47" ht="13.5" customHeight="1" x14ac:dyDescent="0.25">
      <c r="B8" s="120" t="s">
        <v>260</v>
      </c>
      <c r="C8" s="20"/>
      <c r="D8" s="4">
        <v>20.41558</v>
      </c>
      <c r="E8" s="4">
        <v>414.6304</v>
      </c>
      <c r="F8" s="4"/>
      <c r="G8" s="4">
        <v>0</v>
      </c>
      <c r="H8" s="5">
        <v>416.4181</v>
      </c>
      <c r="I8" s="6">
        <v>21.24204</v>
      </c>
      <c r="J8" s="4">
        <v>0.02050586</v>
      </c>
      <c r="K8" s="4">
        <v>33.55758</v>
      </c>
      <c r="L8" s="4">
        <v>1.465748</v>
      </c>
      <c r="M8" s="4">
        <v>107.2483</v>
      </c>
      <c r="N8" s="4">
        <v>115.6539</v>
      </c>
      <c r="O8" s="4">
        <v>20.49927</v>
      </c>
      <c r="P8" s="4">
        <v>20.2793</v>
      </c>
      <c r="Q8" s="4"/>
      <c r="R8" s="4">
        <v>2.543945</v>
      </c>
      <c r="S8" s="4">
        <v>139.5689</v>
      </c>
      <c r="T8" s="4">
        <v>1.435909</v>
      </c>
      <c r="U8" s="4">
        <v>0.3020101</v>
      </c>
      <c r="V8" s="4"/>
      <c r="W8" s="4">
        <v>91.07611</v>
      </c>
      <c r="X8" s="4">
        <v>0.5286872</v>
      </c>
      <c r="Y8" s="4" t="s">
        <v>76</v>
      </c>
      <c r="Z8" s="4">
        <v>0.7249882</v>
      </c>
      <c r="AA8" s="4">
        <v>150.5353</v>
      </c>
      <c r="AB8" s="4">
        <v>162.9557</v>
      </c>
      <c r="AC8" s="4">
        <v>1.050456</v>
      </c>
      <c r="AD8" s="4">
        <v>154.6658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39.17824</v>
      </c>
      <c r="AO8" s="10">
        <v>56.19936</v>
      </c>
      <c r="AP8" s="11">
        <v>-80.54832</v>
      </c>
      <c r="AQ8" s="11">
        <v>0.2900029</v>
      </c>
      <c r="AR8" s="12">
        <v>0.0002875366</v>
      </c>
    </row>
    <row r="9" spans="2:47" ht="13.5" customHeight="1" x14ac:dyDescent="0.25">
      <c r="B9" s="121">
        <v>0.95833333333333337</v>
      </c>
      <c r="C9" s="20"/>
      <c r="D9" s="4">
        <v>20.51324</v>
      </c>
      <c r="E9" s="4">
        <v>414.5159</v>
      </c>
      <c r="F9" s="4"/>
      <c r="G9" s="4">
        <v>0</v>
      </c>
      <c r="H9" s="5">
        <v>416.9553</v>
      </c>
      <c r="I9" s="6">
        <v>26.73611</v>
      </c>
      <c r="J9" s="4">
        <v>0.02021484</v>
      </c>
      <c r="K9" s="4">
        <v>33.12355</v>
      </c>
      <c r="L9" s="4">
        <v>1.363932</v>
      </c>
      <c r="M9" s="4">
        <v>104.6821</v>
      </c>
      <c r="N9" s="4">
        <v>114.3953</v>
      </c>
      <c r="O9" s="4">
        <v>20.23235</v>
      </c>
      <c r="P9" s="4">
        <v>20.25195</v>
      </c>
      <c r="Q9" s="4"/>
      <c r="R9" s="4">
        <v>2.521973</v>
      </c>
      <c r="S9" s="4">
        <v>139.4242</v>
      </c>
      <c r="T9" s="4">
        <v>1.438368</v>
      </c>
      <c r="U9" s="4">
        <v>0.300793</v>
      </c>
      <c r="V9" s="4"/>
      <c r="W9" s="4">
        <v>91.25337</v>
      </c>
      <c r="X9" s="4">
        <v>0.5301817</v>
      </c>
      <c r="Y9" s="4" t="s">
        <v>76</v>
      </c>
      <c r="Z9" s="4">
        <v>0.7317281</v>
      </c>
      <c r="AA9" s="4">
        <v>150.6366</v>
      </c>
      <c r="AB9" s="4">
        <v>163.0425</v>
      </c>
      <c r="AC9" s="4">
        <v>1.050456</v>
      </c>
      <c r="AD9" s="4">
        <v>155.0202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37.88339</v>
      </c>
      <c r="AO9" s="10">
        <v>56.01852</v>
      </c>
      <c r="AP9" s="11">
        <v>-80.60619</v>
      </c>
      <c r="AQ9" s="11">
        <v>0.291739</v>
      </c>
      <c r="AR9" s="12">
        <v>0.0002878418</v>
      </c>
    </row>
    <row r="10" spans="2:47" ht="13.5" customHeight="1" x14ac:dyDescent="0.25">
      <c r="B10" s="120" t="s">
        <v>261</v>
      </c>
      <c r="C10" s="20"/>
      <c r="D10" s="4">
        <v>20.7411</v>
      </c>
      <c r="E10" s="4">
        <v>413.8727</v>
      </c>
      <c r="F10" s="4"/>
      <c r="G10" s="4">
        <v>0</v>
      </c>
      <c r="H10" s="5">
        <v>417.3788</v>
      </c>
      <c r="I10" s="6">
        <v>28.30585</v>
      </c>
      <c r="J10" s="4">
        <v>0.01955273</v>
      </c>
      <c r="K10" s="4">
        <v>32.58825</v>
      </c>
      <c r="L10" s="4">
        <v>1.315195</v>
      </c>
      <c r="M10" s="4">
        <v>106.0818</v>
      </c>
      <c r="N10" s="4">
        <v>115.8782</v>
      </c>
      <c r="O10" s="4">
        <v>20.03596</v>
      </c>
      <c r="P10" s="4">
        <v>20.27539</v>
      </c>
      <c r="Q10" s="4"/>
      <c r="R10" s="4">
        <v>2.519531</v>
      </c>
      <c r="S10" s="4">
        <v>139.3952</v>
      </c>
      <c r="T10" s="4">
        <v>1.440104</v>
      </c>
      <c r="U10" s="4">
        <v>0.2959695</v>
      </c>
      <c r="V10" s="4"/>
      <c r="W10" s="4">
        <v>91.22509</v>
      </c>
      <c r="X10" s="4">
        <v>0.5300631</v>
      </c>
      <c r="Y10" s="4" t="s">
        <v>76</v>
      </c>
      <c r="Z10" s="4">
        <v>0.7389536</v>
      </c>
      <c r="AA10" s="4">
        <v>150.7161</v>
      </c>
      <c r="AB10" s="4">
        <v>162.9919</v>
      </c>
      <c r="AC10" s="4">
        <v>1.05042</v>
      </c>
      <c r="AD10" s="4">
        <v>155.1143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37.82552</v>
      </c>
      <c r="AO10" s="10">
        <v>56.35127</v>
      </c>
      <c r="AP10" s="11">
        <v>-80.6496</v>
      </c>
      <c r="AQ10" s="11">
        <v>0.2832031</v>
      </c>
      <c r="AR10" s="12">
        <v>0.0002856445</v>
      </c>
    </row>
    <row r="11" spans="2:47" ht="13.5" customHeight="1" x14ac:dyDescent="0.25">
      <c r="B11" s="121">
        <v>4.1666666666666664E-2</v>
      </c>
      <c r="C11" s="20"/>
      <c r="D11" s="4">
        <v>20.90386</v>
      </c>
      <c r="E11" s="4">
        <v>414.423</v>
      </c>
      <c r="F11" s="4"/>
      <c r="G11" s="4">
        <v>0</v>
      </c>
      <c r="H11" s="5">
        <v>417.8866</v>
      </c>
      <c r="I11" s="6">
        <v>0</v>
      </c>
      <c r="J11" s="4">
        <v>0.02076367</v>
      </c>
      <c r="K11" s="4">
        <v>31.91551</v>
      </c>
      <c r="L11" s="4">
        <v>1.449653</v>
      </c>
      <c r="M11" s="4">
        <v>105.8485</v>
      </c>
      <c r="N11" s="4">
        <v>114.7352</v>
      </c>
      <c r="O11" s="4">
        <v>20.12959</v>
      </c>
      <c r="P11" s="4">
        <v>20.26562</v>
      </c>
      <c r="Q11" s="4"/>
      <c r="R11" s="4">
        <v>2.542969</v>
      </c>
      <c r="S11" s="4">
        <v>139.5327</v>
      </c>
      <c r="T11" s="4">
        <v>1.435909</v>
      </c>
      <c r="U11" s="4">
        <v>0.2999659</v>
      </c>
      <c r="V11" s="4"/>
      <c r="W11" s="4">
        <v>91.42111</v>
      </c>
      <c r="X11" s="4">
        <v>0.5288928</v>
      </c>
      <c r="Y11" s="4" t="s">
        <v>76</v>
      </c>
      <c r="Z11" s="4">
        <v>0.7324992</v>
      </c>
      <c r="AA11" s="4">
        <v>151.2514</v>
      </c>
      <c r="AB11" s="4">
        <v>163.2523</v>
      </c>
      <c r="AC11" s="4">
        <v>1.050456</v>
      </c>
      <c r="AD11" s="4">
        <v>155.2807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36.99363</v>
      </c>
      <c r="AO11" s="10">
        <v>56.22107</v>
      </c>
      <c r="AP11" s="11">
        <v>-80.63513</v>
      </c>
      <c r="AQ11" s="11">
        <v>0.280816</v>
      </c>
      <c r="AR11" s="12">
        <v>0.0002870788</v>
      </c>
    </row>
    <row r="12" spans="2:47" ht="13.5" customHeight="1" x14ac:dyDescent="0.25">
      <c r="B12" s="120" t="s">
        <v>262</v>
      </c>
      <c r="C12" s="20"/>
      <c r="D12" s="4">
        <v>20.32878</v>
      </c>
      <c r="E12" s="4">
        <v>414.3281</v>
      </c>
      <c r="F12" s="4"/>
      <c r="G12" s="4">
        <v>0</v>
      </c>
      <c r="H12" s="5">
        <v>418.5645</v>
      </c>
      <c r="I12" s="6">
        <v>24.28024</v>
      </c>
      <c r="J12" s="4">
        <v>0.01982031</v>
      </c>
      <c r="K12" s="4">
        <v>31.85764</v>
      </c>
      <c r="L12" s="4">
        <v>1.402724</v>
      </c>
      <c r="M12" s="4">
        <v>105.5501</v>
      </c>
      <c r="N12" s="4">
        <v>114.3953</v>
      </c>
      <c r="O12" s="4">
        <v>20.59154</v>
      </c>
      <c r="P12" s="4">
        <v>20.25977</v>
      </c>
      <c r="Q12" s="4"/>
      <c r="R12" s="4">
        <v>2.566406</v>
      </c>
      <c r="S12" s="4">
        <v>139.4169</v>
      </c>
      <c r="T12" s="4">
        <v>1.437934</v>
      </c>
      <c r="U12" s="4">
        <v>0.3006655</v>
      </c>
      <c r="V12" s="4"/>
      <c r="W12" s="4">
        <v>91.20208</v>
      </c>
      <c r="X12" s="4">
        <v>0.5305225</v>
      </c>
      <c r="Y12" s="4" t="s">
        <v>76</v>
      </c>
      <c r="Z12" s="4">
        <v>0.7349907</v>
      </c>
      <c r="AA12" s="4">
        <v>151.1357</v>
      </c>
      <c r="AB12" s="4">
        <v>163.151</v>
      </c>
      <c r="AC12" s="4">
        <v>1.050456</v>
      </c>
      <c r="AD12" s="4">
        <v>155.3168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37.04789</v>
      </c>
      <c r="AO12" s="10">
        <v>56.06915</v>
      </c>
      <c r="AP12" s="11">
        <v>-80.7364</v>
      </c>
      <c r="AQ12" s="11">
        <v>0.2909433</v>
      </c>
      <c r="AR12" s="12">
        <v>0.0002878723</v>
      </c>
    </row>
    <row r="13" spans="2:47" ht="13.5" customHeight="1" x14ac:dyDescent="0.25">
      <c r="B13" s="121">
        <v>0.125</v>
      </c>
      <c r="C13" s="20"/>
      <c r="D13" s="4">
        <v>20.20942</v>
      </c>
      <c r="E13" s="4">
        <v>416.427</v>
      </c>
      <c r="F13" s="4"/>
      <c r="G13" s="4">
        <v>0</v>
      </c>
      <c r="H13" s="5">
        <v>418.1213</v>
      </c>
      <c r="I13" s="6">
        <v>0</v>
      </c>
      <c r="J13" s="4">
        <v>0.01969336</v>
      </c>
      <c r="K13" s="4">
        <v>31.18489</v>
      </c>
      <c r="L13" s="4">
        <v>1.379304</v>
      </c>
      <c r="M13" s="4">
        <v>105.0564</v>
      </c>
      <c r="N13" s="4">
        <v>114.5182</v>
      </c>
      <c r="O13" s="4">
        <v>20.30229</v>
      </c>
      <c r="P13" s="4">
        <v>20.25781</v>
      </c>
      <c r="Q13" s="4"/>
      <c r="R13" s="4">
        <v>2.57666</v>
      </c>
      <c r="S13" s="4">
        <v>139.4242</v>
      </c>
      <c r="T13" s="4">
        <v>1.43504</v>
      </c>
      <c r="U13" s="4">
        <v>0.3007327</v>
      </c>
      <c r="V13" s="4"/>
      <c r="W13" s="4">
        <v>90.81333</v>
      </c>
      <c r="X13" s="4">
        <v>0.5291696</v>
      </c>
      <c r="Y13" s="4" t="s">
        <v>76</v>
      </c>
      <c r="Z13" s="4">
        <v>0.7258253</v>
      </c>
      <c r="AA13" s="4">
        <v>151.1285</v>
      </c>
      <c r="AB13" s="4">
        <v>162.8689</v>
      </c>
      <c r="AC13" s="4">
        <v>1.050456</v>
      </c>
      <c r="AD13" s="4">
        <v>154.3981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35.48177</v>
      </c>
      <c r="AO13" s="10">
        <v>56.82508</v>
      </c>
      <c r="AP13" s="11">
        <v>-79.6441</v>
      </c>
      <c r="AQ13" s="11">
        <v>0.2537616</v>
      </c>
      <c r="AR13" s="12">
        <v>0.0002889099</v>
      </c>
    </row>
    <row r="14" spans="2:47" ht="13.5" customHeight="1" x14ac:dyDescent="0.25">
      <c r="B14" s="121">
        <v>0.16666666666666666</v>
      </c>
      <c r="C14" s="20"/>
      <c r="D14" s="4">
        <v>20.44271</v>
      </c>
      <c r="E14" s="4">
        <v>416.5187</v>
      </c>
      <c r="F14" s="4"/>
      <c r="G14" s="4">
        <v>0</v>
      </c>
      <c r="H14" s="5">
        <v>417.9756</v>
      </c>
      <c r="I14" s="6">
        <v>19.03935</v>
      </c>
      <c r="J14" s="4">
        <v>0.01984766</v>
      </c>
      <c r="K14" s="4">
        <v>30.84491</v>
      </c>
      <c r="L14" s="4">
        <v>1.385001</v>
      </c>
      <c r="M14" s="4">
        <v>103.8683</v>
      </c>
      <c r="N14" s="4">
        <v>114.0914</v>
      </c>
      <c r="O14" s="4">
        <v>20.25788</v>
      </c>
      <c r="P14" s="4">
        <v>20.27148</v>
      </c>
      <c r="Q14" s="4"/>
      <c r="R14" s="4">
        <v>2.55957</v>
      </c>
      <c r="S14" s="4">
        <v>139.605</v>
      </c>
      <c r="T14" s="4">
        <v>1.434462</v>
      </c>
      <c r="U14" s="4">
        <v>0.3005448</v>
      </c>
      <c r="V14" s="4"/>
      <c r="W14" s="4">
        <v>90.88456</v>
      </c>
      <c r="X14" s="4">
        <v>0.5281803</v>
      </c>
      <c r="Y14" s="4" t="s">
        <v>76</v>
      </c>
      <c r="Z14" s="4">
        <v>0.7410609</v>
      </c>
      <c r="AA14" s="4">
        <v>151.9748</v>
      </c>
      <c r="AB14" s="4">
        <v>163.2885</v>
      </c>
      <c r="AC14" s="4">
        <v>1.050492</v>
      </c>
      <c r="AD14" s="4">
        <v>155.3675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32.60272</v>
      </c>
      <c r="AO14" s="10">
        <v>56.08362</v>
      </c>
      <c r="AP14" s="11">
        <v>-80.72917</v>
      </c>
      <c r="AQ14" s="11">
        <v>0.2901476</v>
      </c>
      <c r="AR14" s="12">
        <v>0.0002877197</v>
      </c>
    </row>
    <row r="15" spans="2:47" ht="13.5" customHeight="1" x14ac:dyDescent="0.25">
      <c r="B15" s="121">
        <v>0.20833333333333334</v>
      </c>
      <c r="C15" s="20"/>
      <c r="D15" s="4">
        <v>20.6543</v>
      </c>
      <c r="E15" s="4">
        <v>416.6992</v>
      </c>
      <c r="F15" s="4"/>
      <c r="G15" s="4">
        <v>0</v>
      </c>
      <c r="H15" s="5">
        <v>417.8451</v>
      </c>
      <c r="I15" s="6">
        <v>24.00174</v>
      </c>
      <c r="J15" s="4">
        <v>0.01999414</v>
      </c>
      <c r="K15" s="4">
        <v>30.96065</v>
      </c>
      <c r="L15" s="4">
        <v>1.363028</v>
      </c>
      <c r="M15" s="4">
        <v>105.6044</v>
      </c>
      <c r="N15" s="4">
        <v>114.6774</v>
      </c>
      <c r="O15" s="4">
        <v>20.1038</v>
      </c>
      <c r="P15" s="4">
        <v>20.27148</v>
      </c>
      <c r="Q15" s="4"/>
      <c r="R15" s="4">
        <v>2.545898</v>
      </c>
      <c r="S15" s="4">
        <v>139.5978</v>
      </c>
      <c r="T15" s="4">
        <v>1.436777</v>
      </c>
      <c r="U15" s="4">
        <v>0.2991785</v>
      </c>
      <c r="V15" s="4"/>
      <c r="W15" s="4">
        <v>91.04723</v>
      </c>
      <c r="X15" s="4">
        <v>0.5302833</v>
      </c>
      <c r="Y15" s="4" t="s">
        <v>76</v>
      </c>
      <c r="Z15" s="4">
        <v>0.7405066</v>
      </c>
      <c r="AA15" s="4">
        <v>152.0544</v>
      </c>
      <c r="AB15" s="4">
        <v>163.3391</v>
      </c>
      <c r="AC15" s="4">
        <v>1.050456</v>
      </c>
      <c r="AD15" s="4">
        <v>155.5483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30.25535</v>
      </c>
      <c r="AO15" s="10">
        <v>56.07277</v>
      </c>
      <c r="AP15" s="11">
        <v>-80.50492</v>
      </c>
      <c r="AQ15" s="11">
        <v>0.2869647</v>
      </c>
      <c r="AR15" s="12">
        <v>0.0002877502</v>
      </c>
    </row>
    <row r="16" spans="2:47" ht="13.5" customHeight="1" x14ac:dyDescent="0.25">
      <c r="B16" s="121">
        <v>0.25</v>
      </c>
      <c r="C16" s="20"/>
      <c r="D16" s="4">
        <v>20.56749</v>
      </c>
      <c r="E16" s="4">
        <v>414.7722</v>
      </c>
      <c r="F16" s="4"/>
      <c r="G16" s="4">
        <v>0</v>
      </c>
      <c r="H16" s="5">
        <v>417.8264</v>
      </c>
      <c r="I16" s="6">
        <v>29.06539</v>
      </c>
      <c r="J16" s="4">
        <v>0.02021094</v>
      </c>
      <c r="K16" s="4">
        <v>29.94792</v>
      </c>
      <c r="L16" s="4">
        <v>1.326407</v>
      </c>
      <c r="M16" s="4">
        <v>104.9425</v>
      </c>
      <c r="N16" s="4">
        <v>113.8672</v>
      </c>
      <c r="O16" s="4">
        <v>20.11076</v>
      </c>
      <c r="P16" s="4">
        <v>20.26562</v>
      </c>
      <c r="Q16" s="4"/>
      <c r="R16" s="4">
        <v>2.577637</v>
      </c>
      <c r="S16" s="4">
        <v>139.6412</v>
      </c>
      <c r="T16" s="4">
        <v>1.438223</v>
      </c>
      <c r="U16" s="4">
        <v>0.3014174</v>
      </c>
      <c r="V16" s="4"/>
      <c r="W16" s="4">
        <v>91.21531</v>
      </c>
      <c r="X16" s="4">
        <v>0.529896</v>
      </c>
      <c r="Y16" s="4" t="s">
        <v>76</v>
      </c>
      <c r="Z16" s="4">
        <v>0.7204332</v>
      </c>
      <c r="AA16" s="4">
        <v>151.6131</v>
      </c>
      <c r="AB16" s="4">
        <v>162.8111</v>
      </c>
      <c r="AC16" s="4">
        <v>1.05042</v>
      </c>
      <c r="AD16" s="4">
        <v>154.6224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0.06149902</v>
      </c>
      <c r="AN16" s="9">
        <v>47.79369</v>
      </c>
      <c r="AO16" s="10">
        <v>57.97888</v>
      </c>
      <c r="AP16" s="11">
        <v>-78.71094</v>
      </c>
      <c r="AQ16" s="11">
        <v>0.2920284</v>
      </c>
      <c r="AR16" s="12">
        <v>0.0002904968</v>
      </c>
    </row>
    <row r="17" spans="2:44" ht="13.5" customHeight="1" x14ac:dyDescent="0.25">
      <c r="B17" s="121">
        <v>0.29166666666666669</v>
      </c>
      <c r="C17" s="20"/>
      <c r="D17" s="4">
        <v>20.56749</v>
      </c>
      <c r="E17" s="4">
        <v>416.5383</v>
      </c>
      <c r="F17" s="4"/>
      <c r="G17" s="4">
        <v>0</v>
      </c>
      <c r="H17" s="5">
        <v>418.0353</v>
      </c>
      <c r="I17" s="6">
        <v>28.17925</v>
      </c>
      <c r="J17" s="4">
        <v>0.01964844</v>
      </c>
      <c r="K17" s="4">
        <v>30.40364</v>
      </c>
      <c r="L17" s="4">
        <v>1.330476</v>
      </c>
      <c r="M17" s="4">
        <v>105.0456</v>
      </c>
      <c r="N17" s="4">
        <v>114.3012</v>
      </c>
      <c r="O17" s="4">
        <v>20.24206</v>
      </c>
      <c r="P17" s="4">
        <v>20.27539</v>
      </c>
      <c r="Q17" s="4"/>
      <c r="R17" s="4">
        <v>2.567871</v>
      </c>
      <c r="S17" s="4">
        <v>139.4169</v>
      </c>
      <c r="T17" s="4">
        <v>1.433449</v>
      </c>
      <c r="U17" s="4">
        <v>0.2997312</v>
      </c>
      <c r="V17" s="4"/>
      <c r="W17" s="4">
        <v>91.0671</v>
      </c>
      <c r="X17" s="4">
        <v>0.5318258</v>
      </c>
      <c r="Y17" s="4" t="s">
        <v>76</v>
      </c>
      <c r="Z17" s="4">
        <v>0.7401633</v>
      </c>
      <c r="AA17" s="4">
        <v>152.1195</v>
      </c>
      <c r="AB17" s="4">
        <v>163.2234</v>
      </c>
      <c r="AC17" s="4">
        <v>1.05042</v>
      </c>
      <c r="AD17" s="4">
        <v>155.7509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46.27821</v>
      </c>
      <c r="AO17" s="10">
        <v>56.65147</v>
      </c>
      <c r="AP17" s="11">
        <v>-79.83941</v>
      </c>
      <c r="AQ17" s="11">
        <v>0.29239</v>
      </c>
      <c r="AR17" s="12">
        <v>0.0002886047</v>
      </c>
    </row>
    <row r="18" spans="2:44" ht="13.5" customHeight="1" x14ac:dyDescent="0.25">
      <c r="B18" s="121">
        <v>0.33333333333333331</v>
      </c>
      <c r="C18" s="23"/>
      <c r="D18" s="13">
        <v>20.62717</v>
      </c>
      <c r="E18" s="13">
        <v>416.4755</v>
      </c>
      <c r="F18" s="13"/>
      <c r="G18" s="13">
        <v>0</v>
      </c>
      <c r="H18" s="14">
        <v>418.5747</v>
      </c>
      <c r="I18" s="15">
        <v>18.10258</v>
      </c>
      <c r="J18" s="13">
        <v>0.0200957</v>
      </c>
      <c r="K18" s="13">
        <v>32.26273</v>
      </c>
      <c r="L18" s="13">
        <v>1.518193</v>
      </c>
      <c r="M18" s="13">
        <v>97.43382</v>
      </c>
      <c r="N18" s="13">
        <v>113.4115</v>
      </c>
      <c r="O18" s="13">
        <v>20.38235</v>
      </c>
      <c r="P18" s="13">
        <v>20.28711</v>
      </c>
      <c r="Q18" s="13"/>
      <c r="R18" s="13">
        <v>2.564453</v>
      </c>
      <c r="S18" s="13">
        <v>139.4097</v>
      </c>
      <c r="T18" s="13">
        <v>1.439815</v>
      </c>
      <c r="U18" s="13">
        <v>0.3022859</v>
      </c>
      <c r="V18" s="13"/>
      <c r="W18" s="13">
        <v>91.00012</v>
      </c>
      <c r="X18" s="13">
        <v>0.5305183</v>
      </c>
      <c r="Y18" s="13">
        <v>0.5282485</v>
      </c>
      <c r="Z18" s="13">
        <v>0.719418</v>
      </c>
      <c r="AA18" s="13">
        <v>150.7596</v>
      </c>
      <c r="AB18" s="13">
        <v>162.4928</v>
      </c>
      <c r="AC18" s="13">
        <v>1.050456</v>
      </c>
      <c r="AD18" s="13">
        <v>153.6241</v>
      </c>
      <c r="AE18" s="16"/>
      <c r="AF18" s="16"/>
      <c r="AG18" s="16"/>
      <c r="AH18" s="16"/>
      <c r="AI18" s="16"/>
      <c r="AJ18" s="16"/>
      <c r="AK18" s="16"/>
      <c r="AL18" s="13">
        <v>0</v>
      </c>
      <c r="AM18" s="17">
        <v>0</v>
      </c>
      <c r="AN18" s="18">
        <v>44.13339</v>
      </c>
      <c r="AO18" s="10">
        <v>56.0583</v>
      </c>
      <c r="AP18" s="11">
        <v>-80.92448</v>
      </c>
      <c r="AQ18" s="11">
        <v>0.2907263</v>
      </c>
      <c r="AR18" s="19">
        <v>0.0002885742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-80.61343</v>
      </c>
      <c r="D22" s="62">
        <v>-79.90451</v>
      </c>
      <c r="E22" s="62">
        <v>103.1322</v>
      </c>
      <c r="F22" s="62">
        <v>0.09606481</v>
      </c>
      <c r="G22" s="62"/>
      <c r="H22" s="62"/>
      <c r="I22" s="62"/>
      <c r="J22" s="62"/>
      <c r="K22" s="62"/>
      <c r="L22" s="63"/>
      <c r="M22" s="82">
        <v>15.52011</v>
      </c>
      <c r="N22" s="62">
        <v>33.07653</v>
      </c>
      <c r="O22" s="62">
        <v>39.5</v>
      </c>
      <c r="P22" s="62">
        <v>22</v>
      </c>
      <c r="Q22" s="62">
        <v>3.554254</v>
      </c>
      <c r="R22" s="62">
        <v>19.13339</v>
      </c>
      <c r="S22" s="84">
        <v>91.50391</v>
      </c>
      <c r="T22" s="84">
        <v>50</v>
      </c>
      <c r="U22" s="84">
        <v>116.1155</v>
      </c>
      <c r="V22" s="84">
        <v>17.31228</v>
      </c>
      <c r="W22" s="84">
        <v>19.46615</v>
      </c>
      <c r="X22" s="84">
        <v>50</v>
      </c>
      <c r="Y22" s="84">
        <v>101.1525</v>
      </c>
      <c r="Z22" s="84">
        <v>11.63375</v>
      </c>
      <c r="AA22" s="84">
        <v>19.12978</v>
      </c>
      <c r="AB22" s="84"/>
      <c r="AC22" s="66"/>
      <c r="AD22" s="66">
        <v>0</v>
      </c>
      <c r="AE22" s="66"/>
      <c r="AF22" s="66">
        <v>99.94575</v>
      </c>
      <c r="AG22" s="66">
        <v>0</v>
      </c>
      <c r="AH22" s="66"/>
      <c r="AI22" s="85"/>
      <c r="AJ22" s="85"/>
      <c r="AK22" s="85"/>
      <c r="AL22" s="85"/>
      <c r="AM22" s="85"/>
      <c r="AN22" s="66">
        <v>50.18808</v>
      </c>
      <c r="AO22" s="67">
        <v>50</v>
      </c>
      <c r="AP22" s="68">
        <v>29.324</v>
      </c>
      <c r="AQ22" s="69">
        <v>39.58695</v>
      </c>
      <c r="AR22" s="70">
        <v>0.06510925</v>
      </c>
    </row>
    <row r="23" spans="2:44" ht="13.5" customHeight="1" x14ac:dyDescent="0.25">
      <c r="B23" s="121">
        <v>0.875</v>
      </c>
      <c r="C23" s="20">
        <v>-80.59896</v>
      </c>
      <c r="D23" s="4">
        <v>-79.90451</v>
      </c>
      <c r="E23" s="4">
        <v>103.1358</v>
      </c>
      <c r="F23" s="4">
        <v>0.108941</v>
      </c>
      <c r="G23" s="4">
        <v>9.036255E-05</v>
      </c>
      <c r="H23" s="4"/>
      <c r="I23" s="4"/>
      <c r="J23" s="4"/>
      <c r="K23" s="4"/>
      <c r="L23" s="5"/>
      <c r="M23" s="20">
        <v>15.50203</v>
      </c>
      <c r="N23" s="4">
        <v>32.79803</v>
      </c>
      <c r="O23" s="4">
        <v>39.5</v>
      </c>
      <c r="P23" s="4">
        <v>22</v>
      </c>
      <c r="Q23" s="4">
        <v>3.122396</v>
      </c>
      <c r="R23" s="4"/>
      <c r="S23" s="21">
        <v>91.80772</v>
      </c>
      <c r="T23" s="21">
        <v>50</v>
      </c>
      <c r="U23" s="21">
        <v>108.6929</v>
      </c>
      <c r="V23" s="21">
        <v>18.46246</v>
      </c>
      <c r="W23" s="21">
        <v>21.41927</v>
      </c>
      <c r="X23" s="21">
        <v>50</v>
      </c>
      <c r="Y23" s="21">
        <v>103.2773</v>
      </c>
      <c r="Z23" s="21">
        <v>9.154369</v>
      </c>
      <c r="AA23" s="21">
        <v>21.4681</v>
      </c>
      <c r="AB23" s="21"/>
      <c r="AC23" s="8"/>
      <c r="AD23" s="8">
        <v>0</v>
      </c>
      <c r="AE23" s="8">
        <v>0.000177124</v>
      </c>
      <c r="AF23" s="8">
        <v>99.94575</v>
      </c>
      <c r="AG23" s="8">
        <v>16.4388</v>
      </c>
      <c r="AH23" s="8"/>
      <c r="AI23" s="22"/>
      <c r="AJ23" s="22"/>
      <c r="AK23" s="22"/>
      <c r="AL23" s="22"/>
      <c r="AM23" s="22"/>
      <c r="AN23" s="8">
        <v>50.94039</v>
      </c>
      <c r="AO23" s="9">
        <v>50</v>
      </c>
      <c r="AP23" s="10">
        <v>29.20645</v>
      </c>
      <c r="AQ23" s="11">
        <v>39.40972</v>
      </c>
      <c r="AR23" s="12">
        <v>0.07595825</v>
      </c>
    </row>
    <row r="24" spans="2:44" ht="13.5" customHeight="1" x14ac:dyDescent="0.25">
      <c r="B24" s="120" t="s">
        <v>260</v>
      </c>
      <c r="C24" s="20">
        <v>-80.54832</v>
      </c>
      <c r="D24" s="4">
        <v>-79.97685</v>
      </c>
      <c r="E24" s="4">
        <v>103.1322</v>
      </c>
      <c r="F24" s="4">
        <v>0.07819734</v>
      </c>
      <c r="G24" s="4">
        <v>9.126282E-05</v>
      </c>
      <c r="H24" s="4"/>
      <c r="I24" s="4"/>
      <c r="J24" s="4"/>
      <c r="K24" s="4"/>
      <c r="L24" s="5"/>
      <c r="M24" s="20">
        <v>15.46947</v>
      </c>
      <c r="N24" s="4">
        <v>32.36039</v>
      </c>
      <c r="O24" s="4">
        <v>39.5</v>
      </c>
      <c r="P24" s="4">
        <v>22</v>
      </c>
      <c r="Q24" s="4">
        <v>3.271701</v>
      </c>
      <c r="R24" s="4"/>
      <c r="S24" s="21">
        <v>91.71007</v>
      </c>
      <c r="T24" s="21">
        <v>50</v>
      </c>
      <c r="U24" s="21">
        <v>108.9339</v>
      </c>
      <c r="V24" s="21">
        <v>19.85135</v>
      </c>
      <c r="W24" s="21">
        <v>23.09028</v>
      </c>
      <c r="X24" s="21">
        <v>50</v>
      </c>
      <c r="Y24" s="21">
        <v>106.271</v>
      </c>
      <c r="Z24" s="21">
        <v>9.239367</v>
      </c>
      <c r="AA24" s="21">
        <v>23.08485</v>
      </c>
      <c r="AB24" s="21"/>
      <c r="AC24" s="8"/>
      <c r="AD24" s="8">
        <v>0</v>
      </c>
      <c r="AE24" s="8">
        <v>2.197266E-06</v>
      </c>
      <c r="AF24" s="8">
        <v>76.25144</v>
      </c>
      <c r="AG24" s="8">
        <v>20.07017</v>
      </c>
      <c r="AH24" s="8"/>
      <c r="AI24" s="22"/>
      <c r="AJ24" s="22"/>
      <c r="AK24" s="22"/>
      <c r="AL24" s="22"/>
      <c r="AM24" s="22"/>
      <c r="AN24" s="8">
        <v>49.89873</v>
      </c>
      <c r="AO24" s="9">
        <v>50</v>
      </c>
      <c r="AP24" s="10">
        <v>29.0889</v>
      </c>
      <c r="AQ24" s="11">
        <v>47.65625</v>
      </c>
      <c r="AR24" s="12">
        <v>0.08680725</v>
      </c>
    </row>
    <row r="25" spans="2:44" ht="13.5" customHeight="1" x14ac:dyDescent="0.25">
      <c r="B25" s="121">
        <v>0.95833333333333337</v>
      </c>
      <c r="C25" s="20">
        <v>-80.60619</v>
      </c>
      <c r="D25" s="4">
        <v>-79.98409</v>
      </c>
      <c r="E25" s="4">
        <v>103.1286</v>
      </c>
      <c r="F25" s="4">
        <v>0.1111834</v>
      </c>
      <c r="G25" s="4">
        <v>8.981323E-05</v>
      </c>
      <c r="H25" s="4"/>
      <c r="I25" s="4"/>
      <c r="J25" s="4"/>
      <c r="K25" s="4"/>
      <c r="L25" s="5"/>
      <c r="M25" s="20">
        <v>15.59245</v>
      </c>
      <c r="N25" s="4">
        <v>32.02402</v>
      </c>
      <c r="O25" s="4">
        <v>39.5</v>
      </c>
      <c r="P25" s="4">
        <v>22</v>
      </c>
      <c r="Q25" s="4">
        <v>3.312066</v>
      </c>
      <c r="R25" s="4"/>
      <c r="S25" s="21">
        <v>93.94893</v>
      </c>
      <c r="T25" s="21">
        <v>50</v>
      </c>
      <c r="U25" s="21">
        <v>117.1077</v>
      </c>
      <c r="V25" s="21">
        <v>24.9783</v>
      </c>
      <c r="W25" s="21">
        <v>30.38737</v>
      </c>
      <c r="X25" s="21">
        <v>0</v>
      </c>
      <c r="Y25" s="21">
        <v>0</v>
      </c>
      <c r="Z25" s="21">
        <v>13.56879</v>
      </c>
      <c r="AA25" s="21">
        <v>85.47635</v>
      </c>
      <c r="AB25" s="21"/>
      <c r="AC25" s="8"/>
      <c r="AD25" s="8">
        <v>0.5832791</v>
      </c>
      <c r="AE25" s="8">
        <v>0.000262207</v>
      </c>
      <c r="AF25" s="8">
        <v>86.90683</v>
      </c>
      <c r="AG25" s="8">
        <v>18.99233</v>
      </c>
      <c r="AH25" s="8"/>
      <c r="AI25" s="22"/>
      <c r="AJ25" s="22"/>
      <c r="AK25" s="22"/>
      <c r="AL25" s="22"/>
      <c r="AM25" s="22"/>
      <c r="AN25" s="8">
        <v>48.81366</v>
      </c>
      <c r="AO25" s="9">
        <v>50</v>
      </c>
      <c r="AP25" s="10">
        <v>28.88093</v>
      </c>
      <c r="AQ25" s="11">
        <v>39.53631</v>
      </c>
      <c r="AR25" s="12">
        <v>0.08680725</v>
      </c>
    </row>
    <row r="26" spans="2:44" ht="13.5" customHeight="1" x14ac:dyDescent="0.25">
      <c r="B26" s="120" t="s">
        <v>261</v>
      </c>
      <c r="C26" s="20">
        <v>-80.6496</v>
      </c>
      <c r="D26" s="4">
        <v>-79.96239</v>
      </c>
      <c r="E26" s="4">
        <v>103.1322</v>
      </c>
      <c r="F26" s="4">
        <v>0.02922454</v>
      </c>
      <c r="G26" s="4">
        <v>9.422303E-05</v>
      </c>
      <c r="H26" s="4"/>
      <c r="I26" s="4"/>
      <c r="J26" s="4"/>
      <c r="K26" s="4"/>
      <c r="L26" s="5"/>
      <c r="M26" s="20">
        <v>27.3329</v>
      </c>
      <c r="N26" s="4">
        <v>39.89439</v>
      </c>
      <c r="O26" s="4">
        <v>39.5</v>
      </c>
      <c r="P26" s="4">
        <v>22</v>
      </c>
      <c r="Q26" s="4">
        <v>3.389757</v>
      </c>
      <c r="R26" s="4"/>
      <c r="S26" s="21">
        <v>94.6072</v>
      </c>
      <c r="T26" s="21">
        <v>50</v>
      </c>
      <c r="U26" s="21">
        <v>106.8428</v>
      </c>
      <c r="V26" s="21">
        <v>23.20964</v>
      </c>
      <c r="W26" s="21">
        <v>32.3622</v>
      </c>
      <c r="X26" s="21">
        <v>50</v>
      </c>
      <c r="Y26" s="21">
        <v>125.0629</v>
      </c>
      <c r="Z26" s="21">
        <v>24.87883</v>
      </c>
      <c r="AA26" s="21">
        <v>32.58464</v>
      </c>
      <c r="AB26" s="21"/>
      <c r="AC26" s="8"/>
      <c r="AD26" s="8">
        <v>0</v>
      </c>
      <c r="AE26" s="8">
        <v>0.000706543</v>
      </c>
      <c r="AF26" s="8">
        <v>87.09853</v>
      </c>
      <c r="AG26" s="8">
        <v>21.03588</v>
      </c>
      <c r="AH26" s="8"/>
      <c r="AI26" s="22"/>
      <c r="AJ26" s="22"/>
      <c r="AK26" s="22"/>
      <c r="AL26" s="22"/>
      <c r="AM26" s="22"/>
      <c r="AN26" s="8">
        <v>47.97454</v>
      </c>
      <c r="AO26" s="9">
        <v>50</v>
      </c>
      <c r="AP26" s="10">
        <v>28.63679</v>
      </c>
      <c r="AQ26" s="11">
        <v>39.58695</v>
      </c>
      <c r="AR26" s="12">
        <v>0.07595825</v>
      </c>
    </row>
    <row r="27" spans="2:44" ht="13.5" customHeight="1" x14ac:dyDescent="0.25">
      <c r="B27" s="121">
        <v>4.1666666666666664E-2</v>
      </c>
      <c r="C27" s="20">
        <v>-80.63513</v>
      </c>
      <c r="D27" s="4">
        <v>-79.94068</v>
      </c>
      <c r="E27" s="4">
        <v>103.1322</v>
      </c>
      <c r="F27" s="4">
        <v>0.1221788</v>
      </c>
      <c r="G27" s="4">
        <v>9.410095E-05</v>
      </c>
      <c r="H27" s="4"/>
      <c r="I27" s="4"/>
      <c r="J27" s="4"/>
      <c r="K27" s="4"/>
      <c r="L27" s="5"/>
      <c r="M27" s="20">
        <v>37.99551</v>
      </c>
      <c r="N27" s="4">
        <v>39.02995</v>
      </c>
      <c r="O27" s="4">
        <v>39.5</v>
      </c>
      <c r="P27" s="4">
        <v>22</v>
      </c>
      <c r="Q27" s="4">
        <v>3.119358</v>
      </c>
      <c r="R27" s="4"/>
      <c r="S27" s="21">
        <v>94.15871</v>
      </c>
      <c r="T27" s="21">
        <v>50</v>
      </c>
      <c r="U27" s="21">
        <v>128.0679</v>
      </c>
      <c r="V27" s="21">
        <v>30.25174</v>
      </c>
      <c r="W27" s="21">
        <v>33.36046</v>
      </c>
      <c r="X27" s="21">
        <v>50</v>
      </c>
      <c r="Y27" s="21">
        <v>141.063</v>
      </c>
      <c r="Z27" s="21">
        <v>29.44517</v>
      </c>
      <c r="AA27" s="21">
        <v>33.41471</v>
      </c>
      <c r="AB27" s="21"/>
      <c r="AC27" s="8"/>
      <c r="AD27" s="8">
        <v>0</v>
      </c>
      <c r="AE27" s="8">
        <v>8.435058E-05</v>
      </c>
      <c r="AF27" s="8">
        <v>87.09853</v>
      </c>
      <c r="AG27" s="8">
        <v>20.98886</v>
      </c>
      <c r="AH27" s="8"/>
      <c r="AI27" s="22"/>
      <c r="AJ27" s="22"/>
      <c r="AK27" s="22"/>
      <c r="AL27" s="22"/>
      <c r="AM27" s="22"/>
      <c r="AN27" s="8">
        <v>47.27286</v>
      </c>
      <c r="AO27" s="9">
        <v>50</v>
      </c>
      <c r="AP27" s="10">
        <v>28.41073</v>
      </c>
      <c r="AQ27" s="11">
        <v>39.52185</v>
      </c>
      <c r="AR27" s="12">
        <v>0.08680725</v>
      </c>
    </row>
    <row r="28" spans="2:44" ht="13.5" customHeight="1" x14ac:dyDescent="0.25">
      <c r="B28" s="120" t="s">
        <v>262</v>
      </c>
      <c r="C28" s="20">
        <v>-80.7364</v>
      </c>
      <c r="D28" s="4">
        <v>-80.03472</v>
      </c>
      <c r="E28" s="4">
        <v>103.1322</v>
      </c>
      <c r="F28" s="4">
        <v>0.02965857</v>
      </c>
      <c r="G28" s="4">
        <v>9.2453E-05</v>
      </c>
      <c r="H28" s="4"/>
      <c r="I28" s="4"/>
      <c r="J28" s="4"/>
      <c r="K28" s="4"/>
      <c r="L28" s="5"/>
      <c r="M28" s="20">
        <v>43.83319</v>
      </c>
      <c r="N28" s="4">
        <v>37.11299</v>
      </c>
      <c r="O28" s="4">
        <v>39.5</v>
      </c>
      <c r="P28" s="4">
        <v>22</v>
      </c>
      <c r="Q28" s="4">
        <v>3.333333</v>
      </c>
      <c r="R28" s="4"/>
      <c r="S28" s="21">
        <v>93.51852</v>
      </c>
      <c r="T28" s="21">
        <v>40</v>
      </c>
      <c r="U28" s="21">
        <v>99.86871</v>
      </c>
      <c r="V28" s="21">
        <v>23.40495</v>
      </c>
      <c r="W28" s="21">
        <v>27.8049</v>
      </c>
      <c r="X28" s="21">
        <v>40</v>
      </c>
      <c r="Y28" s="21">
        <v>102.0944</v>
      </c>
      <c r="Z28" s="21">
        <v>22.62912</v>
      </c>
      <c r="AA28" s="21">
        <v>27.78321</v>
      </c>
      <c r="AB28" s="21"/>
      <c r="AC28" s="8"/>
      <c r="AD28" s="8">
        <v>1.548286</v>
      </c>
      <c r="AE28" s="8">
        <v>0.0008229981</v>
      </c>
      <c r="AF28" s="8">
        <v>91.47135</v>
      </c>
      <c r="AG28" s="8">
        <v>33.77821</v>
      </c>
      <c r="AH28" s="8"/>
      <c r="AI28" s="22"/>
      <c r="AJ28" s="22"/>
      <c r="AK28" s="22"/>
      <c r="AL28" s="22"/>
      <c r="AM28" s="22"/>
      <c r="AN28" s="8">
        <v>46.2963</v>
      </c>
      <c r="AO28" s="9">
        <v>50</v>
      </c>
      <c r="AP28" s="10">
        <v>28.13042</v>
      </c>
      <c r="AQ28" s="11">
        <v>39.30122</v>
      </c>
      <c r="AR28" s="12">
        <v>0.08680725</v>
      </c>
    </row>
    <row r="29" spans="2:44" ht="13.5" customHeight="1" x14ac:dyDescent="0.25">
      <c r="B29" s="121">
        <v>0.125</v>
      </c>
      <c r="C29" s="20">
        <v>-79.6441</v>
      </c>
      <c r="D29" s="4">
        <v>-79.49219</v>
      </c>
      <c r="E29" s="4">
        <v>103.1322</v>
      </c>
      <c r="F29" s="4">
        <v>0.08608218</v>
      </c>
      <c r="G29" s="4">
        <v>9.22699E-05</v>
      </c>
      <c r="H29" s="4"/>
      <c r="I29" s="4"/>
      <c r="J29" s="4"/>
      <c r="K29" s="4"/>
      <c r="L29" s="5"/>
      <c r="M29" s="20">
        <v>39.96311</v>
      </c>
      <c r="N29" s="4">
        <v>38.46209</v>
      </c>
      <c r="O29" s="4">
        <v>39.5</v>
      </c>
      <c r="P29" s="4">
        <v>22</v>
      </c>
      <c r="Q29" s="4">
        <v>3.413629</v>
      </c>
      <c r="R29" s="4"/>
      <c r="S29" s="21">
        <v>96.57841</v>
      </c>
      <c r="T29" s="21">
        <v>30</v>
      </c>
      <c r="U29" s="21">
        <v>75.05009</v>
      </c>
      <c r="V29" s="21">
        <v>19.41732</v>
      </c>
      <c r="W29" s="21">
        <v>24.40864</v>
      </c>
      <c r="X29" s="21">
        <v>30</v>
      </c>
      <c r="Y29" s="21">
        <v>74.66888</v>
      </c>
      <c r="Z29" s="21">
        <v>19.03393</v>
      </c>
      <c r="AA29" s="21">
        <v>24.39779</v>
      </c>
      <c r="AB29" s="21"/>
      <c r="AC29" s="8"/>
      <c r="AD29" s="8">
        <v>0.7698568</v>
      </c>
      <c r="AE29" s="8">
        <v>0.001525513</v>
      </c>
      <c r="AF29" s="8">
        <v>91.54008</v>
      </c>
      <c r="AG29" s="8">
        <v>17.40451</v>
      </c>
      <c r="AH29" s="8"/>
      <c r="AI29" s="22"/>
      <c r="AJ29" s="22"/>
      <c r="AK29" s="22"/>
      <c r="AL29" s="22"/>
      <c r="AM29" s="22"/>
      <c r="AN29" s="8">
        <v>45.89844</v>
      </c>
      <c r="AO29" s="9">
        <v>50</v>
      </c>
      <c r="AP29" s="10">
        <v>27.8682</v>
      </c>
      <c r="AQ29" s="11">
        <v>39.58333</v>
      </c>
      <c r="AR29" s="12">
        <v>0.08680725</v>
      </c>
    </row>
    <row r="30" spans="2:44" ht="13.5" customHeight="1" x14ac:dyDescent="0.25">
      <c r="B30" s="121">
        <v>0.16666666666666666</v>
      </c>
      <c r="C30" s="20">
        <v>-80.72917</v>
      </c>
      <c r="D30" s="4">
        <v>-79.98409</v>
      </c>
      <c r="E30" s="4">
        <v>103.1322</v>
      </c>
      <c r="F30" s="4">
        <v>0.1159578</v>
      </c>
      <c r="G30" s="4">
        <v>9.082031E-05</v>
      </c>
      <c r="H30" s="4"/>
      <c r="I30" s="4"/>
      <c r="J30" s="4"/>
      <c r="K30" s="4"/>
      <c r="L30" s="5"/>
      <c r="M30" s="20">
        <v>32.51591</v>
      </c>
      <c r="N30" s="4">
        <v>39.23973</v>
      </c>
      <c r="O30" s="4">
        <v>39.5</v>
      </c>
      <c r="P30" s="4">
        <v>22</v>
      </c>
      <c r="Q30" s="4">
        <v>3.224826</v>
      </c>
      <c r="R30" s="4"/>
      <c r="S30" s="21">
        <v>96.24566</v>
      </c>
      <c r="T30" s="21">
        <v>30</v>
      </c>
      <c r="U30" s="21">
        <v>74.73615</v>
      </c>
      <c r="V30" s="21">
        <v>17.30686</v>
      </c>
      <c r="W30" s="21">
        <v>22.02691</v>
      </c>
      <c r="X30" s="21">
        <v>30</v>
      </c>
      <c r="Y30" s="21">
        <v>74.78661</v>
      </c>
      <c r="Z30" s="21">
        <v>16.89996</v>
      </c>
      <c r="AA30" s="21">
        <v>22.04319</v>
      </c>
      <c r="AB30" s="21"/>
      <c r="AC30" s="8"/>
      <c r="AD30" s="8">
        <v>1.548394</v>
      </c>
      <c r="AE30" s="8">
        <v>0.001538086</v>
      </c>
      <c r="AF30" s="8">
        <v>91.88007</v>
      </c>
      <c r="AG30" s="8">
        <v>19.62167</v>
      </c>
      <c r="AH30" s="8"/>
      <c r="AI30" s="22"/>
      <c r="AJ30" s="22"/>
      <c r="AK30" s="22"/>
      <c r="AL30" s="22"/>
      <c r="AM30" s="22"/>
      <c r="AN30" s="8">
        <v>45.20399</v>
      </c>
      <c r="AO30" s="9">
        <v>50</v>
      </c>
      <c r="AP30" s="10">
        <v>27.50651</v>
      </c>
      <c r="AQ30" s="11">
        <v>39.62674</v>
      </c>
      <c r="AR30" s="12">
        <v>0.09766388</v>
      </c>
    </row>
    <row r="31" spans="2:44" ht="13.5" customHeight="1" x14ac:dyDescent="0.25">
      <c r="B31" s="121">
        <v>0.20833333333333334</v>
      </c>
      <c r="C31" s="20">
        <v>-80.50492</v>
      </c>
      <c r="D31" s="4">
        <v>-79.6441</v>
      </c>
      <c r="E31" s="4">
        <v>103.1322</v>
      </c>
      <c r="F31" s="4">
        <v>0.07197627</v>
      </c>
      <c r="G31" s="4">
        <v>9.281922E-05</v>
      </c>
      <c r="H31" s="4"/>
      <c r="I31" s="4"/>
      <c r="J31" s="4"/>
      <c r="K31" s="4"/>
      <c r="L31" s="5"/>
      <c r="M31" s="20">
        <v>18.7283</v>
      </c>
      <c r="N31" s="4">
        <v>38.97931</v>
      </c>
      <c r="O31" s="4">
        <v>39.5</v>
      </c>
      <c r="P31" s="4">
        <v>22</v>
      </c>
      <c r="Q31" s="4">
        <v>3.209635</v>
      </c>
      <c r="R31" s="4"/>
      <c r="S31" s="21">
        <v>95.66695</v>
      </c>
      <c r="T31" s="21">
        <v>28.25</v>
      </c>
      <c r="U31" s="21">
        <v>70.73893</v>
      </c>
      <c r="V31" s="21">
        <v>15.90169</v>
      </c>
      <c r="W31" s="21">
        <v>20.62175</v>
      </c>
      <c r="X31" s="21">
        <v>28.5</v>
      </c>
      <c r="Y31" s="21">
        <v>71.17622</v>
      </c>
      <c r="Z31" s="21">
        <v>15.72989</v>
      </c>
      <c r="AA31" s="21">
        <v>20.6109</v>
      </c>
      <c r="AB31" s="21"/>
      <c r="AC31" s="8"/>
      <c r="AD31" s="8">
        <v>1.548394</v>
      </c>
      <c r="AE31" s="8">
        <v>0.001454712</v>
      </c>
      <c r="AF31" s="8">
        <v>92.35387</v>
      </c>
      <c r="AG31" s="8">
        <v>27.26056</v>
      </c>
      <c r="AH31" s="8"/>
      <c r="AI31" s="22"/>
      <c r="AJ31" s="22"/>
      <c r="AK31" s="22"/>
      <c r="AL31" s="22"/>
      <c r="AM31" s="22"/>
      <c r="AN31" s="8">
        <v>44.61082</v>
      </c>
      <c r="AO31" s="9">
        <v>50</v>
      </c>
      <c r="AP31" s="10">
        <v>27.41609</v>
      </c>
      <c r="AQ31" s="11">
        <v>39.44589</v>
      </c>
      <c r="AR31" s="12">
        <v>0.09766388</v>
      </c>
    </row>
    <row r="32" spans="2:44" ht="13.5" customHeight="1" x14ac:dyDescent="0.25">
      <c r="B32" s="121">
        <v>0.25</v>
      </c>
      <c r="C32" s="20">
        <v>-78.71094</v>
      </c>
      <c r="D32" s="4">
        <v>-77.83565</v>
      </c>
      <c r="E32" s="4">
        <v>103.1358</v>
      </c>
      <c r="F32" s="4">
        <v>0.09418403</v>
      </c>
      <c r="G32" s="4">
        <v>9.126282E-05</v>
      </c>
      <c r="H32" s="4"/>
      <c r="I32" s="4"/>
      <c r="J32" s="4"/>
      <c r="K32" s="4"/>
      <c r="L32" s="5"/>
      <c r="M32" s="20">
        <v>21.1697</v>
      </c>
      <c r="N32" s="4">
        <v>34.66435</v>
      </c>
      <c r="O32" s="4">
        <v>39.5</v>
      </c>
      <c r="P32" s="4">
        <v>22</v>
      </c>
      <c r="Q32" s="4">
        <v>3.495226</v>
      </c>
      <c r="R32" s="4">
        <v>18.66681</v>
      </c>
      <c r="S32" s="21">
        <v>94.40827</v>
      </c>
      <c r="T32" s="21">
        <v>28</v>
      </c>
      <c r="U32" s="21">
        <v>71.62471</v>
      </c>
      <c r="V32" s="21">
        <v>14.29579</v>
      </c>
      <c r="W32" s="21">
        <v>18.51129</v>
      </c>
      <c r="X32" s="21">
        <v>0</v>
      </c>
      <c r="Y32" s="21">
        <v>0</v>
      </c>
      <c r="Z32" s="21">
        <v>12.98286</v>
      </c>
      <c r="AA32" s="21">
        <v>18.22917</v>
      </c>
      <c r="AB32" s="21"/>
      <c r="AC32" s="8"/>
      <c r="AD32" s="8">
        <v>1.548231</v>
      </c>
      <c r="AE32" s="8">
        <v>0.001156616</v>
      </c>
      <c r="AF32" s="8">
        <v>98.62196</v>
      </c>
      <c r="AG32" s="8">
        <v>96.17332</v>
      </c>
      <c r="AH32" s="8"/>
      <c r="AI32" s="22"/>
      <c r="AJ32" s="22"/>
      <c r="AK32" s="22"/>
      <c r="AL32" s="22"/>
      <c r="AM32" s="22"/>
      <c r="AN32" s="8">
        <v>43.72107</v>
      </c>
      <c r="AO32" s="9">
        <v>50</v>
      </c>
      <c r="AP32" s="10">
        <v>27.08152</v>
      </c>
      <c r="AQ32" s="11">
        <v>39.3844</v>
      </c>
      <c r="AR32" s="12">
        <v>0.09766388</v>
      </c>
    </row>
    <row r="33" spans="2:44" ht="13.5" customHeight="1" x14ac:dyDescent="0.25">
      <c r="B33" s="121">
        <v>0.29166666666666669</v>
      </c>
      <c r="C33" s="20">
        <v>-79.83941</v>
      </c>
      <c r="D33" s="4">
        <v>-79.02199</v>
      </c>
      <c r="E33" s="4">
        <v>103.1358</v>
      </c>
      <c r="F33" s="4">
        <v>0.1463397</v>
      </c>
      <c r="G33" s="4">
        <v>9.039306E-05</v>
      </c>
      <c r="H33" s="4"/>
      <c r="I33" s="4"/>
      <c r="J33" s="4"/>
      <c r="K33" s="4"/>
      <c r="L33" s="5"/>
      <c r="M33" s="20">
        <v>21.07928</v>
      </c>
      <c r="N33" s="4">
        <v>32.43996</v>
      </c>
      <c r="O33" s="4">
        <v>39.5</v>
      </c>
      <c r="P33" s="4">
        <v>22</v>
      </c>
      <c r="Q33" s="4">
        <v>3.38151</v>
      </c>
      <c r="R33" s="4"/>
      <c r="S33" s="21">
        <v>96.98351</v>
      </c>
      <c r="T33" s="21">
        <v>28</v>
      </c>
      <c r="U33" s="21">
        <v>71.80411</v>
      </c>
      <c r="V33" s="21">
        <v>15.57075</v>
      </c>
      <c r="W33" s="21">
        <v>19.91103</v>
      </c>
      <c r="X33" s="21">
        <v>0</v>
      </c>
      <c r="Y33" s="21">
        <v>0</v>
      </c>
      <c r="Z33" s="21">
        <v>0</v>
      </c>
      <c r="AA33" s="21">
        <v>107.9753</v>
      </c>
      <c r="AB33" s="21"/>
      <c r="AC33" s="8"/>
      <c r="AD33" s="8">
        <v>1.548394</v>
      </c>
      <c r="AE33" s="8">
        <v>0.001114136</v>
      </c>
      <c r="AF33" s="8">
        <v>67.10069</v>
      </c>
      <c r="AG33" s="8">
        <v>17.63961</v>
      </c>
      <c r="AH33" s="8"/>
      <c r="AI33" s="22"/>
      <c r="AJ33" s="22"/>
      <c r="AK33" s="22"/>
      <c r="AL33" s="22"/>
      <c r="AM33" s="22"/>
      <c r="AN33" s="8">
        <v>48.57494</v>
      </c>
      <c r="AO33" s="9">
        <v>50</v>
      </c>
      <c r="AP33" s="10">
        <v>26.96398</v>
      </c>
      <c r="AQ33" s="11">
        <v>39.58695</v>
      </c>
      <c r="AR33" s="12">
        <v>0.09766388</v>
      </c>
    </row>
    <row r="34" spans="2:44" ht="13.5" customHeight="1" x14ac:dyDescent="0.25">
      <c r="B34" s="121">
        <v>0.33333333333333331</v>
      </c>
      <c r="C34" s="100">
        <v>-80.92448</v>
      </c>
      <c r="D34" s="98">
        <v>-80.23003</v>
      </c>
      <c r="E34" s="98">
        <v>103.1286</v>
      </c>
      <c r="F34" s="98">
        <v>0.1090133</v>
      </c>
      <c r="G34" s="98">
        <v>9.12323E-05</v>
      </c>
      <c r="H34" s="98"/>
      <c r="I34" s="98"/>
      <c r="J34" s="98"/>
      <c r="K34" s="98"/>
      <c r="L34" s="99"/>
      <c r="M34" s="100">
        <v>21.05035</v>
      </c>
      <c r="N34" s="98">
        <v>32.38209</v>
      </c>
      <c r="O34" s="98">
        <v>39.5</v>
      </c>
      <c r="P34" s="98">
        <v>22</v>
      </c>
      <c r="Q34" s="98">
        <v>3.111111</v>
      </c>
      <c r="R34" s="98">
        <v>19.28892</v>
      </c>
      <c r="S34" s="101">
        <v>92.57089</v>
      </c>
      <c r="T34" s="101">
        <v>30</v>
      </c>
      <c r="U34" s="101">
        <v>76.55255</v>
      </c>
      <c r="V34" s="101">
        <v>13.66103</v>
      </c>
      <c r="W34" s="101">
        <v>19.22743</v>
      </c>
      <c r="X34" s="101">
        <v>0</v>
      </c>
      <c r="Y34" s="101">
        <v>0</v>
      </c>
      <c r="Z34" s="101">
        <v>0</v>
      </c>
      <c r="AA34" s="101">
        <v>77.30035</v>
      </c>
      <c r="AB34" s="101"/>
      <c r="AC34" s="102"/>
      <c r="AD34" s="102">
        <v>0</v>
      </c>
      <c r="AE34" s="102">
        <v>0.000638916</v>
      </c>
      <c r="AF34" s="102">
        <v>75.37978</v>
      </c>
      <c r="AG34" s="102">
        <v>14.50376</v>
      </c>
      <c r="AH34" s="102"/>
      <c r="AI34" s="103"/>
      <c r="AJ34" s="103"/>
      <c r="AK34" s="103"/>
      <c r="AL34" s="103"/>
      <c r="AM34" s="103"/>
      <c r="AN34" s="102">
        <v>53.92072</v>
      </c>
      <c r="AO34" s="104">
        <v>50</v>
      </c>
      <c r="AP34" s="105">
        <v>27.24429</v>
      </c>
      <c r="AQ34" s="106">
        <v>39.30483</v>
      </c>
      <c r="AR34" s="19">
        <v>0.09766388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24.71065</v>
      </c>
      <c r="F39" s="107"/>
      <c r="G39" s="107"/>
      <c r="H39" s="107">
        <v>0</v>
      </c>
      <c r="I39" s="107"/>
      <c r="J39" s="107">
        <v>30.42716</v>
      </c>
      <c r="K39" s="107">
        <v>40</v>
      </c>
      <c r="L39" s="107">
        <v>29.52293</v>
      </c>
      <c r="M39" s="107">
        <v>0</v>
      </c>
      <c r="N39" s="107"/>
      <c r="O39" s="107">
        <v>33.04036</v>
      </c>
      <c r="P39" s="107">
        <v>0.05</v>
      </c>
      <c r="Q39" s="107">
        <v>0.1094473</v>
      </c>
      <c r="R39" s="107"/>
      <c r="S39" s="107">
        <v>0</v>
      </c>
      <c r="T39" s="107"/>
      <c r="U39" s="108">
        <v>0</v>
      </c>
      <c r="V39" s="109"/>
      <c r="W39" s="110">
        <v>97.21137</v>
      </c>
      <c r="X39" s="108">
        <v>18.78617</v>
      </c>
      <c r="Y39" s="108">
        <v>50</v>
      </c>
      <c r="Z39" s="108">
        <v>123.8802</v>
      </c>
      <c r="AA39" s="108">
        <v>17.31228</v>
      </c>
      <c r="AB39" s="108">
        <v>19.46615</v>
      </c>
      <c r="AC39" s="108">
        <v>0</v>
      </c>
      <c r="AD39" s="108">
        <v>20.59462</v>
      </c>
      <c r="AE39" s="111">
        <v>11.63375</v>
      </c>
      <c r="AF39" s="111">
        <v>19.12978</v>
      </c>
      <c r="AG39" s="111"/>
      <c r="AH39" s="111">
        <v>0</v>
      </c>
      <c r="AI39" s="111">
        <v>0</v>
      </c>
      <c r="AJ39" s="111"/>
      <c r="AK39" s="111">
        <v>68.54745</v>
      </c>
      <c r="AL39" s="112">
        <v>40.02315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2.632141E-06</v>
      </c>
      <c r="E40" s="4">
        <v>25.33999</v>
      </c>
      <c r="F40" s="4"/>
      <c r="G40" s="4"/>
      <c r="H40" s="4">
        <v>0</v>
      </c>
      <c r="I40" s="4">
        <v>0.001302719</v>
      </c>
      <c r="J40" s="4">
        <v>30.48141</v>
      </c>
      <c r="K40" s="4">
        <v>40</v>
      </c>
      <c r="L40" s="4">
        <v>29.33304</v>
      </c>
      <c r="M40" s="4">
        <v>0</v>
      </c>
      <c r="N40" s="4">
        <v>0</v>
      </c>
      <c r="O40" s="4">
        <v>32.76006</v>
      </c>
      <c r="P40" s="4">
        <v>0.05</v>
      </c>
      <c r="Q40" s="4">
        <v>0.2016782</v>
      </c>
      <c r="R40" s="4">
        <v>0.0001533508</v>
      </c>
      <c r="S40" s="4">
        <v>0</v>
      </c>
      <c r="T40" s="4">
        <v>0</v>
      </c>
      <c r="U40" s="21">
        <v>0</v>
      </c>
      <c r="V40" s="29">
        <v>0</v>
      </c>
      <c r="W40" s="30">
        <v>96.76287</v>
      </c>
      <c r="X40" s="21"/>
      <c r="Y40" s="21">
        <v>50</v>
      </c>
      <c r="Z40" s="21">
        <v>123.8802</v>
      </c>
      <c r="AA40" s="21">
        <v>18.46246</v>
      </c>
      <c r="AB40" s="21">
        <v>21.41927</v>
      </c>
      <c r="AC40" s="21">
        <v>50</v>
      </c>
      <c r="AD40" s="21">
        <v>123.7804</v>
      </c>
      <c r="AE40" s="8">
        <v>9.154369</v>
      </c>
      <c r="AF40" s="8">
        <v>21.4681</v>
      </c>
      <c r="AG40" s="8"/>
      <c r="AH40" s="8">
        <v>0</v>
      </c>
      <c r="AI40" s="8">
        <v>0</v>
      </c>
      <c r="AJ40" s="8">
        <v>0</v>
      </c>
      <c r="AK40" s="8">
        <v>68.52575</v>
      </c>
      <c r="AL40" s="9">
        <v>39.84665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2.926445E-05</v>
      </c>
      <c r="E41" s="4">
        <v>26.17188</v>
      </c>
      <c r="F41" s="4"/>
      <c r="G41" s="4"/>
      <c r="H41" s="4">
        <v>0</v>
      </c>
      <c r="I41" s="4">
        <v>0</v>
      </c>
      <c r="J41" s="4">
        <v>30.53566</v>
      </c>
      <c r="K41" s="4">
        <v>40</v>
      </c>
      <c r="L41" s="4">
        <v>29.24262</v>
      </c>
      <c r="M41" s="4">
        <v>0</v>
      </c>
      <c r="N41" s="4">
        <v>0</v>
      </c>
      <c r="O41" s="4">
        <v>32.3622</v>
      </c>
      <c r="P41" s="4">
        <v>0.05</v>
      </c>
      <c r="Q41" s="4">
        <v>0.327474</v>
      </c>
      <c r="R41" s="4">
        <v>0.0003016357</v>
      </c>
      <c r="S41" s="4">
        <v>0</v>
      </c>
      <c r="T41" s="4">
        <v>0</v>
      </c>
      <c r="U41" s="21">
        <v>0</v>
      </c>
      <c r="V41" s="29">
        <v>0</v>
      </c>
      <c r="W41" s="30">
        <v>89.81843</v>
      </c>
      <c r="X41" s="21">
        <v>18.92361</v>
      </c>
      <c r="Y41" s="21">
        <v>40</v>
      </c>
      <c r="Z41" s="21">
        <v>101.5885</v>
      </c>
      <c r="AA41" s="21">
        <v>19.85135</v>
      </c>
      <c r="AB41" s="21">
        <v>23.09028</v>
      </c>
      <c r="AC41" s="21">
        <v>40</v>
      </c>
      <c r="AD41" s="21">
        <v>106.7708</v>
      </c>
      <c r="AE41" s="8">
        <v>9.239367</v>
      </c>
      <c r="AF41" s="8">
        <v>23.08485</v>
      </c>
      <c r="AG41" s="8"/>
      <c r="AH41" s="8">
        <v>0</v>
      </c>
      <c r="AI41" s="8">
        <v>0</v>
      </c>
      <c r="AJ41" s="8">
        <v>0.0002456017</v>
      </c>
      <c r="AK41" s="8">
        <v>68.4932</v>
      </c>
      <c r="AL41" s="9">
        <v>39.6904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3.792763E-05</v>
      </c>
      <c r="E42" s="4">
        <v>25.38339</v>
      </c>
      <c r="F42" s="4"/>
      <c r="G42" s="4"/>
      <c r="H42" s="4">
        <v>0</v>
      </c>
      <c r="I42" s="4">
        <v>6.389618E-05</v>
      </c>
      <c r="J42" s="4">
        <v>30.53566</v>
      </c>
      <c r="K42" s="4">
        <v>40</v>
      </c>
      <c r="L42" s="4">
        <v>29.01657</v>
      </c>
      <c r="M42" s="4">
        <v>0</v>
      </c>
      <c r="N42" s="4">
        <v>0</v>
      </c>
      <c r="O42" s="4">
        <v>31.86487</v>
      </c>
      <c r="P42" s="4">
        <v>0.05</v>
      </c>
      <c r="Q42" s="4">
        <v>0.3798466</v>
      </c>
      <c r="R42" s="4">
        <v>0.000361908</v>
      </c>
      <c r="S42" s="4">
        <v>0</v>
      </c>
      <c r="T42" s="4">
        <v>0</v>
      </c>
      <c r="U42" s="21">
        <v>0</v>
      </c>
      <c r="V42" s="29">
        <v>0</v>
      </c>
      <c r="W42" s="30">
        <v>94.48061</v>
      </c>
      <c r="X42" s="21">
        <v>19.36849</v>
      </c>
      <c r="Y42" s="21">
        <v>50</v>
      </c>
      <c r="Z42" s="21">
        <v>123.8802</v>
      </c>
      <c r="AA42" s="21">
        <v>24.9783</v>
      </c>
      <c r="AB42" s="21">
        <v>30.38737</v>
      </c>
      <c r="AC42" s="21">
        <v>50</v>
      </c>
      <c r="AD42" s="21">
        <v>123.7804</v>
      </c>
      <c r="AE42" s="8">
        <v>13.56879</v>
      </c>
      <c r="AF42" s="8">
        <v>85.47635</v>
      </c>
      <c r="AG42" s="8"/>
      <c r="AH42" s="8">
        <v>0</v>
      </c>
      <c r="AI42" s="8">
        <v>0</v>
      </c>
      <c r="AJ42" s="8">
        <v>0</v>
      </c>
      <c r="AK42" s="8">
        <v>68.45341</v>
      </c>
      <c r="AL42" s="9">
        <v>39.52836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6.685257E-06</v>
      </c>
      <c r="E43" s="4">
        <v>26.57697</v>
      </c>
      <c r="F43" s="4"/>
      <c r="G43" s="4"/>
      <c r="H43" s="4">
        <v>0</v>
      </c>
      <c r="I43" s="4">
        <v>0.0002651215</v>
      </c>
      <c r="J43" s="4">
        <v>30.53566</v>
      </c>
      <c r="K43" s="4">
        <v>40</v>
      </c>
      <c r="L43" s="4">
        <v>28.95327</v>
      </c>
      <c r="M43" s="4">
        <v>0</v>
      </c>
      <c r="N43" s="4">
        <v>0</v>
      </c>
      <c r="O43" s="4">
        <v>31.59361</v>
      </c>
      <c r="P43" s="4">
        <v>0.05</v>
      </c>
      <c r="Q43" s="4">
        <v>0.318287</v>
      </c>
      <c r="R43" s="4">
        <v>0.0003280029</v>
      </c>
      <c r="S43" s="4">
        <v>0</v>
      </c>
      <c r="T43" s="4">
        <v>0</v>
      </c>
      <c r="U43" s="21">
        <v>0</v>
      </c>
      <c r="V43" s="29">
        <v>0</v>
      </c>
      <c r="W43" s="30">
        <v>95.79716</v>
      </c>
      <c r="X43" s="21"/>
      <c r="Y43" s="21">
        <v>50</v>
      </c>
      <c r="Z43" s="21">
        <v>123.8759</v>
      </c>
      <c r="AA43" s="21">
        <v>23.20964</v>
      </c>
      <c r="AB43" s="21">
        <v>32.3622</v>
      </c>
      <c r="AC43" s="21">
        <v>50</v>
      </c>
      <c r="AD43" s="21">
        <v>123.7847</v>
      </c>
      <c r="AE43" s="8">
        <v>24.87883</v>
      </c>
      <c r="AF43" s="8">
        <v>32.58464</v>
      </c>
      <c r="AG43" s="8"/>
      <c r="AH43" s="8">
        <v>0</v>
      </c>
      <c r="AI43" s="8">
        <v>0</v>
      </c>
      <c r="AJ43" s="8">
        <v>0</v>
      </c>
      <c r="AK43" s="8">
        <v>68.41001</v>
      </c>
      <c r="AL43" s="9">
        <v>39.38658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0</v>
      </c>
      <c r="E44" s="4">
        <v>27.64757</v>
      </c>
      <c r="F44" s="4"/>
      <c r="G44" s="4"/>
      <c r="H44" s="4">
        <v>0</v>
      </c>
      <c r="I44" s="4">
        <v>0</v>
      </c>
      <c r="J44" s="4">
        <v>30.42716</v>
      </c>
      <c r="K44" s="4">
        <v>40</v>
      </c>
      <c r="L44" s="4">
        <v>28.79051</v>
      </c>
      <c r="M44" s="4">
        <v>0</v>
      </c>
      <c r="N44" s="4">
        <v>0</v>
      </c>
      <c r="O44" s="4">
        <v>31.37659</v>
      </c>
      <c r="P44" s="4">
        <v>0.05</v>
      </c>
      <c r="Q44" s="4">
        <v>0.3268229</v>
      </c>
      <c r="R44" s="4">
        <v>0.0003051148</v>
      </c>
      <c r="S44" s="4">
        <v>0</v>
      </c>
      <c r="T44" s="4">
        <v>0</v>
      </c>
      <c r="U44" s="21">
        <v>0</v>
      </c>
      <c r="V44" s="29">
        <v>0</v>
      </c>
      <c r="W44" s="30">
        <v>93.21832</v>
      </c>
      <c r="X44" s="21"/>
      <c r="Y44" s="21">
        <v>32</v>
      </c>
      <c r="Z44" s="21">
        <v>81.14584</v>
      </c>
      <c r="AA44" s="21">
        <v>30.25174</v>
      </c>
      <c r="AB44" s="21">
        <v>33.36046</v>
      </c>
      <c r="AC44" s="21">
        <v>31</v>
      </c>
      <c r="AD44" s="21">
        <v>81.54514</v>
      </c>
      <c r="AE44" s="8">
        <v>29.44517</v>
      </c>
      <c r="AF44" s="8">
        <v>33.41471</v>
      </c>
      <c r="AG44" s="8"/>
      <c r="AH44" s="8">
        <v>0</v>
      </c>
      <c r="AI44" s="8">
        <v>0.078125</v>
      </c>
      <c r="AJ44" s="8">
        <v>0.0002386665</v>
      </c>
      <c r="AK44" s="8">
        <v>68.39916</v>
      </c>
      <c r="AL44" s="9">
        <v>39.20139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5.099487E-05</v>
      </c>
      <c r="E45" s="4">
        <v>25.80295</v>
      </c>
      <c r="F45" s="4"/>
      <c r="G45" s="4"/>
      <c r="H45" s="4">
        <v>0</v>
      </c>
      <c r="I45" s="4">
        <v>0.0009784698</v>
      </c>
      <c r="J45" s="4">
        <v>30.25535</v>
      </c>
      <c r="K45" s="4">
        <v>40</v>
      </c>
      <c r="L45" s="4">
        <v>28.56445</v>
      </c>
      <c r="M45" s="4">
        <v>0</v>
      </c>
      <c r="N45" s="4">
        <v>0</v>
      </c>
      <c r="O45" s="4">
        <v>30.97873</v>
      </c>
      <c r="P45" s="4">
        <v>0.05</v>
      </c>
      <c r="Q45" s="4">
        <v>0.3124277</v>
      </c>
      <c r="R45" s="4">
        <v>0.000313385</v>
      </c>
      <c r="S45" s="4">
        <v>0</v>
      </c>
      <c r="T45" s="4">
        <v>0</v>
      </c>
      <c r="U45" s="21">
        <v>0</v>
      </c>
      <c r="V45" s="29">
        <v>0</v>
      </c>
      <c r="W45" s="30">
        <v>95.46441</v>
      </c>
      <c r="X45" s="21"/>
      <c r="Y45" s="21">
        <v>30</v>
      </c>
      <c r="Z45" s="21">
        <v>75.81598</v>
      </c>
      <c r="AA45" s="21">
        <v>23.40495</v>
      </c>
      <c r="AB45" s="21">
        <v>27.8049</v>
      </c>
      <c r="AC45" s="21">
        <v>30</v>
      </c>
      <c r="AD45" s="21">
        <v>78.73698</v>
      </c>
      <c r="AE45" s="8">
        <v>22.62912</v>
      </c>
      <c r="AF45" s="8">
        <v>27.78321</v>
      </c>
      <c r="AG45" s="8"/>
      <c r="AH45" s="8">
        <v>0</v>
      </c>
      <c r="AI45" s="8">
        <v>0</v>
      </c>
      <c r="AJ45" s="8">
        <v>3.725433E-05</v>
      </c>
      <c r="AK45" s="8">
        <v>68.33405</v>
      </c>
      <c r="AL45" s="9">
        <v>39.07986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0</v>
      </c>
      <c r="E46" s="4">
        <v>24.9783</v>
      </c>
      <c r="F46" s="4"/>
      <c r="G46" s="4"/>
      <c r="H46" s="4">
        <v>0</v>
      </c>
      <c r="I46" s="4">
        <v>0.0006561279</v>
      </c>
      <c r="J46" s="4">
        <v>30.08355</v>
      </c>
      <c r="K46" s="4">
        <v>40</v>
      </c>
      <c r="L46" s="4">
        <v>28.40169</v>
      </c>
      <c r="M46" s="4">
        <v>0</v>
      </c>
      <c r="N46" s="4">
        <v>0</v>
      </c>
      <c r="O46" s="4">
        <v>30.58992</v>
      </c>
      <c r="P46" s="4">
        <v>0.05</v>
      </c>
      <c r="Q46" s="4">
        <v>0.3268953</v>
      </c>
      <c r="R46" s="4">
        <v>0.0003138123</v>
      </c>
      <c r="S46" s="4">
        <v>0</v>
      </c>
      <c r="T46" s="4">
        <v>0</v>
      </c>
      <c r="U46" s="21">
        <v>0</v>
      </c>
      <c r="V46" s="29">
        <v>0</v>
      </c>
      <c r="W46" s="30">
        <v>92.22729</v>
      </c>
      <c r="X46" s="21">
        <v>19.90379</v>
      </c>
      <c r="Y46" s="21">
        <v>50</v>
      </c>
      <c r="Z46" s="21">
        <v>123.8715</v>
      </c>
      <c r="AA46" s="21">
        <v>19.41732</v>
      </c>
      <c r="AB46" s="21">
        <v>24.40864</v>
      </c>
      <c r="AC46" s="21">
        <v>50</v>
      </c>
      <c r="AD46" s="21">
        <v>123.7804</v>
      </c>
      <c r="AE46" s="8">
        <v>19.03393</v>
      </c>
      <c r="AF46" s="8">
        <v>24.39779</v>
      </c>
      <c r="AG46" s="8"/>
      <c r="AH46" s="8">
        <v>0</v>
      </c>
      <c r="AI46" s="8">
        <v>0</v>
      </c>
      <c r="AJ46" s="8">
        <v>0</v>
      </c>
      <c r="AK46" s="8">
        <v>68.31236</v>
      </c>
      <c r="AL46" s="9">
        <v>38.94098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8.207321E-06</v>
      </c>
      <c r="E47" s="4">
        <v>27.46672</v>
      </c>
      <c r="F47" s="4"/>
      <c r="G47" s="4"/>
      <c r="H47" s="4">
        <v>0</v>
      </c>
      <c r="I47" s="4">
        <v>0.0007886887</v>
      </c>
      <c r="J47" s="4">
        <v>29.92079</v>
      </c>
      <c r="K47" s="4">
        <v>40</v>
      </c>
      <c r="L47" s="4">
        <v>28.28414</v>
      </c>
      <c r="M47" s="4">
        <v>0</v>
      </c>
      <c r="N47" s="4">
        <v>0</v>
      </c>
      <c r="O47" s="4">
        <v>30.3729</v>
      </c>
      <c r="P47" s="4">
        <v>0.05</v>
      </c>
      <c r="Q47" s="4">
        <v>0.3093895</v>
      </c>
      <c r="R47" s="4">
        <v>0.0003143005</v>
      </c>
      <c r="S47" s="4">
        <v>0</v>
      </c>
      <c r="T47" s="4">
        <v>0</v>
      </c>
      <c r="U47" s="21">
        <v>0</v>
      </c>
      <c r="V47" s="29">
        <v>0</v>
      </c>
      <c r="W47" s="30">
        <v>97.65987</v>
      </c>
      <c r="X47" s="21"/>
      <c r="Y47" s="21">
        <v>50</v>
      </c>
      <c r="Z47" s="21">
        <v>123.8759</v>
      </c>
      <c r="AA47" s="21">
        <v>17.30686</v>
      </c>
      <c r="AB47" s="21">
        <v>22.02691</v>
      </c>
      <c r="AC47" s="21">
        <v>50</v>
      </c>
      <c r="AD47" s="21">
        <v>123.7847</v>
      </c>
      <c r="AE47" s="8">
        <v>16.89996</v>
      </c>
      <c r="AF47" s="8">
        <v>22.04319</v>
      </c>
      <c r="AG47" s="8"/>
      <c r="AH47" s="8">
        <v>0</v>
      </c>
      <c r="AI47" s="8">
        <v>0</v>
      </c>
      <c r="AJ47" s="8">
        <v>0</v>
      </c>
      <c r="AK47" s="8">
        <v>68.26534</v>
      </c>
      <c r="AL47" s="9">
        <v>38.69213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1.409531E-06</v>
      </c>
      <c r="E48" s="4">
        <v>25.13744</v>
      </c>
      <c r="F48" s="4"/>
      <c r="G48" s="4"/>
      <c r="H48" s="4">
        <v>0</v>
      </c>
      <c r="I48" s="4">
        <v>0.0002670288</v>
      </c>
      <c r="J48" s="4">
        <v>29.69473</v>
      </c>
      <c r="K48" s="4">
        <v>40</v>
      </c>
      <c r="L48" s="4">
        <v>28.28414</v>
      </c>
      <c r="M48" s="4">
        <v>0</v>
      </c>
      <c r="N48" s="4">
        <v>0</v>
      </c>
      <c r="O48" s="4">
        <v>30.14685</v>
      </c>
      <c r="P48" s="4">
        <v>0.05</v>
      </c>
      <c r="Q48" s="4">
        <v>0.322338</v>
      </c>
      <c r="R48" s="4">
        <v>0.000315033</v>
      </c>
      <c r="S48" s="4">
        <v>0</v>
      </c>
      <c r="T48" s="4">
        <v>0</v>
      </c>
      <c r="U48" s="21">
        <v>0</v>
      </c>
      <c r="V48" s="29">
        <v>0</v>
      </c>
      <c r="W48" s="30">
        <v>94.22743</v>
      </c>
      <c r="X48" s="21"/>
      <c r="Y48" s="21">
        <v>50</v>
      </c>
      <c r="Z48" s="21">
        <v>123.8759</v>
      </c>
      <c r="AA48" s="21">
        <v>15.90169</v>
      </c>
      <c r="AB48" s="21">
        <v>20.62175</v>
      </c>
      <c r="AC48" s="21">
        <v>50</v>
      </c>
      <c r="AD48" s="21">
        <v>123.7847</v>
      </c>
      <c r="AE48" s="8">
        <v>15.72989</v>
      </c>
      <c r="AF48" s="8">
        <v>20.6109</v>
      </c>
      <c r="AG48" s="8"/>
      <c r="AH48" s="8">
        <v>0</v>
      </c>
      <c r="AI48" s="8">
        <v>0</v>
      </c>
      <c r="AJ48" s="8">
        <v>0</v>
      </c>
      <c r="AK48" s="8">
        <v>68.25087</v>
      </c>
      <c r="AL48" s="9">
        <v>38.54456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0.0001182499</v>
      </c>
      <c r="E49" s="4">
        <v>26.18634</v>
      </c>
      <c r="F49" s="4"/>
      <c r="G49" s="4"/>
      <c r="H49" s="4">
        <v>0</v>
      </c>
      <c r="I49" s="4">
        <v>0.0007820129</v>
      </c>
      <c r="J49" s="4">
        <v>29.46868</v>
      </c>
      <c r="K49" s="4">
        <v>40</v>
      </c>
      <c r="L49" s="4">
        <v>28.11234</v>
      </c>
      <c r="M49" s="4">
        <v>0</v>
      </c>
      <c r="N49" s="4">
        <v>0</v>
      </c>
      <c r="O49" s="4">
        <v>29.74899</v>
      </c>
      <c r="P49" s="4">
        <v>0.05</v>
      </c>
      <c r="Q49" s="4">
        <v>0.4311343</v>
      </c>
      <c r="R49" s="4">
        <v>0.0003278809</v>
      </c>
      <c r="S49" s="4">
        <v>0</v>
      </c>
      <c r="T49" s="4">
        <v>0</v>
      </c>
      <c r="U49" s="21">
        <v>0</v>
      </c>
      <c r="V49" s="29">
        <v>0</v>
      </c>
      <c r="W49" s="30">
        <v>90.6901</v>
      </c>
      <c r="X49" s="21"/>
      <c r="Y49" s="21">
        <v>50</v>
      </c>
      <c r="Z49" s="21">
        <v>123.8802</v>
      </c>
      <c r="AA49" s="21">
        <v>14.29579</v>
      </c>
      <c r="AB49" s="21">
        <v>18.51129</v>
      </c>
      <c r="AC49" s="21">
        <v>50</v>
      </c>
      <c r="AD49" s="21">
        <v>123.7891</v>
      </c>
      <c r="AE49" s="8">
        <v>12.98286</v>
      </c>
      <c r="AF49" s="8">
        <v>18.22917</v>
      </c>
      <c r="AG49" s="8"/>
      <c r="AH49" s="8">
        <v>0</v>
      </c>
      <c r="AI49" s="8">
        <v>0</v>
      </c>
      <c r="AJ49" s="8">
        <v>0</v>
      </c>
      <c r="AK49" s="8">
        <v>68.21832</v>
      </c>
      <c r="AL49" s="9">
        <v>38.35938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5.303383E-05</v>
      </c>
      <c r="E50" s="4">
        <v>26.40336</v>
      </c>
      <c r="F50" s="4"/>
      <c r="G50" s="4"/>
      <c r="H50" s="4">
        <v>0</v>
      </c>
      <c r="I50" s="4">
        <v>0.0006561279</v>
      </c>
      <c r="J50" s="4">
        <v>29.17933</v>
      </c>
      <c r="K50" s="4">
        <v>40</v>
      </c>
      <c r="L50" s="4">
        <v>28.04905</v>
      </c>
      <c r="M50" s="4">
        <v>0</v>
      </c>
      <c r="N50" s="4">
        <v>0</v>
      </c>
      <c r="O50" s="4">
        <v>29.58623</v>
      </c>
      <c r="P50" s="4">
        <v>0.05</v>
      </c>
      <c r="Q50" s="4">
        <v>0.2996238</v>
      </c>
      <c r="R50" s="4">
        <v>0.0002716675</v>
      </c>
      <c r="S50" s="4">
        <v>0</v>
      </c>
      <c r="T50" s="4">
        <v>0</v>
      </c>
      <c r="U50" s="21">
        <v>0</v>
      </c>
      <c r="V50" s="29">
        <v>0</v>
      </c>
      <c r="W50" s="30">
        <v>91.04817</v>
      </c>
      <c r="X50" s="21"/>
      <c r="Y50" s="21">
        <v>50</v>
      </c>
      <c r="Z50" s="21">
        <v>123.8715</v>
      </c>
      <c r="AA50" s="21">
        <v>15.57075</v>
      </c>
      <c r="AB50" s="21">
        <v>19.91103</v>
      </c>
      <c r="AC50" s="21">
        <v>50</v>
      </c>
      <c r="AD50" s="21">
        <v>123.7804</v>
      </c>
      <c r="AE50" s="8">
        <v>0</v>
      </c>
      <c r="AF50" s="8">
        <v>107.9753</v>
      </c>
      <c r="AG50" s="8"/>
      <c r="AH50" s="8">
        <v>0</v>
      </c>
      <c r="AI50" s="8">
        <v>0</v>
      </c>
      <c r="AJ50" s="8">
        <v>0</v>
      </c>
      <c r="AK50" s="8">
        <v>68.19299</v>
      </c>
      <c r="AL50" s="9">
        <v>38.2147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4.323959E-06</v>
      </c>
      <c r="E51" s="13">
        <v>30.27344</v>
      </c>
      <c r="F51" s="13"/>
      <c r="G51" s="13"/>
      <c r="H51" s="13">
        <v>0</v>
      </c>
      <c r="I51" s="13">
        <v>0</v>
      </c>
      <c r="J51" s="13">
        <v>29.12507</v>
      </c>
      <c r="K51" s="13">
        <v>40</v>
      </c>
      <c r="L51" s="13">
        <v>28.16659</v>
      </c>
      <c r="M51" s="13">
        <v>0</v>
      </c>
      <c r="N51" s="13">
        <v>0</v>
      </c>
      <c r="O51" s="13">
        <v>29.73994</v>
      </c>
      <c r="P51" s="13">
        <v>0.05</v>
      </c>
      <c r="Q51" s="13">
        <v>0.3002749</v>
      </c>
      <c r="R51" s="13">
        <v>0.0002507324</v>
      </c>
      <c r="S51" s="13">
        <v>0</v>
      </c>
      <c r="T51" s="13">
        <v>0</v>
      </c>
      <c r="U51" s="24">
        <v>0</v>
      </c>
      <c r="V51" s="32">
        <v>0</v>
      </c>
      <c r="W51" s="33">
        <v>89.54355</v>
      </c>
      <c r="X51" s="24"/>
      <c r="Y51" s="24">
        <v>50</v>
      </c>
      <c r="Z51" s="24">
        <v>123.8759</v>
      </c>
      <c r="AA51" s="24">
        <v>13.66103</v>
      </c>
      <c r="AB51" s="24">
        <v>19.22743</v>
      </c>
      <c r="AC51" s="24">
        <v>50</v>
      </c>
      <c r="AD51" s="24">
        <v>123.7804</v>
      </c>
      <c r="AE51" s="17">
        <v>0</v>
      </c>
      <c r="AF51" s="17">
        <v>77.30035</v>
      </c>
      <c r="AG51" s="17"/>
      <c r="AH51" s="17">
        <v>0</v>
      </c>
      <c r="AI51" s="17">
        <v>0</v>
      </c>
      <c r="AJ51" s="17">
        <v>0</v>
      </c>
      <c r="AK51" s="17">
        <v>68.20385</v>
      </c>
      <c r="AL51" s="18">
        <v>38.05267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37" t="s">
        <v>367</v>
      </c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350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351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352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 t="s">
        <v>367</v>
      </c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4" t="s">
        <v>328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 t="s">
        <v>367</v>
      </c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329</v>
      </c>
      <c r="C4" s="41" t="s">
        <v>280</v>
      </c>
      <c r="D4" s="56" t="s">
        <v>330</v>
      </c>
      <c r="E4" s="56" t="s">
        <v>275</v>
      </c>
      <c r="F4" s="56" t="s">
        <v>276</v>
      </c>
      <c r="G4" s="41" t="s">
        <v>331</v>
      </c>
      <c r="H4" s="41" t="s">
        <v>332</v>
      </c>
      <c r="I4" s="41" t="s">
        <v>333</v>
      </c>
      <c r="J4" s="41" t="s">
        <v>334</v>
      </c>
      <c r="K4" s="56" t="s">
        <v>335</v>
      </c>
      <c r="L4" s="56" t="s">
        <v>336</v>
      </c>
      <c r="M4" s="41" t="s">
        <v>337</v>
      </c>
      <c r="N4" s="41" t="s">
        <v>338</v>
      </c>
      <c r="O4" s="41" t="s">
        <v>339</v>
      </c>
      <c r="P4" s="41" t="s">
        <v>340</v>
      </c>
      <c r="Q4" s="41" t="s">
        <v>341</v>
      </c>
      <c r="R4" s="41" t="s">
        <v>348</v>
      </c>
      <c r="S4" s="41" t="s">
        <v>347</v>
      </c>
      <c r="T4" s="41" t="s">
        <v>349</v>
      </c>
    </row>
    <row r="5" spans="2:20" x14ac:dyDescent="0.25">
      <c r="B5" s="360"/>
      <c r="C5" s="41" t="s">
        <v>281</v>
      </c>
      <c r="D5" s="57" t="s">
        <v>342</v>
      </c>
      <c r="E5" s="41" t="s">
        <v>343</v>
      </c>
      <c r="F5" s="41" t="s">
        <v>344</v>
      </c>
      <c r="G5" s="41" t="s">
        <v>344</v>
      </c>
      <c r="H5" s="41" t="s">
        <v>344</v>
      </c>
      <c r="I5" s="41" t="s">
        <v>344</v>
      </c>
      <c r="J5" s="41" t="s">
        <v>344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 t="s">
        <v>367</v>
      </c>
      <c r="C6" s="361"/>
      <c r="D6" s="58">
        <v>92.69</v>
      </c>
      <c r="E6" s="58">
        <v>6.11</v>
      </c>
      <c r="F6" s="58">
        <v>450</v>
      </c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>
        <v>0</v>
      </c>
      <c r="L6" s="353">
        <v>419.55241666666666</v>
      </c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345</v>
      </c>
      <c r="Q6" s="353" t="e">
        <f>(I6+I9)/(K6+K9)/AVERAGE(L6:L11)*1.2*100</f>
        <v>#DIV/0!</v>
      </c>
      <c r="R6" s="353">
        <v>959.65608</v>
      </c>
      <c r="S6" s="353">
        <v>1058.9</v>
      </c>
      <c r="T6" s="353" t="e">
        <f>SUM(K6:K11)*AVERAGE(L6:L11)/SUM(I6:I11)*1000</f>
        <v>#DIV/0!</v>
      </c>
    </row>
    <row r="7" spans="2:20" x14ac:dyDescent="0.25">
      <c r="B7" s="361"/>
      <c r="C7" s="361"/>
      <c r="D7" s="58">
        <v>91.4</v>
      </c>
      <c r="E7" s="58">
        <v>7.61</v>
      </c>
      <c r="F7" s="58">
        <v>279.1</v>
      </c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345</v>
      </c>
      <c r="Q7" s="353"/>
      <c r="R7" s="353"/>
      <c r="S7" s="353"/>
      <c r="T7" s="353"/>
    </row>
    <row r="8" spans="2:20" x14ac:dyDescent="0.25">
      <c r="B8" s="361"/>
      <c r="C8" s="361"/>
      <c r="D8" s="58">
        <v>87.16</v>
      </c>
      <c r="E8" s="58">
        <v>6.19</v>
      </c>
      <c r="F8" s="58">
        <v>329.8</v>
      </c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346</v>
      </c>
      <c r="Q8" s="353"/>
      <c r="R8" s="353"/>
      <c r="S8" s="353"/>
      <c r="T8" s="353"/>
    </row>
    <row r="9" spans="2:20" x14ac:dyDescent="0.25">
      <c r="B9" s="361"/>
      <c r="C9" s="361"/>
      <c r="D9" s="58"/>
      <c r="E9" s="58"/>
      <c r="F9" s="58"/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>
        <v>0</v>
      </c>
      <c r="L9" s="353">
        <v>417.3644</v>
      </c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345</v>
      </c>
      <c r="Q9" s="353"/>
      <c r="R9" s="353"/>
      <c r="S9" s="353"/>
      <c r="T9" s="353"/>
    </row>
    <row r="10" spans="2:20" x14ac:dyDescent="0.25">
      <c r="B10" s="361"/>
      <c r="C10" s="361"/>
      <c r="D10" s="58"/>
      <c r="E10" s="58"/>
      <c r="F10" s="58"/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345</v>
      </c>
      <c r="Q10" s="353"/>
      <c r="R10" s="353"/>
      <c r="S10" s="353"/>
      <c r="T10" s="353"/>
    </row>
    <row r="11" spans="2:20" x14ac:dyDescent="0.25">
      <c r="B11" s="361"/>
      <c r="C11" s="361"/>
      <c r="D11" s="58"/>
      <c r="E11" s="58"/>
      <c r="F11" s="58"/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346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topLeftCell="A13" zoomScaleNormal="100" workbookViewId="0">
      <selection activeCell="L14" sqref="L1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66" t="s">
        <v>327</v>
      </c>
      <c r="C2" s="367"/>
      <c r="D2" s="367"/>
      <c r="E2" s="367"/>
      <c r="F2" s="367"/>
      <c r="G2" s="367"/>
      <c r="H2" s="367"/>
      <c r="I2" s="367"/>
      <c r="J2" s="368"/>
    </row>
    <row r="3" spans="2:10" ht="20.15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>
        <v>0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359</v>
      </c>
      <c r="G7" s="43">
        <v>486.59192572405726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292</v>
      </c>
      <c r="D8" s="360"/>
      <c r="E8" s="41" t="s">
        <v>268</v>
      </c>
      <c r="F8" s="42" t="s">
        <v>360</v>
      </c>
      <c r="G8" s="43">
        <v>191.1967337298587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3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418.4584083333333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298</v>
      </c>
      <c r="D10" s="41" t="s">
        <v>299</v>
      </c>
      <c r="E10" s="48" t="s">
        <v>4</v>
      </c>
      <c r="F10" s="42" t="s">
        <v>300</v>
      </c>
      <c r="G10" s="43">
        <v>0.5282231833333334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64"/>
      <c r="C12" s="360"/>
      <c r="D12" s="41" t="s">
        <v>304</v>
      </c>
      <c r="E12" s="41" t="s">
        <v>273</v>
      </c>
      <c r="F12" s="42" t="s">
        <v>305</v>
      </c>
      <c r="G12" s="43">
        <v>0.7331821875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306</v>
      </c>
      <c r="E13" s="41" t="s">
        <v>274</v>
      </c>
      <c r="F13" s="42" t="s">
        <v>307</v>
      </c>
      <c r="G13" s="43">
        <v>91.06360458333333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308</v>
      </c>
      <c r="E14" s="41" t="s">
        <v>274</v>
      </c>
      <c r="F14" s="42" t="s">
        <v>366</v>
      </c>
      <c r="G14" s="43">
        <v>139.48055416666665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309</v>
      </c>
      <c r="E15" s="41" t="s">
        <v>274</v>
      </c>
      <c r="F15" s="42" t="s">
        <v>361</v>
      </c>
      <c r="G15" s="43">
        <v>163.18449583333333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64"/>
      <c r="C16" s="360" t="s">
        <v>310</v>
      </c>
      <c r="D16" s="41" t="s">
        <v>362</v>
      </c>
      <c r="E16" s="41" t="s">
        <v>274</v>
      </c>
      <c r="F16" s="42" t="s">
        <v>363</v>
      </c>
      <c r="G16" s="43">
        <v>56.476054166666664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364</v>
      </c>
      <c r="E17" s="41" t="s">
        <v>274</v>
      </c>
      <c r="F17" s="42" t="s">
        <v>311</v>
      </c>
      <c r="G17" s="43">
        <v>19.476666363636365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312</v>
      </c>
      <c r="E18" s="41" t="s">
        <v>274</v>
      </c>
      <c r="F18" s="42" t="s">
        <v>365</v>
      </c>
      <c r="G18" s="43">
        <v>51.08295916666666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313</v>
      </c>
      <c r="E19" s="41" t="s">
        <v>274</v>
      </c>
      <c r="F19" s="42" t="s">
        <v>314</v>
      </c>
      <c r="G19" s="43">
        <v>19.0596975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315</v>
      </c>
      <c r="D20" s="41" t="s">
        <v>83</v>
      </c>
      <c r="E20" s="41" t="s">
        <v>271</v>
      </c>
      <c r="F20" s="49" t="s">
        <v>76</v>
      </c>
      <c r="G20" s="43">
        <v>33.125</v>
      </c>
      <c r="H20" s="50" t="s">
        <v>316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64"/>
      <c r="C22" s="360"/>
      <c r="D22" s="41" t="s">
        <v>317</v>
      </c>
      <c r="E22" s="48" t="s">
        <v>4</v>
      </c>
      <c r="F22" s="49" t="s">
        <v>76</v>
      </c>
      <c r="G22" s="43">
        <v>6.655</v>
      </c>
      <c r="H22" s="50" t="s">
        <v>316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296</v>
      </c>
      <c r="F23" s="49" t="s">
        <v>76</v>
      </c>
      <c r="G23" s="43">
        <v>20.11</v>
      </c>
      <c r="H23" s="50" t="s">
        <v>316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296</v>
      </c>
      <c r="F24" s="49" t="s">
        <v>76</v>
      </c>
      <c r="G24" s="43">
        <v>8.04</v>
      </c>
      <c r="H24" s="50" t="s">
        <v>316</v>
      </c>
      <c r="I24" s="48" t="s">
        <v>4</v>
      </c>
      <c r="J24" s="46"/>
    </row>
    <row r="25" spans="2:10" x14ac:dyDescent="0.25">
      <c r="B25" s="375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0.7244459911096485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323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324</v>
      </c>
      <c r="E27" s="41" t="s">
        <v>271</v>
      </c>
      <c r="F27" s="42">
        <v>15</v>
      </c>
      <c r="G27" s="43"/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325</v>
      </c>
      <c r="E28" s="41" t="s">
        <v>271</v>
      </c>
      <c r="F28" s="42">
        <v>4</v>
      </c>
      <c r="G28" s="43">
        <v>5.7</v>
      </c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/>
      <c r="E31" s="41"/>
      <c r="F31" s="42"/>
      <c r="G31" s="43"/>
      <c r="H31" s="44"/>
      <c r="I31" s="48"/>
      <c r="J31" s="46"/>
    </row>
    <row r="32" spans="2:10" ht="14.5" thickBot="1" x14ac:dyDescent="0.3">
      <c r="B32" s="363"/>
      <c r="C32" s="376"/>
      <c r="D32" s="51"/>
      <c r="E32" s="51"/>
      <c r="F32" s="52"/>
      <c r="G32" s="53"/>
      <c r="H32" s="44"/>
      <c r="I32" s="48"/>
      <c r="J32" s="54"/>
    </row>
    <row r="33" spans="2:10" x14ac:dyDescent="0.25">
      <c r="B33" s="377" t="s">
        <v>326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31" priority="10" aboveAverage="1" operator="equal">
      <formula>0</formula>
    </cfRule>
    <cfRule type="cellIs" dxfId="30" priority="11" aboveAverage="1" operator="lessThan">
      <formula>0</formula>
    </cfRule>
    <cfRule type="cellIs" dxfId="29" priority="12" aboveAverage="1" operator="greaterThan">
      <formula>0</formula>
    </cfRule>
  </conditionalFormatting>
  <conditionalFormatting sqref="H6:H19">
    <cfRule type="cellIs" dxfId="28" priority="13" aboveAverage="1" operator="equal">
      <formula>"合格"</formula>
    </cfRule>
    <cfRule type="cellIs" dxfId="27" priority="14" aboveAverage="1" operator="equal">
      <formula>"不合格"</formula>
    </cfRule>
    <cfRule type="containsText" dxfId="26" priority="15" aboveAverage="1" operator="containsText" text="不合格">
      <formula>NOT(ISERROR(SEARCH("不合格",H6)))</formula>
    </cfRule>
    <cfRule type="cellIs" dxfId="25" priority="16" aboveAverage="1" operator="equal">
      <formula>"合格"</formula>
    </cfRule>
  </conditionalFormatting>
  <conditionalFormatting sqref="H25">
    <cfRule type="cellIs" dxfId="24" priority="6" aboveAverage="1" operator="equal">
      <formula>"合格"</formula>
    </cfRule>
    <cfRule type="cellIs" dxfId="23" priority="7" aboveAverage="1" operator="equal">
      <formula>"不合格"</formula>
    </cfRule>
    <cfRule type="containsText" dxfId="22" priority="8" aboveAverage="1" operator="containsText" text="不合格">
      <formula>NOT(ISERROR(SEARCH("不合格",H25)))</formula>
    </cfRule>
    <cfRule type="cellIs" dxfId="21" priority="9" aboveAverage="1" operator="equal">
      <formula>"合格"</formula>
    </cfRule>
  </conditionalFormatting>
  <conditionalFormatting sqref="H26:H30">
    <cfRule type="cellIs" dxfId="20" priority="4" aboveAverage="1" operator="greaterThan">
      <formula>0</formula>
    </cfRule>
    <cfRule type="cellIs" dxfId="19" priority="5" aboveAverage="1" operator="lessThan">
      <formula>0</formula>
    </cfRule>
  </conditionalFormatting>
  <conditionalFormatting sqref="H26:H30">
    <cfRule type="cellIs" dxfId="18" priority="1" aboveAverage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2026-08-11T06:20:29Z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