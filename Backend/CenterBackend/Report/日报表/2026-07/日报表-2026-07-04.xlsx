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6855" yWindow="-15180" windowWidth="19200" windowHeight="11175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<sst xmlns="http://schemas.openxmlformats.org/spreadsheetml/2006/main" count="881" uniqueCount="370">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</sst>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0" fontId="5" fillId="0" borderId="49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31" t="s">
        <v>219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</row>
    <row r="3" spans="2:47" ht="20.15" customHeight="1" x14ac:dyDescent="0.25">
      <c r="B3" s="135" t="s">
        <v>174</v>
      </c>
      <c r="C3" s="141" t="s">
        <v>156</v>
      </c>
      <c r="D3" s="142"/>
      <c r="E3" s="142"/>
      <c r="F3" s="142"/>
      <c r="G3" s="142"/>
      <c r="H3" s="142"/>
      <c r="I3" s="133" t="s">
        <v>8</v>
      </c>
      <c r="J3" s="142"/>
      <c r="K3" s="142"/>
      <c r="L3" s="142"/>
      <c r="M3" s="142"/>
      <c r="N3" s="142"/>
      <c r="O3" s="142"/>
      <c r="P3" s="142"/>
      <c r="Q3" s="133" t="s">
        <v>71</v>
      </c>
      <c r="R3" s="142"/>
      <c r="S3" s="142"/>
      <c r="T3" s="133" t="s">
        <v>10</v>
      </c>
      <c r="U3" s="142"/>
      <c r="V3" s="142"/>
      <c r="W3" s="142"/>
      <c r="X3" s="133" t="s">
        <v>74</v>
      </c>
      <c r="Y3" s="134"/>
      <c r="Z3" s="133" t="s">
        <v>11</v>
      </c>
      <c r="AA3" s="134"/>
      <c r="AB3" s="117" t="s">
        <v>13</v>
      </c>
      <c r="AC3" s="133" t="s">
        <v>14</v>
      </c>
      <c r="AD3" s="134"/>
      <c r="AE3" s="166" t="s">
        <v>82</v>
      </c>
      <c r="AF3" s="167"/>
      <c r="AG3" s="167"/>
      <c r="AH3" s="167"/>
      <c r="AI3" s="167"/>
      <c r="AJ3" s="167"/>
      <c r="AK3" s="167"/>
      <c r="AL3" s="133" t="s">
        <v>18</v>
      </c>
      <c r="AM3" s="134"/>
      <c r="AN3" s="134"/>
      <c r="AO3" s="134" t="s">
        <v>16</v>
      </c>
      <c r="AP3" s="134"/>
      <c r="AQ3" s="134"/>
      <c r="AR3" s="140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/>
      <c r="D6" s="62">
        <v>20.23112</v>
      </c>
      <c r="E6" s="62">
        <v>416.3634</v>
      </c>
      <c r="F6" s="62"/>
      <c r="G6" s="62"/>
      <c r="H6" s="63">
        <v>417.2929</v>
      </c>
      <c r="I6" s="64">
        <v>21.46991</v>
      </c>
      <c r="J6" s="62"/>
      <c r="K6" s="62">
        <v>30.40364</v>
      </c>
      <c r="L6" s="62">
        <v>1.366826</v>
      </c>
      <c r="M6" s="62">
        <v>102.5391</v>
      </c>
      <c r="N6" s="62">
        <v>112.6736</v>
      </c>
      <c r="O6" s="62">
        <v>20.23018</v>
      </c>
      <c r="P6" s="62"/>
      <c r="Q6" s="62"/>
      <c r="R6" s="62"/>
      <c r="S6" s="62">
        <v>139.3663</v>
      </c>
      <c r="T6" s="62">
        <v>1.437066</v>
      </c>
      <c r="U6" s="62">
        <v>0.2995884</v>
      </c>
      <c r="V6" s="62"/>
      <c r="W6" s="62">
        <v>90.72174</v>
      </c>
      <c r="X6" s="62">
        <v>0.5316994</v>
      </c>
      <c r="Y6" s="62"/>
      <c r="Z6" s="62">
        <v>0.7406671</v>
      </c>
      <c r="AA6" s="62">
        <v>152.4161</v>
      </c>
      <c r="AB6" s="62">
        <v>163.3608</v>
      </c>
      <c r="AC6" s="62">
        <v>1.050456</v>
      </c>
      <c r="AD6" s="62">
        <v>155.8232</v>
      </c>
      <c r="AE6" s="65"/>
      <c r="AF6" s="65"/>
      <c r="AG6" s="65"/>
      <c r="AH6" s="65"/>
      <c r="AI6" s="65"/>
      <c r="AJ6" s="65"/>
      <c r="AK6" s="65"/>
      <c r="AL6" s="62">
        <v>0</v>
      </c>
      <c r="AM6" s="66"/>
      <c r="AN6" s="67">
        <v>43.89468</v>
      </c>
      <c r="AO6" s="68">
        <v>56.70211</v>
      </c>
      <c r="AP6" s="69">
        <v>-80.04919</v>
      </c>
      <c r="AQ6" s="69">
        <v>0.2897135</v>
      </c>
      <c r="AR6" s="70"/>
    </row>
    <row r="7" spans="2:47" ht="13.5" customHeight="1" x14ac:dyDescent="0.25">
      <c r="B7" s="121">
        <v>0.375</v>
      </c>
      <c r="C7" s="20"/>
      <c r="D7" s="62">
        <v>20.46984</v>
      </c>
      <c r="E7" s="4">
        <v>416.138</v>
      </c>
      <c r="F7" s="4"/>
      <c r="G7" s="4">
        <v>0</v>
      </c>
      <c r="H7" s="5">
        <v>417.6827</v>
      </c>
      <c r="I7" s="6">
        <v>23.57133</v>
      </c>
      <c r="J7" s="4">
        <v>0.02003906</v>
      </c>
      <c r="K7" s="4">
        <v>32.87037</v>
      </c>
      <c r="L7" s="4">
        <v>1.368544</v>
      </c>
      <c r="M7" s="4">
        <v>99.52258</v>
      </c>
      <c r="N7" s="4">
        <v>110.6916</v>
      </c>
      <c r="O7" s="4">
        <v>20.3631</v>
      </c>
      <c r="P7" s="4">
        <v>20.2793</v>
      </c>
      <c r="Q7" s="4"/>
      <c r="R7" s="4">
        <v>2.68457</v>
      </c>
      <c r="S7" s="4">
        <v>139.3374</v>
      </c>
      <c r="T7" s="4">
        <v>1.438368</v>
      </c>
      <c r="U7" s="4">
        <v>0.3005496</v>
      </c>
      <c r="V7" s="4"/>
      <c r="W7" s="4">
        <v>91.13961</v>
      </c>
      <c r="X7" s="4">
        <v>0.5307939</v>
      </c>
      <c r="Y7" s="4" t="s">
        <v>76</v>
      </c>
      <c r="Z7" s="4">
        <v>0.7301133</v>
      </c>
      <c r="AA7" s="4">
        <v>151.5697</v>
      </c>
      <c r="AB7" s="4">
        <v>162.9774</v>
      </c>
      <c r="AC7" s="4">
        <v>1.050456</v>
      </c>
      <c r="AD7" s="4">
        <v>154.9552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43.08449</v>
      </c>
      <c r="AO7" s="10">
        <v>56.61892</v>
      </c>
      <c r="AP7" s="11">
        <v>-80.25897</v>
      </c>
      <c r="AQ7" s="11">
        <v>0.2890625</v>
      </c>
      <c r="AR7" s="12">
        <v>0.0002906799</v>
      </c>
    </row>
    <row r="8" spans="2:47" ht="13.5" customHeight="1" x14ac:dyDescent="0.25">
      <c r="B8" s="121">
        <v>0.41666666666666669</v>
      </c>
      <c r="C8" s="20"/>
      <c r="D8" s="62">
        <v>21.35417</v>
      </c>
      <c r="E8" s="4">
        <v>415.7834</v>
      </c>
      <c r="F8" s="4"/>
      <c r="G8" s="4">
        <v>0</v>
      </c>
      <c r="H8" s="5">
        <v>417.5462</v>
      </c>
      <c r="I8" s="6">
        <v>21.09013</v>
      </c>
      <c r="J8" s="4">
        <v>0.01967578</v>
      </c>
      <c r="K8" s="4">
        <v>36.9213</v>
      </c>
      <c r="L8" s="4">
        <v>1.441334</v>
      </c>
      <c r="M8" s="4">
        <v>102.9351</v>
      </c>
      <c r="N8" s="4">
        <v>112.0515</v>
      </c>
      <c r="O8" s="4">
        <v>20.18018</v>
      </c>
      <c r="P8" s="4">
        <v>20.25195</v>
      </c>
      <c r="Q8" s="4"/>
      <c r="R8" s="4">
        <v>2.617676</v>
      </c>
      <c r="S8" s="4">
        <v>139.6557</v>
      </c>
      <c r="T8" s="4">
        <v>1.438223</v>
      </c>
      <c r="U8" s="4">
        <v>0.2987514</v>
      </c>
      <c r="V8" s="4"/>
      <c r="W8" s="4">
        <v>91.25288</v>
      </c>
      <c r="X8" s="4">
        <v>0.5312472</v>
      </c>
      <c r="Y8" s="4" t="s">
        <v>76</v>
      </c>
      <c r="Z8" s="4">
        <v>0.7310748</v>
      </c>
      <c r="AA8" s="4">
        <v>151.0634</v>
      </c>
      <c r="AB8" s="4">
        <v>163.3391</v>
      </c>
      <c r="AC8" s="4">
        <v>1.050492</v>
      </c>
      <c r="AD8" s="4">
        <v>155.3819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41.88368</v>
      </c>
      <c r="AO8" s="10">
        <v>56.62254</v>
      </c>
      <c r="AP8" s="11">
        <v>-79.90451</v>
      </c>
      <c r="AQ8" s="11">
        <v>0.2890625</v>
      </c>
      <c r="AR8" s="12">
        <v>0.0002883911</v>
      </c>
    </row>
    <row r="9" spans="2:47" ht="13.5" customHeight="1" x14ac:dyDescent="0.25">
      <c r="B9" s="121">
        <v>0.45833333333333298</v>
      </c>
      <c r="C9" s="20"/>
      <c r="D9" s="62">
        <v>21.8099</v>
      </c>
      <c r="E9" s="4">
        <v>414.0978</v>
      </c>
      <c r="F9" s="4"/>
      <c r="G9" s="4">
        <v>0</v>
      </c>
      <c r="H9" s="5">
        <v>418.1258</v>
      </c>
      <c r="I9" s="6">
        <v>13.49465</v>
      </c>
      <c r="J9" s="4">
        <v>0.01911523</v>
      </c>
      <c r="K9" s="4">
        <v>38.67188</v>
      </c>
      <c r="L9" s="4">
        <v>1.469908</v>
      </c>
      <c r="M9" s="4">
        <v>100.8138</v>
      </c>
      <c r="N9" s="4">
        <v>110.4745</v>
      </c>
      <c r="O9" s="4">
        <v>20.19542</v>
      </c>
      <c r="P9" s="4">
        <v>20.28711</v>
      </c>
      <c r="Q9" s="4"/>
      <c r="R9" s="4">
        <v>2.637207</v>
      </c>
      <c r="S9" s="4">
        <v>139.5906</v>
      </c>
      <c r="T9" s="4">
        <v>1.434462</v>
      </c>
      <c r="U9" s="4">
        <v>0.3006989</v>
      </c>
      <c r="V9" s="4"/>
      <c r="W9" s="4">
        <v>91.21268</v>
      </c>
      <c r="X9" s="4">
        <v>0.528788</v>
      </c>
      <c r="Y9" s="4" t="s">
        <v>76</v>
      </c>
      <c r="Z9" s="4">
        <v>0.7226712</v>
      </c>
      <c r="AA9" s="4">
        <v>150.8681</v>
      </c>
      <c r="AB9" s="4">
        <v>162.9919</v>
      </c>
      <c r="AC9" s="4">
        <v>1.050456</v>
      </c>
      <c r="AD9" s="4">
        <v>154.7309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40.20906</v>
      </c>
      <c r="AO9" s="10">
        <v>56.46339</v>
      </c>
      <c r="AP9" s="11">
        <v>-80.21557</v>
      </c>
      <c r="AQ9" s="11">
        <v>0.286603</v>
      </c>
      <c r="AR9" s="12">
        <v>0.0002873535</v>
      </c>
    </row>
    <row r="10" spans="2:47" ht="13.5" customHeight="1" x14ac:dyDescent="0.25">
      <c r="B10" s="121">
        <v>0.5</v>
      </c>
      <c r="C10" s="20"/>
      <c r="D10" s="62">
        <v>22.67253</v>
      </c>
      <c r="E10" s="4">
        <v>415.2514</v>
      </c>
      <c r="F10" s="4"/>
      <c r="G10" s="4">
        <v>0</v>
      </c>
      <c r="H10" s="5">
        <v>419.0586</v>
      </c>
      <c r="I10" s="6">
        <v>21.29268</v>
      </c>
      <c r="J10" s="4">
        <v>0.01739648</v>
      </c>
      <c r="K10" s="4">
        <v>37.81105</v>
      </c>
      <c r="L10" s="4">
        <v>1.405255</v>
      </c>
      <c r="M10" s="4">
        <v>102.2841</v>
      </c>
      <c r="N10" s="4">
        <v>109.3605</v>
      </c>
      <c r="O10" s="4">
        <v>20.43411</v>
      </c>
      <c r="P10" s="4">
        <v>20.25586</v>
      </c>
      <c r="Q10" s="4"/>
      <c r="R10" s="4">
        <v>2.604004</v>
      </c>
      <c r="S10" s="4">
        <v>139.4604</v>
      </c>
      <c r="T10" s="4">
        <v>1.436632</v>
      </c>
      <c r="U10" s="4">
        <v>0.2991382</v>
      </c>
      <c r="V10" s="4"/>
      <c r="W10" s="4">
        <v>90.90442</v>
      </c>
      <c r="X10" s="4">
        <v>0.5317509</v>
      </c>
      <c r="Y10" s="4" t="s">
        <v>76</v>
      </c>
      <c r="Z10" s="4">
        <v>0.7356767</v>
      </c>
      <c r="AA10" s="4">
        <v>150.7885</v>
      </c>
      <c r="AB10" s="4">
        <v>163.18</v>
      </c>
      <c r="AC10" s="4">
        <v>1.05042</v>
      </c>
      <c r="AD10" s="4">
        <v>155.353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39.09143</v>
      </c>
      <c r="AO10" s="10">
        <v>56.60084</v>
      </c>
      <c r="AP10" s="11">
        <v>-80.09259</v>
      </c>
      <c r="AQ10" s="11">
        <v>0.2877604</v>
      </c>
      <c r="AR10" s="12">
        <v>0.0002882385</v>
      </c>
    </row>
    <row r="11" spans="2:47" ht="13.5" customHeight="1" x14ac:dyDescent="0.25">
      <c r="B11" s="121">
        <v>0.54166666666666696</v>
      </c>
      <c r="C11" s="20"/>
      <c r="D11" s="62">
        <v>22.84614</v>
      </c>
      <c r="E11" s="4">
        <v>416.3379</v>
      </c>
      <c r="F11" s="4"/>
      <c r="G11" s="4">
        <v>0</v>
      </c>
      <c r="H11" s="5">
        <v>419.8111</v>
      </c>
      <c r="I11" s="6">
        <v>15.69734</v>
      </c>
      <c r="J11" s="4">
        <v>0.01684961</v>
      </c>
      <c r="K11" s="4">
        <v>36.74045</v>
      </c>
      <c r="L11" s="4">
        <v>1.356608</v>
      </c>
      <c r="M11" s="4">
        <v>102.4414</v>
      </c>
      <c r="N11" s="4">
        <v>109.3244</v>
      </c>
      <c r="O11" s="4">
        <v>20.5137</v>
      </c>
      <c r="P11" s="4">
        <v>20.25977</v>
      </c>
      <c r="Q11" s="4"/>
      <c r="R11" s="4">
        <v>2.620605</v>
      </c>
      <c r="S11" s="4">
        <v>139.4893</v>
      </c>
      <c r="T11" s="4">
        <v>1.43533</v>
      </c>
      <c r="U11" s="4">
        <v>0.3000483</v>
      </c>
      <c r="V11" s="4"/>
      <c r="W11" s="4">
        <v>90.77654</v>
      </c>
      <c r="X11" s="4">
        <v>0.5312567</v>
      </c>
      <c r="Y11" s="4" t="s">
        <v>76</v>
      </c>
      <c r="Z11" s="4">
        <v>0.7447304</v>
      </c>
      <c r="AA11" s="4">
        <v>151.0127</v>
      </c>
      <c r="AB11" s="4">
        <v>163.3753</v>
      </c>
      <c r="AC11" s="4">
        <v>1.05042</v>
      </c>
      <c r="AD11" s="4">
        <v>156.0836</v>
      </c>
      <c r="AE11" s="7">
        <v>33.15</v>
      </c>
      <c r="AF11" s="7"/>
      <c r="AG11" s="7"/>
      <c r="AH11" s="7">
        <v>18.29</v>
      </c>
      <c r="AI11" s="7">
        <v>20.11</v>
      </c>
      <c r="AJ11" s="7">
        <v>8.04</v>
      </c>
      <c r="AK11" s="7">
        <v>6.73</v>
      </c>
      <c r="AL11" s="4">
        <v>0</v>
      </c>
      <c r="AM11" s="8">
        <v>0</v>
      </c>
      <c r="AN11" s="9">
        <v>38.1004</v>
      </c>
      <c r="AO11" s="10">
        <v>56.60807</v>
      </c>
      <c r="AP11" s="11">
        <v>-79.84664</v>
      </c>
      <c r="AQ11" s="11">
        <v>0.2907986</v>
      </c>
      <c r="AR11" s="12">
        <v>0.0002904053</v>
      </c>
    </row>
    <row r="12" spans="2:47" ht="13.5" customHeight="1" x14ac:dyDescent="0.25">
      <c r="B12" s="121">
        <v>0.58333333333333304</v>
      </c>
      <c r="C12" s="20"/>
      <c r="D12" s="62">
        <v>23.19336</v>
      </c>
      <c r="E12" s="4">
        <v>417.5344</v>
      </c>
      <c r="F12" s="4"/>
      <c r="G12" s="4">
        <v>0</v>
      </c>
      <c r="H12" s="5">
        <v>420.358</v>
      </c>
      <c r="I12" s="6">
        <v>24.88788</v>
      </c>
      <c r="J12" s="4">
        <v>0.01732617</v>
      </c>
      <c r="K12" s="4">
        <v>36.64641</v>
      </c>
      <c r="L12" s="4">
        <v>1.340694</v>
      </c>
      <c r="M12" s="4">
        <v>102.5391</v>
      </c>
      <c r="N12" s="4">
        <v>109.8524</v>
      </c>
      <c r="O12" s="4">
        <v>20.3527</v>
      </c>
      <c r="P12" s="4">
        <v>20.25195</v>
      </c>
      <c r="Q12" s="4"/>
      <c r="R12" s="4">
        <v>2.606934</v>
      </c>
      <c r="S12" s="4">
        <v>139.5761</v>
      </c>
      <c r="T12" s="4">
        <v>1.433594</v>
      </c>
      <c r="U12" s="4">
        <v>0.3017816</v>
      </c>
      <c r="V12" s="4"/>
      <c r="W12" s="4">
        <v>91.07989</v>
      </c>
      <c r="X12" s="4">
        <v>0.5305017</v>
      </c>
      <c r="Y12" s="4" t="s">
        <v>76</v>
      </c>
      <c r="Z12" s="4">
        <v>0.727688</v>
      </c>
      <c r="AA12" s="4">
        <v>150.7523</v>
      </c>
      <c r="AB12" s="4">
        <v>163.2596</v>
      </c>
      <c r="AC12" s="4">
        <v>1.050456</v>
      </c>
      <c r="AD12" s="4">
        <v>155.3241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35.9158</v>
      </c>
      <c r="AO12" s="10">
        <v>57.24103</v>
      </c>
      <c r="AP12" s="11">
        <v>-79.33305</v>
      </c>
      <c r="AQ12" s="11">
        <v>0.2843605</v>
      </c>
      <c r="AR12" s="12">
        <v>0.0002908325</v>
      </c>
    </row>
    <row r="13" spans="2:47" ht="13.5" customHeight="1" x14ac:dyDescent="0.25">
      <c r="B13" s="121">
        <v>0.625</v>
      </c>
      <c r="C13" s="20">
        <v>5.591724</v>
      </c>
      <c r="D13" s="62">
        <v>23.10655</v>
      </c>
      <c r="E13" s="4">
        <v>417.4506</v>
      </c>
      <c r="F13" s="4"/>
      <c r="G13" s="4">
        <v>0</v>
      </c>
      <c r="H13" s="5">
        <v>421.3894</v>
      </c>
      <c r="I13" s="6">
        <v>19.03935</v>
      </c>
      <c r="J13" s="4">
        <v>0.01752734</v>
      </c>
      <c r="K13" s="4">
        <v>37.10938</v>
      </c>
      <c r="L13" s="4">
        <v>1.38048</v>
      </c>
      <c r="M13" s="4">
        <v>103.2715</v>
      </c>
      <c r="N13" s="4">
        <v>109.592</v>
      </c>
      <c r="O13" s="4">
        <v>20.13764</v>
      </c>
      <c r="P13" s="4">
        <v>20.28125</v>
      </c>
      <c r="Q13" s="4"/>
      <c r="R13" s="4">
        <v>2.605957</v>
      </c>
      <c r="S13" s="4">
        <v>139.5472</v>
      </c>
      <c r="T13" s="4">
        <v>1.43533</v>
      </c>
      <c r="U13" s="4">
        <v>0.3009841</v>
      </c>
      <c r="V13" s="4"/>
      <c r="W13" s="4">
        <v>91.22643</v>
      </c>
      <c r="X13" s="4">
        <v>0.5295113</v>
      </c>
      <c r="Y13" s="4" t="s">
        <v>76</v>
      </c>
      <c r="Z13" s="4">
        <v>0.7263601</v>
      </c>
      <c r="AA13" s="4">
        <v>150.6944</v>
      </c>
      <c r="AB13" s="4">
        <v>163.0425</v>
      </c>
      <c r="AC13" s="4">
        <v>1.050456</v>
      </c>
      <c r="AD13" s="4">
        <v>155.0058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34.54499</v>
      </c>
      <c r="AO13" s="10">
        <v>56.47786</v>
      </c>
      <c r="AP13" s="11">
        <v>-80.59896</v>
      </c>
      <c r="AQ13" s="11">
        <v>0.3005642</v>
      </c>
      <c r="AR13" s="12">
        <v>0.0002898865</v>
      </c>
    </row>
    <row r="14" spans="2:47" ht="13.5" customHeight="1" x14ac:dyDescent="0.25">
      <c r="B14" s="121">
        <v>0.66666666666666696</v>
      </c>
      <c r="C14" s="20"/>
      <c r="D14" s="62">
        <v>22.63997</v>
      </c>
      <c r="E14" s="4">
        <v>416.8875</v>
      </c>
      <c r="F14" s="4"/>
      <c r="G14" s="4">
        <v>0</v>
      </c>
      <c r="H14" s="5">
        <v>421.7858</v>
      </c>
      <c r="I14" s="6">
        <v>19.59635</v>
      </c>
      <c r="J14" s="4">
        <v>0.01971289</v>
      </c>
      <c r="K14" s="4">
        <v>38.15828</v>
      </c>
      <c r="L14" s="4">
        <v>1.468551</v>
      </c>
      <c r="M14" s="4">
        <v>104.3294</v>
      </c>
      <c r="N14" s="4">
        <v>111.5741</v>
      </c>
      <c r="O14" s="4">
        <v>20.40638</v>
      </c>
      <c r="P14" s="4">
        <v>20.27539</v>
      </c>
      <c r="Q14" s="4"/>
      <c r="R14" s="4">
        <v>2.594238</v>
      </c>
      <c r="S14" s="4">
        <v>139.3374</v>
      </c>
      <c r="T14" s="4">
        <v>1.434751</v>
      </c>
      <c r="U14" s="4">
        <v>0.3008932</v>
      </c>
      <c r="V14" s="4"/>
      <c r="W14" s="4">
        <v>90.63855</v>
      </c>
      <c r="X14" s="4">
        <v>0.5305555</v>
      </c>
      <c r="Y14" s="4" t="s">
        <v>76</v>
      </c>
      <c r="Z14" s="4">
        <v>0.737079</v>
      </c>
      <c r="AA14" s="4">
        <v>151.1791</v>
      </c>
      <c r="AB14" s="4">
        <v>163.3608</v>
      </c>
      <c r="AC14" s="4">
        <v>1.050456</v>
      </c>
      <c r="AD14" s="4">
        <v>155.7509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0.04456055</v>
      </c>
      <c r="AN14" s="9">
        <v>46.86776</v>
      </c>
      <c r="AO14" s="10">
        <v>56.06554</v>
      </c>
      <c r="AP14" s="11">
        <v>-80.61343</v>
      </c>
      <c r="AQ14" s="11">
        <v>0.2887731</v>
      </c>
      <c r="AR14" s="12">
        <v>0.0002888489</v>
      </c>
    </row>
    <row r="15" spans="2:47" ht="13.5" customHeight="1" x14ac:dyDescent="0.25">
      <c r="B15" s="121">
        <v>0.70833333333333304</v>
      </c>
      <c r="C15" s="20">
        <v>5.57364</v>
      </c>
      <c r="D15" s="62">
        <v>22.7105</v>
      </c>
      <c r="E15" s="4">
        <v>417.2536</v>
      </c>
      <c r="F15" s="4"/>
      <c r="G15" s="4">
        <v>0</v>
      </c>
      <c r="H15" s="5">
        <v>422.3033</v>
      </c>
      <c r="I15" s="6">
        <v>24.76129</v>
      </c>
      <c r="J15" s="4">
        <v>0.02001367</v>
      </c>
      <c r="K15" s="4">
        <v>37.13831</v>
      </c>
      <c r="L15" s="4">
        <v>1.376139</v>
      </c>
      <c r="M15" s="4">
        <v>101.8989</v>
      </c>
      <c r="N15" s="4">
        <v>108.5793</v>
      </c>
      <c r="O15" s="4">
        <v>20.20712</v>
      </c>
      <c r="P15" s="4">
        <v>20.25781</v>
      </c>
      <c r="Q15" s="4"/>
      <c r="R15" s="4">
        <v>2.579102</v>
      </c>
      <c r="S15" s="4">
        <v>139.3157</v>
      </c>
      <c r="T15" s="4">
        <v>1.432726</v>
      </c>
      <c r="U15" s="4">
        <v>0.2995882</v>
      </c>
      <c r="V15" s="4"/>
      <c r="W15" s="4">
        <v>91.34595</v>
      </c>
      <c r="X15" s="4">
        <v>0.5320191</v>
      </c>
      <c r="Y15" s="4" t="s">
        <v>76</v>
      </c>
      <c r="Z15" s="4">
        <v>0.7349426</v>
      </c>
      <c r="AA15" s="4">
        <v>151.5553</v>
      </c>
      <c r="AB15" s="4">
        <v>163.2596</v>
      </c>
      <c r="AC15" s="4">
        <v>1.050492</v>
      </c>
      <c r="AD15" s="4">
        <v>155.476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45.90567</v>
      </c>
      <c r="AO15" s="10">
        <v>56.61169</v>
      </c>
      <c r="AP15" s="11">
        <v>-79.88281</v>
      </c>
      <c r="AQ15" s="11">
        <v>0.2922454</v>
      </c>
      <c r="AR15" s="12">
        <v>0.0002911987</v>
      </c>
    </row>
    <row r="16" spans="2:47" ht="13.5" customHeight="1" x14ac:dyDescent="0.25">
      <c r="B16" s="121">
        <v>0.75</v>
      </c>
      <c r="C16" s="20"/>
      <c r="D16" s="62">
        <v>22.18425</v>
      </c>
      <c r="E16" s="4">
        <v>409.2052</v>
      </c>
      <c r="F16" s="4"/>
      <c r="G16" s="4">
        <v>0</v>
      </c>
      <c r="H16" s="5">
        <v>420.5381</v>
      </c>
      <c r="I16" s="6">
        <v>23.77387</v>
      </c>
      <c r="J16" s="4">
        <v>0.01962891</v>
      </c>
      <c r="K16" s="4">
        <v>36.79832</v>
      </c>
      <c r="L16" s="4">
        <v>1.441967</v>
      </c>
      <c r="M16" s="4">
        <v>105.1758</v>
      </c>
      <c r="N16" s="4">
        <v>112.066</v>
      </c>
      <c r="O16" s="4">
        <v>20.25985</v>
      </c>
      <c r="P16" s="4">
        <v>20.28516</v>
      </c>
      <c r="Q16" s="4"/>
      <c r="R16" s="4">
        <v>2.604004</v>
      </c>
      <c r="S16" s="4">
        <v>139.5327</v>
      </c>
      <c r="T16" s="4">
        <v>1.432147</v>
      </c>
      <c r="U16" s="4">
        <v>0.2992518</v>
      </c>
      <c r="V16" s="4"/>
      <c r="W16" s="4">
        <v>91.34392</v>
      </c>
      <c r="X16" s="4">
        <v>0.5302896</v>
      </c>
      <c r="Y16" s="4" t="s">
        <v>76</v>
      </c>
      <c r="Z16" s="4">
        <v>0.7367196</v>
      </c>
      <c r="AA16" s="4">
        <v>151.5553</v>
      </c>
      <c r="AB16" s="4">
        <v>163.5489</v>
      </c>
      <c r="AC16" s="4">
        <v>1.050492</v>
      </c>
      <c r="AD16" s="4">
        <v>155.8015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44.8857</v>
      </c>
      <c r="AO16" s="10">
        <v>56.07277</v>
      </c>
      <c r="AP16" s="11">
        <v>-80.7147</v>
      </c>
      <c r="AQ16" s="11">
        <v>0.2799479</v>
      </c>
      <c r="AR16" s="12">
        <v>0.000289093</v>
      </c>
    </row>
    <row r="17" spans="2:44" ht="13.5" customHeight="1" x14ac:dyDescent="0.25">
      <c r="B17" s="121">
        <v>0.79166666666666696</v>
      </c>
      <c r="C17" s="20"/>
      <c r="D17" s="62">
        <v>21.82075</v>
      </c>
      <c r="E17" s="4">
        <v>409.201</v>
      </c>
      <c r="F17" s="4"/>
      <c r="G17" s="4">
        <v>0</v>
      </c>
      <c r="H17" s="5">
        <v>418.7371</v>
      </c>
      <c r="I17" s="6">
        <v>27.11588</v>
      </c>
      <c r="J17" s="4">
        <v>0.0195625</v>
      </c>
      <c r="K17" s="4">
        <v>35.81453</v>
      </c>
      <c r="L17" s="4">
        <v>1.306062</v>
      </c>
      <c r="M17" s="4">
        <v>104.9967</v>
      </c>
      <c r="N17" s="4">
        <v>112.5651</v>
      </c>
      <c r="O17" s="4">
        <v>20.28904</v>
      </c>
      <c r="P17" s="4">
        <v>20.25391</v>
      </c>
      <c r="Q17" s="4"/>
      <c r="R17" s="4">
        <v>2.586426</v>
      </c>
      <c r="S17" s="4">
        <v>139.4314</v>
      </c>
      <c r="T17" s="4">
        <v>1.439091</v>
      </c>
      <c r="U17" s="4">
        <v>0.2994736</v>
      </c>
      <c r="V17" s="4"/>
      <c r="W17" s="4">
        <v>90.80163</v>
      </c>
      <c r="X17" s="4">
        <v>0.5293618</v>
      </c>
      <c r="Y17" s="4" t="s">
        <v>76</v>
      </c>
      <c r="Z17" s="4">
        <v>0.7327451</v>
      </c>
      <c r="AA17" s="4">
        <v>151.5625</v>
      </c>
      <c r="AB17" s="4">
        <v>163.4187</v>
      </c>
      <c r="AC17" s="4">
        <v>1.050492</v>
      </c>
      <c r="AD17" s="4">
        <v>155.6496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</v>
      </c>
      <c r="AN17" s="9">
        <v>42.98322</v>
      </c>
      <c r="AO17" s="10">
        <v>56.60807</v>
      </c>
      <c r="AP17" s="11">
        <v>-79.79601</v>
      </c>
      <c r="AQ17" s="11">
        <v>0.2912326</v>
      </c>
      <c r="AR17" s="12">
        <v>0.000287384</v>
      </c>
    </row>
    <row r="18" spans="2:44" ht="13.5" customHeight="1" x14ac:dyDescent="0.25">
      <c r="B18" s="121">
        <v>0.83333333333333404</v>
      </c>
      <c r="C18" s="23"/>
      <c r="D18" s="62">
        <v>21.66884</v>
      </c>
      <c r="E18" s="13">
        <v>409.6871</v>
      </c>
      <c r="F18" s="13"/>
      <c r="G18" s="13">
        <v>0</v>
      </c>
      <c r="H18" s="14">
        <v>415.9572</v>
      </c>
      <c r="I18" s="15">
        <v>19.46976</v>
      </c>
      <c r="J18" s="13">
        <v>0.02018555</v>
      </c>
      <c r="K18" s="13">
        <v>35.34433</v>
      </c>
      <c r="L18" s="13">
        <v>1.386086</v>
      </c>
      <c r="M18" s="13">
        <v>107.3351</v>
      </c>
      <c r="N18" s="13">
        <v>115.0029</v>
      </c>
      <c r="O18" s="13">
        <v>20.31209</v>
      </c>
      <c r="P18" s="13">
        <v>20.26953</v>
      </c>
      <c r="Q18" s="13"/>
      <c r="R18" s="13">
        <v>2.557129</v>
      </c>
      <c r="S18" s="13">
        <v>139.4459</v>
      </c>
      <c r="T18" s="13">
        <v>1.437789</v>
      </c>
      <c r="U18" s="13">
        <v>0.30122</v>
      </c>
      <c r="V18" s="13"/>
      <c r="W18" s="13">
        <v>90.99271</v>
      </c>
      <c r="X18" s="13">
        <v>0.5278069</v>
      </c>
      <c r="Y18" s="13">
        <v>0.5282244</v>
      </c>
      <c r="Z18" s="13">
        <v>0.7383178</v>
      </c>
      <c r="AA18" s="13">
        <v>151.5697</v>
      </c>
      <c r="AB18" s="13">
        <v>163.5851</v>
      </c>
      <c r="AC18" s="13">
        <v>1.050456</v>
      </c>
      <c r="AD18" s="13">
        <v>155.6713</v>
      </c>
      <c r="AE18" s="16">
        <v>33.1</v>
      </c>
      <c r="AF18" s="16"/>
      <c r="AG18" s="16"/>
      <c r="AH18" s="16">
        <v>13.71</v>
      </c>
      <c r="AI18" s="16"/>
      <c r="AJ18" s="16"/>
      <c r="AK18" s="16">
        <v>6.58</v>
      </c>
      <c r="AL18" s="13">
        <v>0</v>
      </c>
      <c r="AM18" s="17">
        <v>0</v>
      </c>
      <c r="AN18" s="18">
        <v>42.54919</v>
      </c>
      <c r="AO18" s="10">
        <v>56.06192</v>
      </c>
      <c r="AP18" s="11">
        <v>-80.61343</v>
      </c>
      <c r="AQ18" s="11">
        <v>0.3009259</v>
      </c>
      <c r="AR18" s="19">
        <v>0.0002857361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-80.04919</v>
      </c>
      <c r="D22" s="62">
        <v>-79.80324</v>
      </c>
      <c r="E22" s="62">
        <v>103.125</v>
      </c>
      <c r="F22" s="62">
        <v>0</v>
      </c>
      <c r="G22" s="62"/>
      <c r="H22" s="62"/>
      <c r="I22" s="62"/>
      <c r="J22" s="62"/>
      <c r="K22" s="62"/>
      <c r="L22" s="63"/>
      <c r="M22" s="82">
        <v>15.23799</v>
      </c>
      <c r="N22" s="62">
        <v>27.3112</v>
      </c>
      <c r="O22" s="62">
        <v>39.5</v>
      </c>
      <c r="P22" s="62">
        <v>22</v>
      </c>
      <c r="Q22" s="62">
        <v>2.954861</v>
      </c>
      <c r="R22" s="62">
        <v>19.12254</v>
      </c>
      <c r="S22" s="84">
        <v>92.60344</v>
      </c>
      <c r="T22" s="84">
        <v>35</v>
      </c>
      <c r="U22" s="84">
        <v>86.87355</v>
      </c>
      <c r="V22" s="84">
        <v>12.31011</v>
      </c>
      <c r="W22" s="84">
        <v>18.93989</v>
      </c>
      <c r="X22" s="84">
        <v>0</v>
      </c>
      <c r="Y22" s="84">
        <v>0</v>
      </c>
      <c r="Z22" s="84">
        <v>30.36929</v>
      </c>
      <c r="AA22" s="84">
        <v>55.94618</v>
      </c>
      <c r="AB22" s="84"/>
      <c r="AC22" s="66"/>
      <c r="AD22" s="66">
        <v>1.548231</v>
      </c>
      <c r="AE22" s="66"/>
      <c r="AF22" s="66">
        <v>71.84968</v>
      </c>
      <c r="AG22" s="66">
        <v>17.29601</v>
      </c>
      <c r="AH22" s="66"/>
      <c r="AI22" s="85"/>
      <c r="AJ22" s="85"/>
      <c r="AK22" s="85"/>
      <c r="AL22" s="85"/>
      <c r="AM22" s="85"/>
      <c r="AN22" s="66">
        <v>53.46499</v>
      </c>
      <c r="AO22" s="67">
        <v>50</v>
      </c>
      <c r="AP22" s="68">
        <v>25.28212</v>
      </c>
      <c r="AQ22" s="69">
        <v>39.44227</v>
      </c>
      <c r="AR22" s="70">
        <v>0.1085129</v>
      </c>
    </row>
    <row r="23" spans="2:44" ht="13.5" customHeight="1" x14ac:dyDescent="0.25">
      <c r="B23" s="121">
        <v>0.375</v>
      </c>
      <c r="C23" s="20">
        <v>-80.25897</v>
      </c>
      <c r="D23" s="4">
        <v>-79.94792</v>
      </c>
      <c r="E23" s="4">
        <v>103.1322</v>
      </c>
      <c r="F23" s="4">
        <v>0.09302662</v>
      </c>
      <c r="G23" s="4">
        <v>8.857727E-05</v>
      </c>
      <c r="H23" s="4"/>
      <c r="I23" s="4"/>
      <c r="J23" s="4"/>
      <c r="K23" s="4"/>
      <c r="L23" s="5"/>
      <c r="M23" s="20">
        <v>15.25608</v>
      </c>
      <c r="N23" s="4">
        <v>27.76693</v>
      </c>
      <c r="O23" s="4">
        <v>39.5</v>
      </c>
      <c r="P23" s="4">
        <v>22</v>
      </c>
      <c r="Q23" s="4">
        <v>3.288629</v>
      </c>
      <c r="R23" s="62">
        <v>19.864</v>
      </c>
      <c r="S23" s="21">
        <v>93.37746</v>
      </c>
      <c r="T23" s="21">
        <v>36</v>
      </c>
      <c r="U23" s="21">
        <v>89.44119</v>
      </c>
      <c r="V23" s="84">
        <v>12.20703</v>
      </c>
      <c r="W23" s="21">
        <v>19.74826</v>
      </c>
      <c r="X23" s="21">
        <v>0</v>
      </c>
      <c r="Y23" s="21">
        <v>0</v>
      </c>
      <c r="Z23" s="21">
        <v>30.84672</v>
      </c>
      <c r="AA23" s="21">
        <v>53.27691</v>
      </c>
      <c r="AB23" s="21"/>
      <c r="AC23" s="8"/>
      <c r="AD23" s="8">
        <v>1.548286</v>
      </c>
      <c r="AE23" s="8">
        <v>0.001154419</v>
      </c>
      <c r="AF23" s="8">
        <v>72.18243</v>
      </c>
      <c r="AG23" s="8">
        <v>23.72685</v>
      </c>
      <c r="AH23" s="8">
        <v>450</v>
      </c>
      <c r="AI23" s="22"/>
      <c r="AJ23" s="22"/>
      <c r="AK23" s="22"/>
      <c r="AL23" s="22"/>
      <c r="AM23" s="22"/>
      <c r="AN23" s="8">
        <v>51.6059</v>
      </c>
      <c r="AO23" s="9">
        <v>50</v>
      </c>
      <c r="AP23" s="10">
        <v>25.63477</v>
      </c>
      <c r="AQ23" s="11">
        <v>39.22526</v>
      </c>
      <c r="AR23" s="12">
        <v>0.08680725</v>
      </c>
    </row>
    <row r="24" spans="2:44" ht="13.5" customHeight="1" x14ac:dyDescent="0.25">
      <c r="B24" s="121">
        <v>0.41666666666666702</v>
      </c>
      <c r="C24" s="20">
        <v>-79.90451</v>
      </c>
      <c r="D24" s="4">
        <v>-79.65133</v>
      </c>
      <c r="E24" s="4">
        <v>103.1286</v>
      </c>
      <c r="F24" s="4">
        <v>0.08832465</v>
      </c>
      <c r="G24" s="4">
        <v>8.935547E-05</v>
      </c>
      <c r="H24" s="4"/>
      <c r="I24" s="4"/>
      <c r="J24" s="4"/>
      <c r="K24" s="4"/>
      <c r="L24" s="5"/>
      <c r="M24" s="20">
        <v>15.28139</v>
      </c>
      <c r="N24" s="4">
        <v>28.44329</v>
      </c>
      <c r="O24" s="4">
        <v>39.5</v>
      </c>
      <c r="P24" s="4">
        <v>22</v>
      </c>
      <c r="Q24" s="4">
        <v>3.360677</v>
      </c>
      <c r="R24" s="62">
        <v>19.86039</v>
      </c>
      <c r="S24" s="21">
        <v>91.909</v>
      </c>
      <c r="T24" s="21">
        <v>33</v>
      </c>
      <c r="U24" s="21">
        <v>81.0319</v>
      </c>
      <c r="V24" s="84">
        <v>10.94835</v>
      </c>
      <c r="W24" s="21">
        <v>19.67773</v>
      </c>
      <c r="X24" s="21">
        <v>0</v>
      </c>
      <c r="Y24" s="21">
        <v>6.895617</v>
      </c>
      <c r="Z24" s="21">
        <v>0</v>
      </c>
      <c r="AA24" s="21">
        <v>90.44054</v>
      </c>
      <c r="AB24" s="21"/>
      <c r="AC24" s="8"/>
      <c r="AD24" s="8">
        <v>1.54834</v>
      </c>
      <c r="AE24" s="8">
        <v>0.001255249</v>
      </c>
      <c r="AF24" s="8">
        <v>72.41753</v>
      </c>
      <c r="AG24" s="8">
        <v>16.61965</v>
      </c>
      <c r="AH24" s="8">
        <v>279.1</v>
      </c>
      <c r="AI24" s="22"/>
      <c r="AJ24" s="22"/>
      <c r="AK24" s="22"/>
      <c r="AL24" s="22"/>
      <c r="AM24" s="22"/>
      <c r="AN24" s="8">
        <v>52.1846</v>
      </c>
      <c r="AO24" s="9">
        <v>50</v>
      </c>
      <c r="AP24" s="10">
        <v>26.31293</v>
      </c>
      <c r="AQ24" s="11">
        <v>39.41695</v>
      </c>
      <c r="AR24" s="12">
        <v>0.09766388</v>
      </c>
    </row>
    <row r="25" spans="2:44" ht="13.5" customHeight="1" x14ac:dyDescent="0.25">
      <c r="B25" s="121">
        <v>0.45833333333333298</v>
      </c>
      <c r="C25" s="20">
        <v>-80.21557</v>
      </c>
      <c r="D25" s="4">
        <v>-79.86835</v>
      </c>
      <c r="E25" s="4">
        <v>103.1286</v>
      </c>
      <c r="F25" s="4">
        <v>0.1226852</v>
      </c>
      <c r="G25" s="4">
        <v>9.120179E-05</v>
      </c>
      <c r="H25" s="4"/>
      <c r="I25" s="4"/>
      <c r="J25" s="4"/>
      <c r="K25" s="4"/>
      <c r="L25" s="5"/>
      <c r="M25" s="20">
        <v>15.33565</v>
      </c>
      <c r="N25" s="4">
        <v>29.1739</v>
      </c>
      <c r="O25" s="4">
        <v>39.5</v>
      </c>
      <c r="P25" s="4">
        <v>22</v>
      </c>
      <c r="Q25" s="4">
        <v>3.315972</v>
      </c>
      <c r="R25" s="62">
        <v>19.57827</v>
      </c>
      <c r="S25" s="21">
        <v>92.55642</v>
      </c>
      <c r="T25" s="21">
        <v>33.5</v>
      </c>
      <c r="U25" s="21">
        <v>82.36617</v>
      </c>
      <c r="V25" s="84">
        <v>11.38238</v>
      </c>
      <c r="W25" s="21">
        <v>19.41732</v>
      </c>
      <c r="X25" s="21">
        <v>0</v>
      </c>
      <c r="Y25" s="21">
        <v>7.562753</v>
      </c>
      <c r="Z25" s="21">
        <v>11.03335</v>
      </c>
      <c r="AA25" s="21">
        <v>61.71875</v>
      </c>
      <c r="AB25" s="21"/>
      <c r="AC25" s="8"/>
      <c r="AD25" s="8">
        <v>1.548231</v>
      </c>
      <c r="AE25" s="8">
        <v>0.0006031494</v>
      </c>
      <c r="AF25" s="8">
        <v>72.60923</v>
      </c>
      <c r="AG25" s="8">
        <v>51.99653</v>
      </c>
      <c r="AH25" s="8">
        <v>329.8</v>
      </c>
      <c r="AI25" s="22"/>
      <c r="AJ25" s="22"/>
      <c r="AK25" s="22"/>
      <c r="AL25" s="22"/>
      <c r="AM25" s="22"/>
      <c r="AN25" s="8">
        <v>54.91175</v>
      </c>
      <c r="AO25" s="9">
        <v>50</v>
      </c>
      <c r="AP25" s="10">
        <v>26.80122</v>
      </c>
      <c r="AQ25" s="11">
        <v>39.42781</v>
      </c>
      <c r="AR25" s="12">
        <v>0.08680725</v>
      </c>
    </row>
    <row r="26" spans="2:44" ht="13.5" customHeight="1" x14ac:dyDescent="0.25">
      <c r="B26" s="121">
        <v>0.5</v>
      </c>
      <c r="C26" s="20">
        <v>-80.09259</v>
      </c>
      <c r="D26" s="4">
        <v>-79.65857</v>
      </c>
      <c r="E26" s="4">
        <v>103.1286</v>
      </c>
      <c r="F26" s="4">
        <v>0.08449074</v>
      </c>
      <c r="G26" s="4">
        <v>9.007263E-05</v>
      </c>
      <c r="H26" s="4"/>
      <c r="I26" s="4"/>
      <c r="J26" s="4"/>
      <c r="K26" s="4"/>
      <c r="L26" s="5"/>
      <c r="M26" s="20">
        <v>15.39713</v>
      </c>
      <c r="N26" s="4">
        <v>30.09621</v>
      </c>
      <c r="O26" s="4">
        <v>39.5</v>
      </c>
      <c r="P26" s="4">
        <v>22</v>
      </c>
      <c r="Q26" s="4">
        <v>3.356771</v>
      </c>
      <c r="R26" s="62">
        <v>19.85315</v>
      </c>
      <c r="S26" s="21">
        <v>94.50593</v>
      </c>
      <c r="T26" s="21">
        <v>0</v>
      </c>
      <c r="U26" s="21">
        <v>138.9999</v>
      </c>
      <c r="V26" s="84">
        <v>8.919271</v>
      </c>
      <c r="W26" s="21">
        <v>145.4644</v>
      </c>
      <c r="X26" s="21">
        <v>35</v>
      </c>
      <c r="Y26" s="21">
        <v>92.69278</v>
      </c>
      <c r="Z26" s="21">
        <v>14.44951</v>
      </c>
      <c r="AA26" s="21">
        <v>19.67231</v>
      </c>
      <c r="AB26" s="21"/>
      <c r="AC26" s="8"/>
      <c r="AD26" s="8">
        <v>0.4575195</v>
      </c>
      <c r="AE26" s="8">
        <v>0.00135437</v>
      </c>
      <c r="AF26" s="8">
        <v>73.00347</v>
      </c>
      <c r="AG26" s="8">
        <v>11.30281</v>
      </c>
      <c r="AH26" s="8"/>
      <c r="AI26" s="22">
        <v>6.08</v>
      </c>
      <c r="AJ26" s="22"/>
      <c r="AK26" s="22"/>
      <c r="AL26" s="22"/>
      <c r="AM26" s="22"/>
      <c r="AN26" s="8">
        <v>54.85388</v>
      </c>
      <c r="AO26" s="9">
        <v>50</v>
      </c>
      <c r="AP26" s="10">
        <v>27.41609</v>
      </c>
      <c r="AQ26" s="11">
        <v>39.21803</v>
      </c>
      <c r="AR26" s="12">
        <v>0.09766388</v>
      </c>
    </row>
    <row r="27" spans="2:44" ht="13.5" customHeight="1" x14ac:dyDescent="0.25">
      <c r="B27" s="121">
        <v>0.54166666666666596</v>
      </c>
      <c r="C27" s="20">
        <v>-79.84664</v>
      </c>
      <c r="D27" s="4">
        <v>-79.34028</v>
      </c>
      <c r="E27" s="4">
        <v>103.1286</v>
      </c>
      <c r="F27" s="4">
        <v>0.1201534</v>
      </c>
      <c r="G27" s="4">
        <v>8.72345E-05</v>
      </c>
      <c r="H27" s="4"/>
      <c r="I27" s="4"/>
      <c r="J27" s="4"/>
      <c r="K27" s="4"/>
      <c r="L27" s="5"/>
      <c r="M27" s="20">
        <v>15.43692</v>
      </c>
      <c r="N27" s="4">
        <v>31.11617</v>
      </c>
      <c r="O27" s="4">
        <v>39.5</v>
      </c>
      <c r="P27" s="4">
        <v>22</v>
      </c>
      <c r="Q27" s="4">
        <v>3.428819</v>
      </c>
      <c r="R27" s="62">
        <v>19.71933</v>
      </c>
      <c r="S27" s="21">
        <v>92.82407</v>
      </c>
      <c r="T27" s="21">
        <v>0</v>
      </c>
      <c r="U27" s="21">
        <v>0</v>
      </c>
      <c r="V27" s="84">
        <v>12.14193</v>
      </c>
      <c r="W27" s="21">
        <v>98.88239</v>
      </c>
      <c r="X27" s="21">
        <v>35</v>
      </c>
      <c r="Y27" s="21">
        <v>91.92474</v>
      </c>
      <c r="Z27" s="21">
        <v>15.56713</v>
      </c>
      <c r="AA27" s="21">
        <v>19.5638</v>
      </c>
      <c r="AB27" s="21"/>
      <c r="AC27" s="8"/>
      <c r="AD27" s="8">
        <v>1.548394</v>
      </c>
      <c r="AE27" s="8">
        <v>0.001326782</v>
      </c>
      <c r="AF27" s="8">
        <v>73.09751</v>
      </c>
      <c r="AG27" s="8">
        <v>12.91233</v>
      </c>
      <c r="AH27" s="8"/>
      <c r="AI27" s="22"/>
      <c r="AJ27" s="22"/>
      <c r="AK27" s="22"/>
      <c r="AL27" s="22"/>
      <c r="AM27" s="22"/>
      <c r="AN27" s="8">
        <v>57.364</v>
      </c>
      <c r="AO27" s="9">
        <v>50</v>
      </c>
      <c r="AP27" s="10">
        <v>27.9315</v>
      </c>
      <c r="AQ27" s="11">
        <v>39.40611</v>
      </c>
      <c r="AR27" s="12">
        <v>0.08680725</v>
      </c>
    </row>
    <row r="28" spans="2:44" ht="13.5" customHeight="1" x14ac:dyDescent="0.25">
      <c r="B28" s="121">
        <v>0.58333333333333304</v>
      </c>
      <c r="C28" s="20">
        <v>-79.33305</v>
      </c>
      <c r="D28" s="4">
        <v>-78.74711</v>
      </c>
      <c r="E28" s="4">
        <v>103.1286</v>
      </c>
      <c r="F28" s="4">
        <v>0.06409144</v>
      </c>
      <c r="G28" s="4">
        <v>8.758545E-05</v>
      </c>
      <c r="H28" s="4"/>
      <c r="I28" s="4"/>
      <c r="J28" s="4"/>
      <c r="K28" s="4"/>
      <c r="L28" s="5"/>
      <c r="M28" s="20">
        <v>15.48394</v>
      </c>
      <c r="N28" s="4">
        <v>31.91551</v>
      </c>
      <c r="O28" s="4">
        <v>39.5</v>
      </c>
      <c r="P28" s="4">
        <v>22</v>
      </c>
      <c r="Q28" s="4">
        <v>3.050347</v>
      </c>
      <c r="R28" s="62">
        <v>19.57827</v>
      </c>
      <c r="S28" s="21">
        <v>93.8151</v>
      </c>
      <c r="T28" s="21">
        <v>0</v>
      </c>
      <c r="U28" s="21">
        <v>0</v>
      </c>
      <c r="V28" s="84">
        <v>15.42969</v>
      </c>
      <c r="W28" s="21">
        <v>88.43859</v>
      </c>
      <c r="X28" s="21">
        <v>50</v>
      </c>
      <c r="Y28" s="21">
        <v>132.2613</v>
      </c>
      <c r="Z28" s="21">
        <v>13.64837</v>
      </c>
      <c r="AA28" s="21">
        <v>19.49327</v>
      </c>
      <c r="AB28" s="21"/>
      <c r="AC28" s="8"/>
      <c r="AD28" s="8">
        <v>0</v>
      </c>
      <c r="AE28" s="8">
        <v>0.0008338623</v>
      </c>
      <c r="AF28" s="8">
        <v>73.32175</v>
      </c>
      <c r="AG28" s="8">
        <v>14.96672</v>
      </c>
      <c r="AH28" s="8"/>
      <c r="AI28" s="22"/>
      <c r="AJ28" s="22"/>
      <c r="AK28" s="22"/>
      <c r="AL28" s="22"/>
      <c r="AM28" s="22"/>
      <c r="AN28" s="8">
        <v>56.45255</v>
      </c>
      <c r="AO28" s="9">
        <v>50</v>
      </c>
      <c r="AP28" s="10">
        <v>28.32031</v>
      </c>
      <c r="AQ28" s="11">
        <v>39.69546</v>
      </c>
      <c r="AR28" s="12">
        <v>0.08680725</v>
      </c>
    </row>
    <row r="29" spans="2:44" ht="13.5" customHeight="1" x14ac:dyDescent="0.25">
      <c r="B29" s="121">
        <v>0.625</v>
      </c>
      <c r="C29" s="20">
        <v>-80.59896</v>
      </c>
      <c r="D29" s="4">
        <v>-80.00578</v>
      </c>
      <c r="E29" s="4">
        <v>103.1286</v>
      </c>
      <c r="F29" s="4">
        <v>0.09150752</v>
      </c>
      <c r="G29" s="4">
        <v>8.813477E-05</v>
      </c>
      <c r="H29" s="4"/>
      <c r="I29" s="4"/>
      <c r="J29" s="4"/>
      <c r="K29" s="4"/>
      <c r="L29" s="5"/>
      <c r="M29" s="20">
        <v>15.51288</v>
      </c>
      <c r="N29" s="4">
        <v>32.58464</v>
      </c>
      <c r="O29" s="4">
        <v>39.5</v>
      </c>
      <c r="P29" s="4">
        <v>22</v>
      </c>
      <c r="Q29" s="4">
        <v>3.021267</v>
      </c>
      <c r="R29" s="62"/>
      <c r="S29" s="21">
        <v>93.05917</v>
      </c>
      <c r="T29" s="21">
        <v>0</v>
      </c>
      <c r="U29" s="21">
        <v>0</v>
      </c>
      <c r="V29" s="84">
        <v>16.99761</v>
      </c>
      <c r="W29" s="21">
        <v>82.23742</v>
      </c>
      <c r="X29" s="21">
        <v>50</v>
      </c>
      <c r="Y29" s="21">
        <v>132.1492</v>
      </c>
      <c r="Z29" s="21">
        <v>11.82002</v>
      </c>
      <c r="AA29" s="21">
        <v>21.41385</v>
      </c>
      <c r="AB29" s="21"/>
      <c r="AC29" s="8"/>
      <c r="AD29" s="8">
        <v>1.548394</v>
      </c>
      <c r="AE29" s="8">
        <v>0.000848999</v>
      </c>
      <c r="AF29" s="8">
        <v>73.56409</v>
      </c>
      <c r="AG29" s="8">
        <v>52.60055</v>
      </c>
      <c r="AH29" s="8"/>
      <c r="AI29" s="22"/>
      <c r="AJ29" s="22"/>
      <c r="AK29" s="22"/>
      <c r="AL29" s="22"/>
      <c r="AM29" s="22"/>
      <c r="AN29" s="8">
        <v>54.38368</v>
      </c>
      <c r="AO29" s="9">
        <v>50</v>
      </c>
      <c r="AP29" s="10">
        <v>28.82668</v>
      </c>
      <c r="AQ29" s="11">
        <v>39.6629</v>
      </c>
      <c r="AR29" s="12">
        <v>0.08680725</v>
      </c>
    </row>
    <row r="30" spans="2:44" ht="13.5" customHeight="1" x14ac:dyDescent="0.25">
      <c r="B30" s="121">
        <v>0.66666666666666596</v>
      </c>
      <c r="C30" s="20">
        <v>-80.61343</v>
      </c>
      <c r="D30" s="4">
        <v>-79.92622</v>
      </c>
      <c r="E30" s="4">
        <v>103.1286</v>
      </c>
      <c r="F30" s="4">
        <v>0.07364005</v>
      </c>
      <c r="G30" s="4">
        <v>9.056091E-05</v>
      </c>
      <c r="H30" s="4"/>
      <c r="I30" s="4"/>
      <c r="J30" s="4"/>
      <c r="K30" s="4"/>
      <c r="L30" s="5"/>
      <c r="M30" s="20">
        <v>15.53096</v>
      </c>
      <c r="N30" s="4">
        <v>33.07653</v>
      </c>
      <c r="O30" s="4">
        <v>39.5</v>
      </c>
      <c r="P30" s="4">
        <v>22</v>
      </c>
      <c r="Q30" s="4">
        <v>3.154514</v>
      </c>
      <c r="R30" s="62"/>
      <c r="S30" s="21">
        <v>91.9307</v>
      </c>
      <c r="T30" s="21">
        <v>0</v>
      </c>
      <c r="U30" s="21">
        <v>0</v>
      </c>
      <c r="V30" s="84">
        <v>17.66493</v>
      </c>
      <c r="W30" s="21">
        <v>81.43446</v>
      </c>
      <c r="X30" s="21">
        <v>33</v>
      </c>
      <c r="Y30" s="21">
        <v>85.34867</v>
      </c>
      <c r="Z30" s="21">
        <v>9.872323</v>
      </c>
      <c r="AA30" s="21">
        <v>20.37761</v>
      </c>
      <c r="AB30" s="21"/>
      <c r="AC30" s="8"/>
      <c r="AD30" s="8">
        <v>1.54834</v>
      </c>
      <c r="AE30" s="8">
        <v>0.0007947998</v>
      </c>
      <c r="AF30" s="8">
        <v>73.5026</v>
      </c>
      <c r="AG30" s="8">
        <v>72.45009</v>
      </c>
      <c r="AH30" s="8"/>
      <c r="AI30" s="22"/>
      <c r="AJ30" s="22"/>
      <c r="AK30" s="22"/>
      <c r="AL30" s="22"/>
      <c r="AM30" s="22"/>
      <c r="AN30" s="8">
        <v>52.84288</v>
      </c>
      <c r="AO30" s="9">
        <v>50</v>
      </c>
      <c r="AP30" s="10">
        <v>28.87189</v>
      </c>
      <c r="AQ30" s="11">
        <v>39.57972</v>
      </c>
      <c r="AR30" s="12">
        <v>0.08680725</v>
      </c>
    </row>
    <row r="31" spans="2:44" ht="13.5" customHeight="1" x14ac:dyDescent="0.25">
      <c r="B31" s="121">
        <v>0.70833333333333304</v>
      </c>
      <c r="C31" s="20">
        <v>-79.88281</v>
      </c>
      <c r="D31" s="4">
        <v>-79.07986</v>
      </c>
      <c r="E31" s="4">
        <v>103.1322</v>
      </c>
      <c r="F31" s="4">
        <v>0.08912037</v>
      </c>
      <c r="G31" s="4">
        <v>8.737182E-05</v>
      </c>
      <c r="H31" s="4"/>
      <c r="I31" s="4"/>
      <c r="J31" s="4"/>
      <c r="K31" s="4"/>
      <c r="L31" s="5"/>
      <c r="M31" s="20">
        <v>15.54181</v>
      </c>
      <c r="N31" s="4">
        <v>33.28631</v>
      </c>
      <c r="O31" s="4">
        <v>39.5</v>
      </c>
      <c r="P31" s="4">
        <v>22</v>
      </c>
      <c r="Q31" s="4">
        <v>3.255208</v>
      </c>
      <c r="R31" s="62"/>
      <c r="S31" s="21">
        <v>92.67578</v>
      </c>
      <c r="T31" s="21">
        <v>0</v>
      </c>
      <c r="U31" s="21">
        <v>0</v>
      </c>
      <c r="V31" s="84">
        <v>17.68663</v>
      </c>
      <c r="W31" s="21">
        <v>82.08009</v>
      </c>
      <c r="X31" s="21">
        <v>33</v>
      </c>
      <c r="Y31" s="21">
        <v>85.42715</v>
      </c>
      <c r="Z31" s="21">
        <v>10.5523</v>
      </c>
      <c r="AA31" s="21">
        <v>20.38303</v>
      </c>
      <c r="AB31" s="21"/>
      <c r="AC31" s="8"/>
      <c r="AD31" s="8">
        <v>1.548231</v>
      </c>
      <c r="AE31" s="8">
        <v>0.0008881836</v>
      </c>
      <c r="AF31" s="8">
        <v>73.59303</v>
      </c>
      <c r="AG31" s="8">
        <v>53.23712</v>
      </c>
      <c r="AH31" s="8"/>
      <c r="AI31" s="22"/>
      <c r="AJ31" s="22"/>
      <c r="AK31" s="22"/>
      <c r="AL31" s="22"/>
      <c r="AM31" s="22"/>
      <c r="AN31" s="8">
        <v>51.55526</v>
      </c>
      <c r="AO31" s="9">
        <v>50</v>
      </c>
      <c r="AP31" s="10">
        <v>29.43251</v>
      </c>
      <c r="AQ31" s="11">
        <v>39.54716</v>
      </c>
      <c r="AR31" s="12">
        <v>0.07595825</v>
      </c>
    </row>
    <row r="32" spans="2:44" ht="13.5" customHeight="1" x14ac:dyDescent="0.25">
      <c r="B32" s="121">
        <v>0.75</v>
      </c>
      <c r="C32" s="20">
        <v>-80.7147</v>
      </c>
      <c r="D32" s="4">
        <v>-80.02749</v>
      </c>
      <c r="E32" s="4">
        <v>103.1322</v>
      </c>
      <c r="F32" s="4">
        <v>0.1072049</v>
      </c>
      <c r="G32" s="4">
        <v>9.065247E-05</v>
      </c>
      <c r="H32" s="4"/>
      <c r="I32" s="4"/>
      <c r="J32" s="4"/>
      <c r="K32" s="4"/>
      <c r="L32" s="5"/>
      <c r="M32" s="20">
        <v>15.54181</v>
      </c>
      <c r="N32" s="4">
        <v>33.30801</v>
      </c>
      <c r="O32" s="4">
        <v>39.5</v>
      </c>
      <c r="P32" s="4">
        <v>22</v>
      </c>
      <c r="Q32" s="4">
        <v>3.380642</v>
      </c>
      <c r="R32" s="62">
        <v>19.11892</v>
      </c>
      <c r="S32" s="21">
        <v>94.36125</v>
      </c>
      <c r="T32" s="21">
        <v>0</v>
      </c>
      <c r="U32" s="21">
        <v>0</v>
      </c>
      <c r="V32" s="84">
        <v>17.87652</v>
      </c>
      <c r="W32" s="21">
        <v>81.72201</v>
      </c>
      <c r="X32" s="21">
        <v>50</v>
      </c>
      <c r="Y32" s="21">
        <v>130.8822</v>
      </c>
      <c r="Z32" s="21">
        <v>10.49443</v>
      </c>
      <c r="AA32" s="21">
        <v>19.04297</v>
      </c>
      <c r="AB32" s="21"/>
      <c r="AC32" s="8"/>
      <c r="AD32" s="8">
        <v>0</v>
      </c>
      <c r="AE32" s="8">
        <v>0.0003303223</v>
      </c>
      <c r="AF32" s="8">
        <v>73.88238</v>
      </c>
      <c r="AG32" s="8">
        <v>22.55136</v>
      </c>
      <c r="AH32" s="8"/>
      <c r="AI32" s="22"/>
      <c r="AJ32" s="22"/>
      <c r="AK32" s="22"/>
      <c r="AL32" s="22"/>
      <c r="AM32" s="22"/>
      <c r="AN32" s="8">
        <v>50.72338</v>
      </c>
      <c r="AO32" s="9">
        <v>50</v>
      </c>
      <c r="AP32" s="10">
        <v>29.50485</v>
      </c>
      <c r="AQ32" s="11">
        <v>39.63035</v>
      </c>
      <c r="AR32" s="12">
        <v>0.06510925</v>
      </c>
    </row>
    <row r="33" spans="2:44" ht="13.5" customHeight="1" x14ac:dyDescent="0.25">
      <c r="B33" s="121">
        <v>0.79166666666666696</v>
      </c>
      <c r="C33" s="20">
        <v>-79.79601</v>
      </c>
      <c r="D33" s="4">
        <v>-79.00752</v>
      </c>
      <c r="E33" s="4">
        <v>103.1322</v>
      </c>
      <c r="F33" s="4">
        <v>0.1402633</v>
      </c>
      <c r="G33" s="4">
        <v>9.057617E-05</v>
      </c>
      <c r="H33" s="4"/>
      <c r="I33" s="4"/>
      <c r="J33" s="4"/>
      <c r="K33" s="4"/>
      <c r="L33" s="5"/>
      <c r="M33" s="20">
        <v>15.53096</v>
      </c>
      <c r="N33" s="4">
        <v>33.26099</v>
      </c>
      <c r="O33" s="4">
        <v>39.5</v>
      </c>
      <c r="P33" s="4">
        <v>22</v>
      </c>
      <c r="Q33" s="4">
        <v>3.219184</v>
      </c>
      <c r="R33" s="62">
        <v>19.74826</v>
      </c>
      <c r="S33" s="21">
        <v>92.14048</v>
      </c>
      <c r="T33" s="21">
        <v>0</v>
      </c>
      <c r="U33" s="21">
        <v>0</v>
      </c>
      <c r="V33" s="84">
        <v>18.10439</v>
      </c>
      <c r="W33" s="21">
        <v>80.36567</v>
      </c>
      <c r="X33" s="21">
        <v>32</v>
      </c>
      <c r="Y33" s="21">
        <v>81.49722</v>
      </c>
      <c r="Z33" s="21">
        <v>10.17614</v>
      </c>
      <c r="AA33" s="21">
        <v>19.56923</v>
      </c>
      <c r="AB33" s="21"/>
      <c r="AC33" s="8"/>
      <c r="AD33" s="8">
        <v>0</v>
      </c>
      <c r="AE33" s="8">
        <v>0.0008033447</v>
      </c>
      <c r="AF33" s="8">
        <v>95.08463</v>
      </c>
      <c r="AG33" s="8">
        <v>57.97526</v>
      </c>
      <c r="AH33" s="8"/>
      <c r="AI33" s="22"/>
      <c r="AJ33" s="22"/>
      <c r="AK33" s="22"/>
      <c r="AL33" s="22"/>
      <c r="AM33" s="22"/>
      <c r="AN33" s="8">
        <v>50.13021</v>
      </c>
      <c r="AO33" s="9">
        <v>50</v>
      </c>
      <c r="AP33" s="10">
        <v>29.43251</v>
      </c>
      <c r="AQ33" s="11">
        <v>39.50014</v>
      </c>
      <c r="AR33" s="12">
        <v>0.07595825</v>
      </c>
    </row>
    <row r="34" spans="2:44" ht="13.5" customHeight="1" x14ac:dyDescent="0.25">
      <c r="B34" s="121">
        <v>0.83333333333333304</v>
      </c>
      <c r="C34" s="23">
        <v>-80.61343</v>
      </c>
      <c r="D34" s="13">
        <v>-79.90451</v>
      </c>
      <c r="E34" s="13">
        <v>103.1322</v>
      </c>
      <c r="F34" s="13">
        <v>0.09606481</v>
      </c>
      <c r="G34" s="13">
        <v>9.002686E-05</v>
      </c>
      <c r="H34" s="13"/>
      <c r="I34" s="13"/>
      <c r="J34" s="13"/>
      <c r="K34" s="13"/>
      <c r="L34" s="14"/>
      <c r="M34" s="23">
        <v>15.52011</v>
      </c>
      <c r="N34" s="13">
        <v>33.07653</v>
      </c>
      <c r="O34" s="13">
        <v>39.5</v>
      </c>
      <c r="P34" s="13">
        <v>22</v>
      </c>
      <c r="Q34" s="13">
        <v>3.554254</v>
      </c>
      <c r="R34" s="13">
        <v>19.13339</v>
      </c>
      <c r="S34" s="24">
        <v>91.50391</v>
      </c>
      <c r="T34" s="24">
        <v>50</v>
      </c>
      <c r="U34" s="24">
        <v>116.1155</v>
      </c>
      <c r="V34" s="84">
        <v>17.31228</v>
      </c>
      <c r="W34" s="24">
        <v>19.46615</v>
      </c>
      <c r="X34" s="24">
        <v>50</v>
      </c>
      <c r="Y34" s="24">
        <v>101.1525</v>
      </c>
      <c r="Z34" s="24">
        <v>11.63375</v>
      </c>
      <c r="AA34" s="24">
        <v>19.12978</v>
      </c>
      <c r="AB34" s="24"/>
      <c r="AC34" s="17"/>
      <c r="AD34" s="17">
        <v>0</v>
      </c>
      <c r="AE34" s="17">
        <v>0</v>
      </c>
      <c r="AF34" s="17">
        <v>99.94575</v>
      </c>
      <c r="AG34" s="17">
        <v>0</v>
      </c>
      <c r="AH34" s="17"/>
      <c r="AI34" s="25"/>
      <c r="AJ34" s="25"/>
      <c r="AK34" s="25"/>
      <c r="AL34" s="25"/>
      <c r="AM34" s="25"/>
      <c r="AN34" s="17">
        <v>50.18808</v>
      </c>
      <c r="AO34" s="18">
        <v>50</v>
      </c>
      <c r="AP34" s="26">
        <v>29.324</v>
      </c>
      <c r="AQ34" s="27">
        <v>39.58695</v>
      </c>
      <c r="AR34" s="28">
        <v>0.06510925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25.76678</v>
      </c>
      <c r="F39" s="62"/>
      <c r="G39" s="62"/>
      <c r="H39" s="62">
        <v>0</v>
      </c>
      <c r="I39" s="62"/>
      <c r="J39" s="62">
        <v>27.17195</v>
      </c>
      <c r="K39" s="62">
        <v>40</v>
      </c>
      <c r="L39" s="62">
        <v>26.87355</v>
      </c>
      <c r="M39" s="62">
        <v>0</v>
      </c>
      <c r="N39" s="62"/>
      <c r="O39" s="62">
        <v>27.78682</v>
      </c>
      <c r="P39" s="62">
        <v>0.05</v>
      </c>
      <c r="Q39" s="62">
        <v>0.3331163</v>
      </c>
      <c r="R39" s="62"/>
      <c r="S39" s="62">
        <v>0</v>
      </c>
      <c r="T39" s="62"/>
      <c r="U39" s="84">
        <v>0</v>
      </c>
      <c r="V39" s="90"/>
      <c r="W39" s="91">
        <v>97.33073</v>
      </c>
      <c r="X39" s="84">
        <v>18.96701</v>
      </c>
      <c r="Y39" s="84">
        <v>50</v>
      </c>
      <c r="Z39" s="84">
        <v>0</v>
      </c>
      <c r="AA39" s="84">
        <v>12.31011</v>
      </c>
      <c r="AB39" s="84">
        <v>18.93989</v>
      </c>
      <c r="AC39" s="84">
        <v>50</v>
      </c>
      <c r="AD39" s="84">
        <v>123.7847</v>
      </c>
      <c r="AE39" s="66">
        <v>30.36929</v>
      </c>
      <c r="AF39" s="66">
        <v>55.94618</v>
      </c>
      <c r="AG39" s="66"/>
      <c r="AH39" s="66">
        <v>0</v>
      </c>
      <c r="AI39" s="66">
        <v>2.238788</v>
      </c>
      <c r="AJ39" s="66"/>
      <c r="AK39" s="66">
        <v>68.45703</v>
      </c>
      <c r="AL39" s="67">
        <v>42.47685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7.69043E-06</v>
      </c>
      <c r="E40" s="4">
        <v>32.11805</v>
      </c>
      <c r="F40" s="4"/>
      <c r="G40" s="4"/>
      <c r="H40" s="4">
        <v>0</v>
      </c>
      <c r="I40" s="4">
        <v>0.0002450943</v>
      </c>
      <c r="J40" s="4">
        <v>27.1629</v>
      </c>
      <c r="K40" s="4">
        <v>40</v>
      </c>
      <c r="L40" s="4">
        <v>26.9911</v>
      </c>
      <c r="M40" s="4">
        <v>0</v>
      </c>
      <c r="N40" s="4">
        <v>0</v>
      </c>
      <c r="O40" s="4">
        <v>28.5735</v>
      </c>
      <c r="P40" s="4">
        <v>0.05</v>
      </c>
      <c r="Q40" s="4">
        <v>0.3217593</v>
      </c>
      <c r="R40" s="4">
        <v>0.0003160706</v>
      </c>
      <c r="S40" s="4">
        <v>0</v>
      </c>
      <c r="T40" s="4">
        <v>0</v>
      </c>
      <c r="U40" s="21">
        <v>0</v>
      </c>
      <c r="V40" s="29">
        <v>0</v>
      </c>
      <c r="W40" s="30">
        <v>97.6454</v>
      </c>
      <c r="X40" s="21">
        <v>19.12254</v>
      </c>
      <c r="Y40" s="21">
        <v>40</v>
      </c>
      <c r="Z40" s="21">
        <v>104.1406</v>
      </c>
      <c r="AA40" s="21">
        <v>12.20703</v>
      </c>
      <c r="AB40" s="21">
        <v>19.74826</v>
      </c>
      <c r="AC40" s="21">
        <v>40</v>
      </c>
      <c r="AD40" s="21">
        <v>107.7734</v>
      </c>
      <c r="AE40" s="8">
        <v>30.84672</v>
      </c>
      <c r="AF40" s="8">
        <v>53.27691</v>
      </c>
      <c r="AG40" s="8"/>
      <c r="AH40" s="8">
        <v>0</v>
      </c>
      <c r="AI40" s="8">
        <v>0</v>
      </c>
      <c r="AJ40" s="8">
        <v>0.0001736965</v>
      </c>
      <c r="AK40" s="8">
        <v>68.45341</v>
      </c>
      <c r="AL40" s="9">
        <v>42.22512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7.698059E-06</v>
      </c>
      <c r="E41" s="4">
        <v>27.32928</v>
      </c>
      <c r="F41" s="4"/>
      <c r="G41" s="4"/>
      <c r="H41" s="4">
        <v>0</v>
      </c>
      <c r="I41" s="4">
        <v>0</v>
      </c>
      <c r="J41" s="4">
        <v>27.32566</v>
      </c>
      <c r="K41" s="4">
        <v>40</v>
      </c>
      <c r="L41" s="4">
        <v>27.38896</v>
      </c>
      <c r="M41" s="4">
        <v>0</v>
      </c>
      <c r="N41" s="4">
        <v>0</v>
      </c>
      <c r="O41" s="4">
        <v>29.23358</v>
      </c>
      <c r="P41" s="4">
        <v>0.05</v>
      </c>
      <c r="Q41" s="4">
        <v>0.3164062</v>
      </c>
      <c r="R41" s="4">
        <v>0.000315918</v>
      </c>
      <c r="S41" s="4">
        <v>0</v>
      </c>
      <c r="T41" s="4">
        <v>0</v>
      </c>
      <c r="U41" s="21">
        <v>0</v>
      </c>
      <c r="V41" s="29">
        <v>0</v>
      </c>
      <c r="W41" s="30">
        <v>95.09548</v>
      </c>
      <c r="X41" s="21">
        <v>18.60894</v>
      </c>
      <c r="Y41" s="21">
        <v>35</v>
      </c>
      <c r="Z41" s="21">
        <v>91.05035</v>
      </c>
      <c r="AA41" s="21">
        <v>10.94835</v>
      </c>
      <c r="AB41" s="21">
        <v>19.67773</v>
      </c>
      <c r="AC41" s="21">
        <v>35</v>
      </c>
      <c r="AD41" s="21">
        <v>94.3099</v>
      </c>
      <c r="AE41" s="8">
        <v>0</v>
      </c>
      <c r="AF41" s="8">
        <v>90.44054</v>
      </c>
      <c r="AG41" s="8"/>
      <c r="AH41" s="8">
        <v>0</v>
      </c>
      <c r="AI41" s="8">
        <v>0</v>
      </c>
      <c r="AJ41" s="8">
        <v>0</v>
      </c>
      <c r="AK41" s="8">
        <v>68.49682</v>
      </c>
      <c r="AL41" s="9">
        <v>41.91551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2.312469E-05</v>
      </c>
      <c r="E42" s="4">
        <v>30.42535</v>
      </c>
      <c r="F42" s="4"/>
      <c r="G42" s="4"/>
      <c r="H42" s="4">
        <v>0</v>
      </c>
      <c r="I42" s="4">
        <v>0.001229286</v>
      </c>
      <c r="J42" s="4">
        <v>27.61502</v>
      </c>
      <c r="K42" s="4">
        <v>40</v>
      </c>
      <c r="L42" s="4">
        <v>27.77778</v>
      </c>
      <c r="M42" s="4">
        <v>0</v>
      </c>
      <c r="N42" s="4">
        <v>0</v>
      </c>
      <c r="O42" s="4">
        <v>30.12876</v>
      </c>
      <c r="P42" s="4">
        <v>0.05</v>
      </c>
      <c r="Q42" s="4">
        <v>0.3155382</v>
      </c>
      <c r="R42" s="4">
        <v>0.0003141785</v>
      </c>
      <c r="S42" s="4">
        <v>0</v>
      </c>
      <c r="T42" s="4">
        <v>0</v>
      </c>
      <c r="U42" s="21">
        <v>0</v>
      </c>
      <c r="V42" s="29">
        <v>0</v>
      </c>
      <c r="W42" s="30">
        <v>95.81525</v>
      </c>
      <c r="X42" s="21">
        <v>17.9362</v>
      </c>
      <c r="Y42" s="21">
        <v>35</v>
      </c>
      <c r="Z42" s="21">
        <v>90.6033</v>
      </c>
      <c r="AA42" s="21">
        <v>11.38238</v>
      </c>
      <c r="AB42" s="21">
        <v>19.41732</v>
      </c>
      <c r="AC42" s="21">
        <v>35</v>
      </c>
      <c r="AD42" s="21">
        <v>93.93664</v>
      </c>
      <c r="AE42" s="8">
        <v>11.03335</v>
      </c>
      <c r="AF42" s="8">
        <v>61.71875</v>
      </c>
      <c r="AG42" s="8"/>
      <c r="AH42" s="8">
        <v>0</v>
      </c>
      <c r="AI42" s="8">
        <v>0</v>
      </c>
      <c r="AJ42" s="8">
        <v>0</v>
      </c>
      <c r="AK42" s="8">
        <v>68.53298</v>
      </c>
      <c r="AL42" s="9">
        <v>41.67824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8.762359E-06</v>
      </c>
      <c r="E43" s="4">
        <v>27.95862</v>
      </c>
      <c r="F43" s="4"/>
      <c r="G43" s="4"/>
      <c r="H43" s="4">
        <v>0</v>
      </c>
      <c r="I43" s="4">
        <v>0.0001945496</v>
      </c>
      <c r="J43" s="4">
        <v>28.00383</v>
      </c>
      <c r="K43" s="4">
        <v>40</v>
      </c>
      <c r="L43" s="4">
        <v>28.17564</v>
      </c>
      <c r="M43" s="4">
        <v>0</v>
      </c>
      <c r="N43" s="4">
        <v>0</v>
      </c>
      <c r="O43" s="4">
        <v>30.96969</v>
      </c>
      <c r="P43" s="4">
        <v>0.05</v>
      </c>
      <c r="Q43" s="4">
        <v>0.3261719</v>
      </c>
      <c r="R43" s="4">
        <v>0.0003162537</v>
      </c>
      <c r="S43" s="4">
        <v>0</v>
      </c>
      <c r="T43" s="4">
        <v>0</v>
      </c>
      <c r="U43" s="21">
        <v>0</v>
      </c>
      <c r="V43" s="29">
        <v>0</v>
      </c>
      <c r="W43" s="30">
        <v>96.64713</v>
      </c>
      <c r="X43" s="21">
        <v>19.36849</v>
      </c>
      <c r="Y43" s="21">
        <v>40.5</v>
      </c>
      <c r="Z43" s="21">
        <v>104.6528</v>
      </c>
      <c r="AA43" s="21">
        <v>8.919271</v>
      </c>
      <c r="AB43" s="21">
        <v>145.4644</v>
      </c>
      <c r="AC43" s="21">
        <v>41.5</v>
      </c>
      <c r="AD43" s="21">
        <v>111.4063</v>
      </c>
      <c r="AE43" s="8">
        <v>14.44951</v>
      </c>
      <c r="AF43" s="8">
        <v>19.67231</v>
      </c>
      <c r="AG43" s="8"/>
      <c r="AH43" s="8">
        <v>0</v>
      </c>
      <c r="AI43" s="8">
        <v>0</v>
      </c>
      <c r="AJ43" s="8">
        <v>0</v>
      </c>
      <c r="AK43" s="8">
        <v>68.56915</v>
      </c>
      <c r="AL43" s="9">
        <v>41.42361</v>
      </c>
      <c r="AM43" s="31"/>
      <c r="AN43" s="22">
        <v>0.06</v>
      </c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1.124763E-05</v>
      </c>
      <c r="E44" s="4">
        <v>25.62211</v>
      </c>
      <c r="F44" s="4"/>
      <c r="G44" s="4"/>
      <c r="H44" s="4">
        <v>0</v>
      </c>
      <c r="I44" s="4">
        <v>0.0002326965</v>
      </c>
      <c r="J44" s="4">
        <v>28.34744</v>
      </c>
      <c r="K44" s="4">
        <v>40</v>
      </c>
      <c r="L44" s="4">
        <v>28.51924</v>
      </c>
      <c r="M44" s="4">
        <v>0</v>
      </c>
      <c r="N44" s="4">
        <v>0</v>
      </c>
      <c r="O44" s="4">
        <v>31.70211</v>
      </c>
      <c r="P44" s="4">
        <v>0.05</v>
      </c>
      <c r="Q44" s="4">
        <v>0.3085214</v>
      </c>
      <c r="R44" s="4">
        <v>0.0003144531</v>
      </c>
      <c r="S44" s="4">
        <v>0</v>
      </c>
      <c r="T44" s="4">
        <v>0</v>
      </c>
      <c r="U44" s="21">
        <v>0</v>
      </c>
      <c r="V44" s="29">
        <v>0</v>
      </c>
      <c r="W44" s="30">
        <v>96.92202</v>
      </c>
      <c r="X44" s="21">
        <v>19.36487</v>
      </c>
      <c r="Y44" s="21">
        <v>43</v>
      </c>
      <c r="Z44" s="21">
        <v>111.3629</v>
      </c>
      <c r="AA44" s="21">
        <v>12.14193</v>
      </c>
      <c r="AB44" s="21">
        <v>98.88239</v>
      </c>
      <c r="AC44" s="21">
        <v>41.5</v>
      </c>
      <c r="AD44" s="21">
        <v>111.467</v>
      </c>
      <c r="AE44" s="8">
        <v>15.56713</v>
      </c>
      <c r="AF44" s="8">
        <v>19.5638</v>
      </c>
      <c r="AG44" s="8"/>
      <c r="AH44" s="8">
        <v>0</v>
      </c>
      <c r="AI44" s="8">
        <v>0</v>
      </c>
      <c r="AJ44" s="8">
        <v>0</v>
      </c>
      <c r="AK44" s="8">
        <v>68.58</v>
      </c>
      <c r="AL44" s="9">
        <v>41.26447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4.816437E-05</v>
      </c>
      <c r="E45" s="4">
        <v>24.39236</v>
      </c>
      <c r="F45" s="4"/>
      <c r="G45" s="4"/>
      <c r="H45" s="4">
        <v>0</v>
      </c>
      <c r="I45" s="4">
        <v>0.0007553101</v>
      </c>
      <c r="J45" s="4">
        <v>28.73626</v>
      </c>
      <c r="K45" s="4">
        <v>40</v>
      </c>
      <c r="L45" s="4">
        <v>28.79955</v>
      </c>
      <c r="M45" s="4">
        <v>0</v>
      </c>
      <c r="N45" s="4">
        <v>0</v>
      </c>
      <c r="O45" s="4">
        <v>32.20848</v>
      </c>
      <c r="P45" s="4">
        <v>0.05</v>
      </c>
      <c r="Q45" s="4">
        <v>0.3085938</v>
      </c>
      <c r="R45" s="4">
        <v>0.0003138428</v>
      </c>
      <c r="S45" s="4">
        <v>0</v>
      </c>
      <c r="T45" s="4">
        <v>0</v>
      </c>
      <c r="U45" s="21">
        <v>0</v>
      </c>
      <c r="V45" s="29">
        <v>0</v>
      </c>
      <c r="W45" s="30">
        <v>98.716</v>
      </c>
      <c r="X45" s="21">
        <v>19.68678</v>
      </c>
      <c r="Y45" s="21">
        <v>43</v>
      </c>
      <c r="Z45" s="21">
        <v>111.5191</v>
      </c>
      <c r="AA45" s="21">
        <v>15.42969</v>
      </c>
      <c r="AB45" s="21">
        <v>88.43859</v>
      </c>
      <c r="AC45" s="21">
        <v>41.5</v>
      </c>
      <c r="AD45" s="21">
        <v>111.9835</v>
      </c>
      <c r="AE45" s="8">
        <v>13.64837</v>
      </c>
      <c r="AF45" s="8">
        <v>19.49327</v>
      </c>
      <c r="AG45" s="8"/>
      <c r="AH45" s="8">
        <v>0</v>
      </c>
      <c r="AI45" s="8">
        <v>0</v>
      </c>
      <c r="AJ45" s="8">
        <v>0</v>
      </c>
      <c r="AK45" s="8">
        <v>68.59447</v>
      </c>
      <c r="AL45" s="9">
        <v>41.0272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3.93486E-06</v>
      </c>
      <c r="E46" s="4">
        <v>23.30006</v>
      </c>
      <c r="F46" s="4"/>
      <c r="G46" s="4"/>
      <c r="H46" s="4">
        <v>0</v>
      </c>
      <c r="I46" s="4">
        <v>0.0003442764</v>
      </c>
      <c r="J46" s="4">
        <v>29.13412</v>
      </c>
      <c r="K46" s="4">
        <v>40</v>
      </c>
      <c r="L46" s="4">
        <v>29.01657</v>
      </c>
      <c r="M46" s="4">
        <v>0</v>
      </c>
      <c r="N46" s="4">
        <v>0</v>
      </c>
      <c r="O46" s="4">
        <v>32.59729</v>
      </c>
      <c r="P46" s="4">
        <v>0.05</v>
      </c>
      <c r="Q46" s="4">
        <v>0.3092448</v>
      </c>
      <c r="R46" s="4">
        <v>0.0003158874</v>
      </c>
      <c r="S46" s="4">
        <v>0</v>
      </c>
      <c r="T46" s="4">
        <v>0</v>
      </c>
      <c r="U46" s="21">
        <v>0</v>
      </c>
      <c r="V46" s="29">
        <v>0</v>
      </c>
      <c r="W46" s="30">
        <v>94.32146</v>
      </c>
      <c r="X46" s="21">
        <v>19.04659</v>
      </c>
      <c r="Y46" s="21">
        <v>43</v>
      </c>
      <c r="Z46" s="21">
        <v>110.9635</v>
      </c>
      <c r="AA46" s="21">
        <v>16.99761</v>
      </c>
      <c r="AB46" s="21">
        <v>82.23742</v>
      </c>
      <c r="AC46" s="21">
        <v>45</v>
      </c>
      <c r="AD46" s="21">
        <v>120.4774</v>
      </c>
      <c r="AE46" s="8">
        <v>11.82002</v>
      </c>
      <c r="AF46" s="8">
        <v>21.41385</v>
      </c>
      <c r="AG46" s="8"/>
      <c r="AH46" s="8">
        <v>0</v>
      </c>
      <c r="AI46" s="8">
        <v>0</v>
      </c>
      <c r="AJ46" s="8">
        <v>0</v>
      </c>
      <c r="AK46" s="8">
        <v>68.60894</v>
      </c>
      <c r="AL46" s="9">
        <v>40.85359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2.09198E-05</v>
      </c>
      <c r="E47" s="4">
        <v>24.00174</v>
      </c>
      <c r="F47" s="4"/>
      <c r="G47" s="4"/>
      <c r="H47" s="4">
        <v>0</v>
      </c>
      <c r="I47" s="4">
        <v>0.0003061295</v>
      </c>
      <c r="J47" s="4">
        <v>29.46868</v>
      </c>
      <c r="K47" s="4">
        <v>40</v>
      </c>
      <c r="L47" s="4">
        <v>29.07986</v>
      </c>
      <c r="M47" s="4">
        <v>0</v>
      </c>
      <c r="N47" s="4">
        <v>0</v>
      </c>
      <c r="O47" s="4">
        <v>32.76006</v>
      </c>
      <c r="P47" s="4">
        <v>0.05</v>
      </c>
      <c r="Q47" s="4">
        <v>0.3082321</v>
      </c>
      <c r="R47" s="4">
        <v>0.0003145142</v>
      </c>
      <c r="S47" s="4">
        <v>0</v>
      </c>
      <c r="T47" s="4">
        <v>0</v>
      </c>
      <c r="U47" s="21">
        <v>0</v>
      </c>
      <c r="V47" s="29">
        <v>0</v>
      </c>
      <c r="W47" s="30">
        <v>95.0991</v>
      </c>
      <c r="X47" s="21">
        <v>18.67405</v>
      </c>
      <c r="Y47" s="21">
        <v>40.5</v>
      </c>
      <c r="Z47" s="21">
        <v>104.0321</v>
      </c>
      <c r="AA47" s="21">
        <v>17.66493</v>
      </c>
      <c r="AB47" s="21">
        <v>81.43446</v>
      </c>
      <c r="AC47" s="21">
        <v>41</v>
      </c>
      <c r="AD47" s="21">
        <v>109.6484</v>
      </c>
      <c r="AE47" s="8">
        <v>9.872323</v>
      </c>
      <c r="AF47" s="8">
        <v>20.37761</v>
      </c>
      <c r="AG47" s="8"/>
      <c r="AH47" s="8">
        <v>0</v>
      </c>
      <c r="AI47" s="8">
        <v>0</v>
      </c>
      <c r="AJ47" s="8">
        <v>0</v>
      </c>
      <c r="AK47" s="8">
        <v>68.59086</v>
      </c>
      <c r="AL47" s="9">
        <v>40.68287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3.3741E-06</v>
      </c>
      <c r="E48" s="4">
        <v>25.02893</v>
      </c>
      <c r="F48" s="4"/>
      <c r="G48" s="4"/>
      <c r="H48" s="4">
        <v>0</v>
      </c>
      <c r="I48" s="4">
        <v>0</v>
      </c>
      <c r="J48" s="4">
        <v>29.81228</v>
      </c>
      <c r="K48" s="4">
        <v>40</v>
      </c>
      <c r="L48" s="4">
        <v>29.41442</v>
      </c>
      <c r="M48" s="4">
        <v>0</v>
      </c>
      <c r="N48" s="4">
        <v>0</v>
      </c>
      <c r="O48" s="4">
        <v>33.09462</v>
      </c>
      <c r="P48" s="4">
        <v>0.05</v>
      </c>
      <c r="Q48" s="4">
        <v>0.3177083</v>
      </c>
      <c r="R48" s="4">
        <v>0.0003147888</v>
      </c>
      <c r="S48" s="4">
        <v>0</v>
      </c>
      <c r="T48" s="4">
        <v>0</v>
      </c>
      <c r="U48" s="21">
        <v>0</v>
      </c>
      <c r="V48" s="29">
        <v>0</v>
      </c>
      <c r="W48" s="30">
        <v>92.34303</v>
      </c>
      <c r="X48" s="21">
        <v>19.41913</v>
      </c>
      <c r="Y48" s="21">
        <v>38</v>
      </c>
      <c r="Z48" s="21">
        <v>97.59549</v>
      </c>
      <c r="AA48" s="21">
        <v>17.68663</v>
      </c>
      <c r="AB48" s="21">
        <v>82.08009</v>
      </c>
      <c r="AC48" s="21">
        <v>38</v>
      </c>
      <c r="AD48" s="21">
        <v>101.9531</v>
      </c>
      <c r="AE48" s="8">
        <v>10.5523</v>
      </c>
      <c r="AF48" s="8">
        <v>20.38303</v>
      </c>
      <c r="AG48" s="8"/>
      <c r="AH48" s="8">
        <v>0</v>
      </c>
      <c r="AI48" s="8">
        <v>0</v>
      </c>
      <c r="AJ48" s="8">
        <v>0</v>
      </c>
      <c r="AK48" s="8">
        <v>68.61979</v>
      </c>
      <c r="AL48" s="9">
        <v>40.54977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1.377869E-05</v>
      </c>
      <c r="E49" s="4">
        <v>23.95833</v>
      </c>
      <c r="F49" s="4"/>
      <c r="G49" s="4"/>
      <c r="H49" s="4">
        <v>0</v>
      </c>
      <c r="I49" s="4">
        <v>0</v>
      </c>
      <c r="J49" s="4">
        <v>30.09259</v>
      </c>
      <c r="K49" s="4">
        <v>40</v>
      </c>
      <c r="L49" s="4">
        <v>29.45963</v>
      </c>
      <c r="M49" s="4">
        <v>0</v>
      </c>
      <c r="N49" s="4">
        <v>0</v>
      </c>
      <c r="O49" s="4">
        <v>33.22121</v>
      </c>
      <c r="P49" s="4">
        <v>0.05</v>
      </c>
      <c r="Q49" s="4">
        <v>0.3085214</v>
      </c>
      <c r="R49" s="4">
        <v>0.00031427</v>
      </c>
      <c r="S49" s="4">
        <v>0</v>
      </c>
      <c r="T49" s="4">
        <v>0</v>
      </c>
      <c r="U49" s="21">
        <v>0</v>
      </c>
      <c r="V49" s="29">
        <v>0</v>
      </c>
      <c r="W49" s="30">
        <v>91.91261</v>
      </c>
      <c r="X49" s="21">
        <v>19.68316</v>
      </c>
      <c r="Y49" s="21">
        <v>40</v>
      </c>
      <c r="Z49" s="21">
        <v>102.8516</v>
      </c>
      <c r="AA49" s="21">
        <v>17.87652</v>
      </c>
      <c r="AB49" s="21">
        <v>81.72201</v>
      </c>
      <c r="AC49" s="21">
        <v>40</v>
      </c>
      <c r="AD49" s="21">
        <v>107.4436</v>
      </c>
      <c r="AE49" s="8">
        <v>10.49443</v>
      </c>
      <c r="AF49" s="8">
        <v>19.04297</v>
      </c>
      <c r="AG49" s="8"/>
      <c r="AH49" s="8">
        <v>0</v>
      </c>
      <c r="AI49" s="8">
        <v>0</v>
      </c>
      <c r="AJ49" s="8">
        <v>0</v>
      </c>
      <c r="AK49" s="8">
        <v>68.59809</v>
      </c>
      <c r="AL49" s="9">
        <v>40.32986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1.763153E-05</v>
      </c>
      <c r="E50" s="4">
        <v>24.11024</v>
      </c>
      <c r="F50" s="4"/>
      <c r="G50" s="4"/>
      <c r="H50" s="4">
        <v>0</v>
      </c>
      <c r="I50" s="4">
        <v>0.000793457</v>
      </c>
      <c r="J50" s="4">
        <v>30.30961</v>
      </c>
      <c r="K50" s="4">
        <v>40</v>
      </c>
      <c r="L50" s="4">
        <v>29.52293</v>
      </c>
      <c r="M50" s="4">
        <v>0</v>
      </c>
      <c r="N50" s="4">
        <v>0</v>
      </c>
      <c r="O50" s="4">
        <v>33.21217</v>
      </c>
      <c r="P50" s="4">
        <v>0.05</v>
      </c>
      <c r="Q50" s="4">
        <v>0.2720631</v>
      </c>
      <c r="R50" s="4">
        <v>0.0002254639</v>
      </c>
      <c r="S50" s="4">
        <v>0</v>
      </c>
      <c r="T50" s="4">
        <v>0</v>
      </c>
      <c r="U50" s="21">
        <v>0</v>
      </c>
      <c r="V50" s="29">
        <v>0</v>
      </c>
      <c r="W50" s="30">
        <v>89.70631</v>
      </c>
      <c r="X50" s="21">
        <v>18.09534</v>
      </c>
      <c r="Y50" s="21">
        <v>40</v>
      </c>
      <c r="Z50" s="21">
        <v>102.8168</v>
      </c>
      <c r="AA50" s="21">
        <v>18.10439</v>
      </c>
      <c r="AB50" s="21">
        <v>80.36567</v>
      </c>
      <c r="AC50" s="21">
        <v>40</v>
      </c>
      <c r="AD50" s="21">
        <v>106.8056</v>
      </c>
      <c r="AE50" s="8">
        <v>10.17614</v>
      </c>
      <c r="AF50" s="8">
        <v>19.56923</v>
      </c>
      <c r="AG50" s="8"/>
      <c r="AH50" s="8">
        <v>0</v>
      </c>
      <c r="AI50" s="8">
        <v>0</v>
      </c>
      <c r="AJ50" s="8">
        <v>0</v>
      </c>
      <c r="AK50" s="8">
        <v>68.57277</v>
      </c>
      <c r="AL50" s="9">
        <v>40.17361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2.108765E-05</v>
      </c>
      <c r="E51" s="13">
        <v>24.71065</v>
      </c>
      <c r="F51" s="13"/>
      <c r="G51" s="13"/>
      <c r="H51" s="13">
        <v>0</v>
      </c>
      <c r="I51" s="13">
        <v>0.0004472733</v>
      </c>
      <c r="J51" s="13">
        <v>30.42716</v>
      </c>
      <c r="K51" s="13">
        <v>40</v>
      </c>
      <c r="L51" s="13">
        <v>29.52293</v>
      </c>
      <c r="M51" s="13">
        <v>0</v>
      </c>
      <c r="N51" s="13">
        <v>0</v>
      </c>
      <c r="O51" s="13">
        <v>33.04036</v>
      </c>
      <c r="P51" s="13">
        <v>0.05</v>
      </c>
      <c r="Q51" s="13">
        <v>0.1094473</v>
      </c>
      <c r="R51" s="13">
        <v>0.0002600098</v>
      </c>
      <c r="S51" s="13">
        <v>0</v>
      </c>
      <c r="T51" s="13">
        <v>0</v>
      </c>
      <c r="U51" s="24">
        <v>0</v>
      </c>
      <c r="V51" s="32">
        <v>0</v>
      </c>
      <c r="W51" s="33">
        <v>97.21137</v>
      </c>
      <c r="X51" s="24">
        <v>18.78617</v>
      </c>
      <c r="Y51" s="24">
        <v>50</v>
      </c>
      <c r="Z51" s="24">
        <v>123.8802</v>
      </c>
      <c r="AA51" s="24">
        <v>17.31228</v>
      </c>
      <c r="AB51" s="24">
        <v>19.46615</v>
      </c>
      <c r="AC51" s="24">
        <v>0</v>
      </c>
      <c r="AD51" s="24">
        <v>20.59462</v>
      </c>
      <c r="AE51" s="17">
        <v>11.63375</v>
      </c>
      <c r="AF51" s="17">
        <v>19.12978</v>
      </c>
      <c r="AG51" s="17"/>
      <c r="AH51" s="17">
        <v>0</v>
      </c>
      <c r="AI51" s="17">
        <v>0</v>
      </c>
      <c r="AJ51" s="17">
        <v>0</v>
      </c>
      <c r="AK51" s="17">
        <v>68.54745</v>
      </c>
      <c r="AL51" s="18">
        <v>40.02315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63" t="s">
        <v>369</v>
      </c>
      <c r="C52" s="164"/>
      <c r="D52" s="72" t="s">
        <v>19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</row>
    <row r="2" spans="2:56" ht="12" customHeight="1" x14ac:dyDescent="0.25">
      <c r="B2" s="227" t="s">
        <v>224</v>
      </c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30" t="s">
        <v>223</v>
      </c>
      <c r="N2" s="228"/>
      <c r="O2" s="228"/>
      <c r="P2" s="228"/>
      <c r="Q2" s="228"/>
      <c r="R2" s="228"/>
      <c r="S2" s="228"/>
      <c r="T2" s="228"/>
      <c r="U2" s="228"/>
      <c r="V2" s="228"/>
      <c r="W2" s="229"/>
      <c r="X2" s="231" t="s">
        <v>352</v>
      </c>
      <c r="Y2" s="228"/>
      <c r="Z2" s="228"/>
      <c r="AA2" s="228"/>
      <c r="AB2" s="228"/>
      <c r="AC2" s="228"/>
      <c r="AD2" s="228"/>
      <c r="AE2" s="228"/>
      <c r="AF2" s="228"/>
      <c r="AG2" s="228"/>
      <c r="AH2" s="229"/>
      <c r="AI2" s="230" t="s">
        <v>225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1" t="s">
        <v>226</v>
      </c>
      <c r="AU2" s="228"/>
      <c r="AV2" s="228"/>
      <c r="AW2" s="228"/>
      <c r="AX2" s="228"/>
      <c r="AY2" s="228"/>
      <c r="AZ2" s="228"/>
      <c r="BA2" s="228"/>
      <c r="BB2" s="228"/>
      <c r="BC2" s="228"/>
      <c r="BD2" s="232"/>
    </row>
    <row r="3" spans="2:56" ht="12" customHeight="1" x14ac:dyDescent="0.25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98"/>
      <c r="AU3" s="187"/>
      <c r="AV3" s="187"/>
      <c r="AW3" s="187"/>
      <c r="AX3" s="187"/>
      <c r="AY3" s="187"/>
      <c r="AZ3" s="187"/>
      <c r="BA3" s="187"/>
      <c r="BB3" s="187"/>
      <c r="BC3" s="187"/>
      <c r="BD3" s="200"/>
    </row>
    <row r="4" spans="2:56" ht="12" customHeight="1" x14ac:dyDescent="0.2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5"/>
      <c r="AU4" s="190"/>
      <c r="AV4" s="190"/>
      <c r="AW4" s="190"/>
      <c r="AX4" s="190"/>
      <c r="AY4" s="190"/>
      <c r="AZ4" s="190"/>
      <c r="BA4" s="190"/>
      <c r="BB4" s="190"/>
      <c r="BC4" s="190"/>
      <c r="BD4" s="201"/>
    </row>
    <row r="5" spans="2:56" ht="12" customHeight="1" x14ac:dyDescent="0.25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5"/>
      <c r="AU5" s="190"/>
      <c r="AV5" s="190"/>
      <c r="AW5" s="190"/>
      <c r="AX5" s="190"/>
      <c r="AY5" s="190"/>
      <c r="AZ5" s="190"/>
      <c r="BA5" s="190"/>
      <c r="BB5" s="190"/>
      <c r="BC5" s="190"/>
      <c r="BD5" s="201"/>
    </row>
    <row r="6" spans="2:56" ht="12" customHeight="1" x14ac:dyDescent="0.25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5"/>
      <c r="AU6" s="190"/>
      <c r="AV6" s="190"/>
      <c r="AW6" s="190"/>
      <c r="AX6" s="190"/>
      <c r="AY6" s="190"/>
      <c r="AZ6" s="190"/>
      <c r="BA6" s="190"/>
      <c r="BB6" s="190"/>
      <c r="BC6" s="190"/>
      <c r="BD6" s="201"/>
    </row>
    <row r="7" spans="2:56" ht="12" customHeight="1" x14ac:dyDescent="0.25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5"/>
      <c r="AU7" s="190"/>
      <c r="AV7" s="190"/>
      <c r="AW7" s="190"/>
      <c r="AX7" s="190"/>
      <c r="AY7" s="190"/>
      <c r="AZ7" s="190"/>
      <c r="BA7" s="190"/>
      <c r="BB7" s="190"/>
      <c r="BC7" s="190"/>
      <c r="BD7" s="201"/>
    </row>
    <row r="8" spans="2:56" ht="12" customHeight="1" x14ac:dyDescent="0.25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5"/>
      <c r="AU8" s="190"/>
      <c r="AV8" s="190"/>
      <c r="AW8" s="190"/>
      <c r="AX8" s="190"/>
      <c r="AY8" s="190"/>
      <c r="AZ8" s="190"/>
      <c r="BA8" s="190"/>
      <c r="BB8" s="190"/>
      <c r="BC8" s="190"/>
      <c r="BD8" s="201"/>
    </row>
    <row r="9" spans="2:56" ht="12" customHeight="1" x14ac:dyDescent="0.25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72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72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72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6"/>
      <c r="AU9" s="193"/>
      <c r="AV9" s="193"/>
      <c r="AW9" s="193"/>
      <c r="AX9" s="193"/>
      <c r="AY9" s="193"/>
      <c r="AZ9" s="193"/>
      <c r="BA9" s="193"/>
      <c r="BB9" s="193"/>
      <c r="BC9" s="193"/>
      <c r="BD9" s="202"/>
    </row>
    <row r="10" spans="2:56" ht="12" customHeight="1" x14ac:dyDescent="0.25">
      <c r="B10" s="210" t="s">
        <v>227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9"/>
      <c r="M10" s="225" t="s">
        <v>228</v>
      </c>
      <c r="N10" s="208"/>
      <c r="O10" s="208"/>
      <c r="P10" s="208"/>
      <c r="Q10" s="208"/>
      <c r="R10" s="208"/>
      <c r="S10" s="208"/>
      <c r="T10" s="208"/>
      <c r="U10" s="208"/>
      <c r="V10" s="208"/>
      <c r="W10" s="209"/>
      <c r="X10" s="226" t="s">
        <v>229</v>
      </c>
      <c r="Y10" s="208"/>
      <c r="Z10" s="208"/>
      <c r="AA10" s="208"/>
      <c r="AB10" s="208"/>
      <c r="AC10" s="208"/>
      <c r="AD10" s="208"/>
      <c r="AE10" s="208"/>
      <c r="AF10" s="208"/>
      <c r="AG10" s="208"/>
      <c r="AH10" s="209"/>
      <c r="AI10" s="226" t="s">
        <v>230</v>
      </c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180" t="s">
        <v>231</v>
      </c>
      <c r="AU10" s="208"/>
      <c r="AV10" s="208"/>
      <c r="AW10" s="208"/>
      <c r="AX10" s="208"/>
      <c r="AY10" s="208"/>
      <c r="AZ10" s="208"/>
      <c r="BA10" s="208"/>
      <c r="BB10" s="208"/>
      <c r="BC10" s="208"/>
      <c r="BD10" s="215"/>
    </row>
    <row r="11" spans="2:56" ht="12" customHeight="1" x14ac:dyDescent="0.25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203"/>
      <c r="AU11" s="187"/>
      <c r="AV11" s="187"/>
      <c r="AW11" s="187"/>
      <c r="AX11" s="187"/>
      <c r="AY11" s="187"/>
      <c r="AZ11" s="187"/>
      <c r="BA11" s="187"/>
      <c r="BB11" s="187"/>
      <c r="BC11" s="187"/>
      <c r="BD11" s="200"/>
    </row>
    <row r="12" spans="2:56" ht="12" customHeight="1" x14ac:dyDescent="0.25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5"/>
      <c r="AU12" s="190"/>
      <c r="AV12" s="190"/>
      <c r="AW12" s="190"/>
      <c r="AX12" s="190"/>
      <c r="AY12" s="190"/>
      <c r="AZ12" s="190"/>
      <c r="BA12" s="190"/>
      <c r="BB12" s="190"/>
      <c r="BC12" s="190"/>
      <c r="BD12" s="201"/>
    </row>
    <row r="13" spans="2:56" ht="12" customHeight="1" x14ac:dyDescent="0.25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5"/>
      <c r="AU13" s="190"/>
      <c r="AV13" s="190"/>
      <c r="AW13" s="190"/>
      <c r="AX13" s="190"/>
      <c r="AY13" s="190"/>
      <c r="AZ13" s="190"/>
      <c r="BA13" s="190"/>
      <c r="BB13" s="190"/>
      <c r="BC13" s="190"/>
      <c r="BD13" s="201"/>
    </row>
    <row r="14" spans="2:56" ht="12" customHeight="1" x14ac:dyDescent="0.25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5"/>
      <c r="AU14" s="190"/>
      <c r="AV14" s="190"/>
      <c r="AW14" s="190"/>
      <c r="AX14" s="190"/>
      <c r="AY14" s="190"/>
      <c r="AZ14" s="190"/>
      <c r="BA14" s="190"/>
      <c r="BB14" s="190"/>
      <c r="BC14" s="190"/>
      <c r="BD14" s="201"/>
    </row>
    <row r="15" spans="2:56" ht="12" customHeight="1" x14ac:dyDescent="0.25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5"/>
      <c r="AU15" s="190"/>
      <c r="AV15" s="190"/>
      <c r="AW15" s="190"/>
      <c r="AX15" s="190"/>
      <c r="AY15" s="190"/>
      <c r="AZ15" s="190"/>
      <c r="BA15" s="190"/>
      <c r="BB15" s="190"/>
      <c r="BC15" s="190"/>
      <c r="BD15" s="201"/>
    </row>
    <row r="16" spans="2:56" ht="12" customHeight="1" x14ac:dyDescent="0.25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5"/>
      <c r="AU16" s="190"/>
      <c r="AV16" s="190"/>
      <c r="AW16" s="190"/>
      <c r="AX16" s="190"/>
      <c r="AY16" s="190"/>
      <c r="AZ16" s="190"/>
      <c r="BA16" s="190"/>
      <c r="BB16" s="190"/>
      <c r="BC16" s="190"/>
      <c r="BD16" s="201"/>
    </row>
    <row r="17" spans="2:56" ht="12" customHeight="1" x14ac:dyDescent="0.25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72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72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72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6"/>
      <c r="AU17" s="193"/>
      <c r="AV17" s="193"/>
      <c r="AW17" s="193"/>
      <c r="AX17" s="193"/>
      <c r="AY17" s="193"/>
      <c r="AZ17" s="193"/>
      <c r="BA17" s="193"/>
      <c r="BB17" s="193"/>
      <c r="BC17" s="193"/>
      <c r="BD17" s="202"/>
    </row>
    <row r="18" spans="2:56" ht="12" customHeight="1" x14ac:dyDescent="0.25">
      <c r="B18" s="210" t="s">
        <v>232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11" t="s">
        <v>233</v>
      </c>
      <c r="N18" s="208"/>
      <c r="O18" s="208"/>
      <c r="P18" s="208"/>
      <c r="Q18" s="208"/>
      <c r="R18" s="208"/>
      <c r="S18" s="208"/>
      <c r="T18" s="208"/>
      <c r="U18" s="208"/>
      <c r="V18" s="208"/>
      <c r="W18" s="209"/>
      <c r="X18" s="207" t="s">
        <v>234</v>
      </c>
      <c r="Y18" s="208"/>
      <c r="Z18" s="208"/>
      <c r="AA18" s="208"/>
      <c r="AB18" s="208"/>
      <c r="AC18" s="208"/>
      <c r="AD18" s="208"/>
      <c r="AE18" s="208"/>
      <c r="AF18" s="208"/>
      <c r="AG18" s="208"/>
      <c r="AH18" s="209"/>
      <c r="AI18" s="233" t="s">
        <v>235</v>
      </c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180" t="s">
        <v>236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15"/>
    </row>
    <row r="19" spans="2:56" ht="12" customHeight="1" x14ac:dyDescent="0.25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5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34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203"/>
      <c r="AU19" s="187"/>
      <c r="AV19" s="187"/>
      <c r="AW19" s="187"/>
      <c r="AX19" s="187"/>
      <c r="AY19" s="187"/>
      <c r="AZ19" s="187"/>
      <c r="BA19" s="187"/>
      <c r="BB19" s="187"/>
      <c r="BC19" s="187"/>
      <c r="BD19" s="200"/>
    </row>
    <row r="20" spans="2:56" ht="12" customHeight="1" x14ac:dyDescent="0.25">
      <c r="B20" s="204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206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3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236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222"/>
      <c r="AU20" s="190"/>
      <c r="AV20" s="190"/>
      <c r="AW20" s="190"/>
      <c r="AX20" s="190"/>
      <c r="AY20" s="190"/>
      <c r="AZ20" s="190"/>
      <c r="BA20" s="190"/>
      <c r="BB20" s="190"/>
      <c r="BC20" s="190"/>
      <c r="BD20" s="201"/>
    </row>
    <row r="21" spans="2:56" ht="12" customHeight="1" x14ac:dyDescent="0.25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5"/>
      <c r="AU21" s="190"/>
      <c r="AV21" s="190"/>
      <c r="AW21" s="190"/>
      <c r="AX21" s="190"/>
      <c r="AY21" s="190"/>
      <c r="AZ21" s="190"/>
      <c r="BA21" s="190"/>
      <c r="BB21" s="190"/>
      <c r="BC21" s="190"/>
      <c r="BD21" s="201"/>
    </row>
    <row r="22" spans="2:56" ht="12" customHeight="1" x14ac:dyDescent="0.25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5"/>
      <c r="AU22" s="190"/>
      <c r="AV22" s="190"/>
      <c r="AW22" s="190"/>
      <c r="AX22" s="190"/>
      <c r="AY22" s="190"/>
      <c r="AZ22" s="190"/>
      <c r="BA22" s="190"/>
      <c r="BB22" s="190"/>
      <c r="BC22" s="190"/>
      <c r="BD22" s="201"/>
    </row>
    <row r="23" spans="2:56" ht="12" customHeight="1" x14ac:dyDescent="0.25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5"/>
      <c r="AU23" s="190"/>
      <c r="AV23" s="190"/>
      <c r="AW23" s="190"/>
      <c r="AX23" s="190"/>
      <c r="AY23" s="190"/>
      <c r="AZ23" s="190"/>
      <c r="BA23" s="190"/>
      <c r="BB23" s="190"/>
      <c r="BC23" s="190"/>
      <c r="BD23" s="201"/>
    </row>
    <row r="24" spans="2:56" ht="12" customHeight="1" x14ac:dyDescent="0.25"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1"/>
      <c r="M24" s="195"/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5"/>
      <c r="Y24" s="190"/>
      <c r="Z24" s="190"/>
      <c r="AA24" s="190"/>
      <c r="AB24" s="190"/>
      <c r="AC24" s="190"/>
      <c r="AD24" s="190"/>
      <c r="AE24" s="190"/>
      <c r="AF24" s="190"/>
      <c r="AG24" s="190"/>
      <c r="AH24" s="191"/>
      <c r="AI24" s="195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5"/>
      <c r="AU24" s="190"/>
      <c r="AV24" s="190"/>
      <c r="AW24" s="190"/>
      <c r="AX24" s="190"/>
      <c r="AY24" s="190"/>
      <c r="AZ24" s="190"/>
      <c r="BA24" s="190"/>
      <c r="BB24" s="190"/>
      <c r="BC24" s="190"/>
      <c r="BD24" s="201"/>
    </row>
    <row r="25" spans="2:56" ht="12" customHeight="1" x14ac:dyDescent="0.25">
      <c r="B25" s="192"/>
      <c r="C25" s="193"/>
      <c r="D25" s="193"/>
      <c r="E25" s="193"/>
      <c r="F25" s="193"/>
      <c r="G25" s="193"/>
      <c r="H25" s="193"/>
      <c r="I25" s="193"/>
      <c r="J25" s="193"/>
      <c r="K25" s="193"/>
      <c r="L25" s="172"/>
      <c r="M25" s="196"/>
      <c r="N25" s="193"/>
      <c r="O25" s="193"/>
      <c r="P25" s="193"/>
      <c r="Q25" s="193"/>
      <c r="R25" s="193"/>
      <c r="S25" s="193"/>
      <c r="T25" s="193"/>
      <c r="U25" s="193"/>
      <c r="V25" s="193"/>
      <c r="W25" s="172"/>
      <c r="X25" s="196"/>
      <c r="Y25" s="193"/>
      <c r="Z25" s="193"/>
      <c r="AA25" s="193"/>
      <c r="AB25" s="193"/>
      <c r="AC25" s="193"/>
      <c r="AD25" s="193"/>
      <c r="AE25" s="193"/>
      <c r="AF25" s="193"/>
      <c r="AG25" s="193"/>
      <c r="AH25" s="172"/>
      <c r="AI25" s="196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6"/>
      <c r="AU25" s="193"/>
      <c r="AV25" s="193"/>
      <c r="AW25" s="193"/>
      <c r="AX25" s="193"/>
      <c r="AY25" s="193"/>
      <c r="AZ25" s="193"/>
      <c r="BA25" s="193"/>
      <c r="BB25" s="193"/>
      <c r="BC25" s="193"/>
      <c r="BD25" s="202"/>
    </row>
    <row r="26" spans="2:56" ht="12" customHeight="1" x14ac:dyDescent="0.25">
      <c r="B26" s="210" t="s">
        <v>237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9"/>
      <c r="M26" s="226" t="s">
        <v>238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9"/>
      <c r="X26" s="214" t="s">
        <v>239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  <c r="AI26" s="180" t="s">
        <v>240</v>
      </c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180" t="s">
        <v>241</v>
      </c>
      <c r="AU26" s="208"/>
      <c r="AV26" s="208"/>
      <c r="AW26" s="208"/>
      <c r="AX26" s="208"/>
      <c r="AY26" s="208"/>
      <c r="AZ26" s="208"/>
      <c r="BA26" s="208"/>
      <c r="BB26" s="208"/>
      <c r="BC26" s="208"/>
      <c r="BD26" s="215"/>
    </row>
    <row r="27" spans="2:56" ht="12" customHeight="1" x14ac:dyDescent="0.2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8"/>
      <c r="M27" s="212"/>
      <c r="N27" s="187"/>
      <c r="O27" s="187"/>
      <c r="P27" s="187"/>
      <c r="Q27" s="187"/>
      <c r="R27" s="187"/>
      <c r="S27" s="187"/>
      <c r="T27" s="187"/>
      <c r="U27" s="187"/>
      <c r="V27" s="187"/>
      <c r="W27" s="188"/>
      <c r="X27" s="197"/>
      <c r="Y27" s="187"/>
      <c r="Z27" s="187"/>
      <c r="AA27" s="187"/>
      <c r="AB27" s="187"/>
      <c r="AC27" s="187"/>
      <c r="AD27" s="187"/>
      <c r="AE27" s="187"/>
      <c r="AF27" s="187"/>
      <c r="AG27" s="187"/>
      <c r="AH27" s="188"/>
      <c r="AI27" s="203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203"/>
      <c r="AU27" s="187"/>
      <c r="AV27" s="187"/>
      <c r="AW27" s="187"/>
      <c r="AX27" s="187"/>
      <c r="AY27" s="187"/>
      <c r="AZ27" s="187"/>
      <c r="BA27" s="187"/>
      <c r="BB27" s="187"/>
      <c r="BC27" s="187"/>
      <c r="BD27" s="200"/>
    </row>
    <row r="28" spans="2:56" ht="12" customHeight="1" x14ac:dyDescent="0.25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5"/>
      <c r="AU28" s="190"/>
      <c r="AV28" s="190"/>
      <c r="AW28" s="190"/>
      <c r="AX28" s="190"/>
      <c r="AY28" s="190"/>
      <c r="AZ28" s="190"/>
      <c r="BA28" s="190"/>
      <c r="BB28" s="190"/>
      <c r="BC28" s="190"/>
      <c r="BD28" s="201"/>
    </row>
    <row r="29" spans="2:56" ht="12" customHeight="1" x14ac:dyDescent="0.25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5"/>
      <c r="AU29" s="190"/>
      <c r="AV29" s="190"/>
      <c r="AW29" s="190"/>
      <c r="AX29" s="190"/>
      <c r="AY29" s="190"/>
      <c r="AZ29" s="190"/>
      <c r="BA29" s="190"/>
      <c r="BB29" s="190"/>
      <c r="BC29" s="190"/>
      <c r="BD29" s="201"/>
    </row>
    <row r="30" spans="2:56" ht="12" customHeight="1" x14ac:dyDescent="0.25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5"/>
      <c r="AU30" s="190"/>
      <c r="AV30" s="190"/>
      <c r="AW30" s="190"/>
      <c r="AX30" s="190"/>
      <c r="AY30" s="190"/>
      <c r="AZ30" s="190"/>
      <c r="BA30" s="190"/>
      <c r="BB30" s="190"/>
      <c r="BC30" s="190"/>
      <c r="BD30" s="201"/>
    </row>
    <row r="31" spans="2:56" ht="12" customHeight="1" x14ac:dyDescent="0.25"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1"/>
      <c r="M31" s="195"/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5"/>
      <c r="Y31" s="190"/>
      <c r="Z31" s="190"/>
      <c r="AA31" s="190"/>
      <c r="AB31" s="190"/>
      <c r="AC31" s="190"/>
      <c r="AD31" s="190"/>
      <c r="AE31" s="190"/>
      <c r="AF31" s="190"/>
      <c r="AG31" s="190"/>
      <c r="AH31" s="191"/>
      <c r="AI31" s="195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5"/>
      <c r="AU31" s="190"/>
      <c r="AV31" s="190"/>
      <c r="AW31" s="190"/>
      <c r="AX31" s="190"/>
      <c r="AY31" s="190"/>
      <c r="AZ31" s="190"/>
      <c r="BA31" s="190"/>
      <c r="BB31" s="190"/>
      <c r="BC31" s="190"/>
      <c r="BD31" s="201"/>
    </row>
    <row r="32" spans="2:56" ht="12" customHeight="1" x14ac:dyDescent="0.25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1"/>
      <c r="M32" s="195"/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5"/>
      <c r="Y32" s="190"/>
      <c r="Z32" s="190"/>
      <c r="AA32" s="190"/>
      <c r="AB32" s="190"/>
      <c r="AC32" s="190"/>
      <c r="AD32" s="190"/>
      <c r="AE32" s="190"/>
      <c r="AF32" s="190"/>
      <c r="AG32" s="190"/>
      <c r="AH32" s="191"/>
      <c r="AI32" s="195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5"/>
      <c r="AU32" s="190"/>
      <c r="AV32" s="190"/>
      <c r="AW32" s="190"/>
      <c r="AX32" s="190"/>
      <c r="AY32" s="190"/>
      <c r="AZ32" s="190"/>
      <c r="BA32" s="190"/>
      <c r="BB32" s="190"/>
      <c r="BC32" s="190"/>
      <c r="BD32" s="201"/>
    </row>
    <row r="33" spans="2:56" ht="12" customHeight="1" x14ac:dyDescent="0.25">
      <c r="B33" s="192"/>
      <c r="C33" s="193"/>
      <c r="D33" s="193"/>
      <c r="E33" s="193"/>
      <c r="F33" s="193"/>
      <c r="G33" s="193"/>
      <c r="H33" s="193"/>
      <c r="I33" s="193"/>
      <c r="J33" s="193"/>
      <c r="K33" s="193"/>
      <c r="L33" s="172"/>
      <c r="M33" s="196"/>
      <c r="N33" s="193"/>
      <c r="O33" s="193"/>
      <c r="P33" s="193"/>
      <c r="Q33" s="193"/>
      <c r="R33" s="193"/>
      <c r="S33" s="193"/>
      <c r="T33" s="193"/>
      <c r="U33" s="193"/>
      <c r="V33" s="193"/>
      <c r="W33" s="172"/>
      <c r="X33" s="196"/>
      <c r="Y33" s="193"/>
      <c r="Z33" s="193"/>
      <c r="AA33" s="193"/>
      <c r="AB33" s="193"/>
      <c r="AC33" s="193"/>
      <c r="AD33" s="193"/>
      <c r="AE33" s="193"/>
      <c r="AF33" s="193"/>
      <c r="AG33" s="193"/>
      <c r="AH33" s="172"/>
      <c r="AI33" s="196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6"/>
      <c r="AU33" s="193"/>
      <c r="AV33" s="193"/>
      <c r="AW33" s="193"/>
      <c r="AX33" s="193"/>
      <c r="AY33" s="193"/>
      <c r="AZ33" s="193"/>
      <c r="BA33" s="193"/>
      <c r="BB33" s="193"/>
      <c r="BC33" s="193"/>
      <c r="BD33" s="202"/>
    </row>
    <row r="34" spans="2:56" ht="12" customHeight="1" x14ac:dyDescent="0.25">
      <c r="B34" s="210" t="s">
        <v>242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9"/>
      <c r="M34" s="213" t="s">
        <v>243</v>
      </c>
      <c r="N34" s="208"/>
      <c r="O34" s="208"/>
      <c r="P34" s="208"/>
      <c r="Q34" s="208"/>
      <c r="R34" s="208"/>
      <c r="S34" s="208"/>
      <c r="T34" s="208"/>
      <c r="U34" s="208"/>
      <c r="V34" s="208"/>
      <c r="W34" s="209"/>
      <c r="X34" s="214" t="s">
        <v>244</v>
      </c>
      <c r="Y34" s="208"/>
      <c r="Z34" s="208"/>
      <c r="AA34" s="208"/>
      <c r="AB34" s="208"/>
      <c r="AC34" s="208"/>
      <c r="AD34" s="208"/>
      <c r="AE34" s="208"/>
      <c r="AF34" s="208"/>
      <c r="AG34" s="208"/>
      <c r="AH34" s="209"/>
      <c r="AI34" s="180" t="s">
        <v>245</v>
      </c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180" t="s">
        <v>246</v>
      </c>
      <c r="AU34" s="208"/>
      <c r="AV34" s="208"/>
      <c r="AW34" s="208"/>
      <c r="AX34" s="208"/>
      <c r="AY34" s="208"/>
      <c r="AZ34" s="208"/>
      <c r="BA34" s="208"/>
      <c r="BB34" s="208"/>
      <c r="BC34" s="208"/>
      <c r="BD34" s="215"/>
    </row>
    <row r="35" spans="2:56" ht="12" customHeight="1" x14ac:dyDescent="0.25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194"/>
      <c r="N35" s="187"/>
      <c r="O35" s="187"/>
      <c r="P35" s="187"/>
      <c r="Q35" s="187"/>
      <c r="R35" s="187"/>
      <c r="S35" s="187"/>
      <c r="T35" s="187"/>
      <c r="U35" s="187"/>
      <c r="V35" s="187"/>
      <c r="W35" s="188"/>
      <c r="X35" s="197"/>
      <c r="Y35" s="187"/>
      <c r="Z35" s="187"/>
      <c r="AA35" s="187"/>
      <c r="AB35" s="187"/>
      <c r="AC35" s="187"/>
      <c r="AD35" s="187"/>
      <c r="AE35" s="187"/>
      <c r="AF35" s="187"/>
      <c r="AG35" s="187"/>
      <c r="AH35" s="188"/>
      <c r="AI35" s="203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203"/>
      <c r="AU35" s="187"/>
      <c r="AV35" s="187"/>
      <c r="AW35" s="187"/>
      <c r="AX35" s="187"/>
      <c r="AY35" s="187"/>
      <c r="AZ35" s="187"/>
      <c r="BA35" s="187"/>
      <c r="BB35" s="187"/>
      <c r="BC35" s="187"/>
      <c r="BD35" s="200"/>
    </row>
    <row r="36" spans="2:56" ht="12" customHeight="1" x14ac:dyDescent="0.25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5"/>
      <c r="AU36" s="190"/>
      <c r="AV36" s="190"/>
      <c r="AW36" s="190"/>
      <c r="AX36" s="190"/>
      <c r="AY36" s="190"/>
      <c r="AZ36" s="190"/>
      <c r="BA36" s="190"/>
      <c r="BB36" s="190"/>
      <c r="BC36" s="190"/>
      <c r="BD36" s="201"/>
    </row>
    <row r="37" spans="2:56" ht="12" customHeight="1" x14ac:dyDescent="0.25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5"/>
      <c r="AU37" s="190"/>
      <c r="AV37" s="190"/>
      <c r="AW37" s="190"/>
      <c r="AX37" s="190"/>
      <c r="AY37" s="190"/>
      <c r="AZ37" s="190"/>
      <c r="BA37" s="190"/>
      <c r="BB37" s="190"/>
      <c r="BC37" s="190"/>
      <c r="BD37" s="201"/>
    </row>
    <row r="38" spans="2:56" ht="12" customHeight="1" x14ac:dyDescent="0.25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95"/>
      <c r="N38" s="190"/>
      <c r="O38" s="190"/>
      <c r="P38" s="190"/>
      <c r="Q38" s="190"/>
      <c r="R38" s="190"/>
      <c r="S38" s="190"/>
      <c r="T38" s="190"/>
      <c r="U38" s="190"/>
      <c r="V38" s="190"/>
      <c r="W38" s="191"/>
      <c r="X38" s="195"/>
      <c r="Y38" s="190"/>
      <c r="Z38" s="190"/>
      <c r="AA38" s="190"/>
      <c r="AB38" s="190"/>
      <c r="AC38" s="190"/>
      <c r="AD38" s="190"/>
      <c r="AE38" s="190"/>
      <c r="AF38" s="190"/>
      <c r="AG38" s="190"/>
      <c r="AH38" s="191"/>
      <c r="AI38" s="195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5"/>
      <c r="AU38" s="190"/>
      <c r="AV38" s="190"/>
      <c r="AW38" s="190"/>
      <c r="AX38" s="190"/>
      <c r="AY38" s="190"/>
      <c r="AZ38" s="190"/>
      <c r="BA38" s="190"/>
      <c r="BB38" s="190"/>
      <c r="BC38" s="190"/>
      <c r="BD38" s="201"/>
    </row>
    <row r="39" spans="2:56" ht="12" customHeight="1" x14ac:dyDescent="0.25"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95"/>
      <c r="N39" s="190"/>
      <c r="O39" s="190"/>
      <c r="P39" s="190"/>
      <c r="Q39" s="190"/>
      <c r="R39" s="190"/>
      <c r="S39" s="190"/>
      <c r="T39" s="190"/>
      <c r="U39" s="190"/>
      <c r="V39" s="190"/>
      <c r="W39" s="191"/>
      <c r="X39" s="195"/>
      <c r="Y39" s="190"/>
      <c r="Z39" s="190"/>
      <c r="AA39" s="190"/>
      <c r="AB39" s="190"/>
      <c r="AC39" s="190"/>
      <c r="AD39" s="190"/>
      <c r="AE39" s="190"/>
      <c r="AF39" s="190"/>
      <c r="AG39" s="190"/>
      <c r="AH39" s="191"/>
      <c r="AI39" s="195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5"/>
      <c r="AU39" s="190"/>
      <c r="AV39" s="190"/>
      <c r="AW39" s="190"/>
      <c r="AX39" s="190"/>
      <c r="AY39" s="190"/>
      <c r="AZ39" s="190"/>
      <c r="BA39" s="190"/>
      <c r="BB39" s="190"/>
      <c r="BC39" s="190"/>
      <c r="BD39" s="201"/>
    </row>
    <row r="40" spans="2:56" ht="12" customHeight="1" x14ac:dyDescent="0.25"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95"/>
      <c r="N40" s="190"/>
      <c r="O40" s="190"/>
      <c r="P40" s="190"/>
      <c r="Q40" s="190"/>
      <c r="R40" s="190"/>
      <c r="S40" s="190"/>
      <c r="T40" s="190"/>
      <c r="U40" s="190"/>
      <c r="V40" s="190"/>
      <c r="W40" s="191"/>
      <c r="X40" s="195"/>
      <c r="Y40" s="190"/>
      <c r="Z40" s="190"/>
      <c r="AA40" s="190"/>
      <c r="AB40" s="190"/>
      <c r="AC40" s="190"/>
      <c r="AD40" s="190"/>
      <c r="AE40" s="190"/>
      <c r="AF40" s="190"/>
      <c r="AG40" s="190"/>
      <c r="AH40" s="191"/>
      <c r="AI40" s="195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5"/>
      <c r="AU40" s="190"/>
      <c r="AV40" s="190"/>
      <c r="AW40" s="190"/>
      <c r="AX40" s="190"/>
      <c r="AY40" s="190"/>
      <c r="AZ40" s="190"/>
      <c r="BA40" s="190"/>
      <c r="BB40" s="190"/>
      <c r="BC40" s="190"/>
      <c r="BD40" s="201"/>
    </row>
    <row r="41" spans="2:56" ht="12" customHeight="1" x14ac:dyDescent="0.25">
      <c r="B41" s="192"/>
      <c r="C41" s="193"/>
      <c r="D41" s="193"/>
      <c r="E41" s="193"/>
      <c r="F41" s="193"/>
      <c r="G41" s="193"/>
      <c r="H41" s="193"/>
      <c r="I41" s="193"/>
      <c r="J41" s="193"/>
      <c r="K41" s="193"/>
      <c r="L41" s="172"/>
      <c r="M41" s="196"/>
      <c r="N41" s="193"/>
      <c r="O41" s="193"/>
      <c r="P41" s="193"/>
      <c r="Q41" s="193"/>
      <c r="R41" s="193"/>
      <c r="S41" s="193"/>
      <c r="T41" s="193"/>
      <c r="U41" s="193"/>
      <c r="V41" s="193"/>
      <c r="W41" s="172"/>
      <c r="X41" s="196"/>
      <c r="Y41" s="193"/>
      <c r="Z41" s="193"/>
      <c r="AA41" s="193"/>
      <c r="AB41" s="193"/>
      <c r="AC41" s="193"/>
      <c r="AD41" s="193"/>
      <c r="AE41" s="193"/>
      <c r="AF41" s="193"/>
      <c r="AG41" s="193"/>
      <c r="AH41" s="172"/>
      <c r="AI41" s="196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6"/>
      <c r="AU41" s="193"/>
      <c r="AV41" s="193"/>
      <c r="AW41" s="193"/>
      <c r="AX41" s="193"/>
      <c r="AY41" s="193"/>
      <c r="AZ41" s="193"/>
      <c r="BA41" s="193"/>
      <c r="BB41" s="193"/>
      <c r="BC41" s="193"/>
      <c r="BD41" s="202"/>
    </row>
    <row r="42" spans="2:56" ht="12" customHeight="1" x14ac:dyDescent="0.25">
      <c r="B42" s="210" t="s">
        <v>247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9"/>
      <c r="M42" s="213" t="s">
        <v>248</v>
      </c>
      <c r="N42" s="208"/>
      <c r="O42" s="208"/>
      <c r="P42" s="208"/>
      <c r="Q42" s="208"/>
      <c r="R42" s="208"/>
      <c r="S42" s="208"/>
      <c r="T42" s="208"/>
      <c r="U42" s="208"/>
      <c r="V42" s="208"/>
      <c r="W42" s="209"/>
      <c r="X42" s="214" t="s">
        <v>353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9"/>
      <c r="AI42" s="180" t="s">
        <v>249</v>
      </c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180" t="s">
        <v>250</v>
      </c>
      <c r="AU42" s="208"/>
      <c r="AV42" s="208"/>
      <c r="AW42" s="208"/>
      <c r="AX42" s="208"/>
      <c r="AY42" s="208"/>
      <c r="AZ42" s="208"/>
      <c r="BA42" s="208"/>
      <c r="BB42" s="208"/>
      <c r="BC42" s="208"/>
      <c r="BD42" s="215"/>
    </row>
    <row r="43" spans="2:56" ht="12" customHeight="1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8"/>
      <c r="M43" s="194"/>
      <c r="N43" s="187"/>
      <c r="O43" s="187"/>
      <c r="P43" s="187"/>
      <c r="Q43" s="187"/>
      <c r="R43" s="187"/>
      <c r="S43" s="187"/>
      <c r="T43" s="187"/>
      <c r="U43" s="187"/>
      <c r="V43" s="187"/>
      <c r="W43" s="188"/>
      <c r="X43" s="197"/>
      <c r="Y43" s="187"/>
      <c r="Z43" s="187"/>
      <c r="AA43" s="187"/>
      <c r="AB43" s="187"/>
      <c r="AC43" s="187"/>
      <c r="AD43" s="187"/>
      <c r="AE43" s="187"/>
      <c r="AF43" s="187"/>
      <c r="AG43" s="187"/>
      <c r="AH43" s="188"/>
      <c r="AI43" s="203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203"/>
      <c r="AU43" s="187"/>
      <c r="AV43" s="187"/>
      <c r="AW43" s="187"/>
      <c r="AX43" s="187"/>
      <c r="AY43" s="187"/>
      <c r="AZ43" s="187"/>
      <c r="BA43" s="187"/>
      <c r="BB43" s="187"/>
      <c r="BC43" s="187"/>
      <c r="BD43" s="200"/>
    </row>
    <row r="44" spans="2:56" ht="12" customHeight="1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5"/>
      <c r="AU44" s="190"/>
      <c r="AV44" s="190"/>
      <c r="AW44" s="190"/>
      <c r="AX44" s="190"/>
      <c r="AY44" s="190"/>
      <c r="AZ44" s="190"/>
      <c r="BA44" s="190"/>
      <c r="BB44" s="190"/>
      <c r="BC44" s="190"/>
      <c r="BD44" s="201"/>
    </row>
    <row r="45" spans="2:56" ht="12" customHeight="1" x14ac:dyDescent="0.25"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1"/>
      <c r="M45" s="195"/>
      <c r="N45" s="190"/>
      <c r="O45" s="190"/>
      <c r="P45" s="190"/>
      <c r="Q45" s="190"/>
      <c r="R45" s="190"/>
      <c r="S45" s="190"/>
      <c r="T45" s="190"/>
      <c r="U45" s="190"/>
      <c r="V45" s="190"/>
      <c r="W45" s="191"/>
      <c r="X45" s="195"/>
      <c r="Y45" s="190"/>
      <c r="Z45" s="190"/>
      <c r="AA45" s="190"/>
      <c r="AB45" s="190"/>
      <c r="AC45" s="190"/>
      <c r="AD45" s="190"/>
      <c r="AE45" s="190"/>
      <c r="AF45" s="190"/>
      <c r="AG45" s="190"/>
      <c r="AH45" s="191"/>
      <c r="AI45" s="195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5"/>
      <c r="AU45" s="190"/>
      <c r="AV45" s="190"/>
      <c r="AW45" s="190"/>
      <c r="AX45" s="190"/>
      <c r="AY45" s="190"/>
      <c r="AZ45" s="190"/>
      <c r="BA45" s="190"/>
      <c r="BB45" s="190"/>
      <c r="BC45" s="190"/>
      <c r="BD45" s="201"/>
    </row>
    <row r="46" spans="2:56" ht="12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1"/>
      <c r="M46" s="195"/>
      <c r="N46" s="190"/>
      <c r="O46" s="190"/>
      <c r="P46" s="190"/>
      <c r="Q46" s="190"/>
      <c r="R46" s="190"/>
      <c r="S46" s="190"/>
      <c r="T46" s="190"/>
      <c r="U46" s="190"/>
      <c r="V46" s="190"/>
      <c r="W46" s="191"/>
      <c r="X46" s="195"/>
      <c r="Y46" s="190"/>
      <c r="Z46" s="190"/>
      <c r="AA46" s="190"/>
      <c r="AB46" s="190"/>
      <c r="AC46" s="190"/>
      <c r="AD46" s="190"/>
      <c r="AE46" s="190"/>
      <c r="AF46" s="190"/>
      <c r="AG46" s="190"/>
      <c r="AH46" s="191"/>
      <c r="AI46" s="195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5"/>
      <c r="AU46" s="190"/>
      <c r="AV46" s="190"/>
      <c r="AW46" s="190"/>
      <c r="AX46" s="190"/>
      <c r="AY46" s="190"/>
      <c r="AZ46" s="190"/>
      <c r="BA46" s="190"/>
      <c r="BB46" s="190"/>
      <c r="BC46" s="190"/>
      <c r="BD46" s="201"/>
    </row>
    <row r="47" spans="2:56" ht="12" customHeight="1" x14ac:dyDescent="0.25"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95"/>
      <c r="N47" s="190"/>
      <c r="O47" s="190"/>
      <c r="P47" s="190"/>
      <c r="Q47" s="190"/>
      <c r="R47" s="190"/>
      <c r="S47" s="190"/>
      <c r="T47" s="190"/>
      <c r="U47" s="190"/>
      <c r="V47" s="190"/>
      <c r="W47" s="191"/>
      <c r="X47" s="195"/>
      <c r="Y47" s="190"/>
      <c r="Z47" s="190"/>
      <c r="AA47" s="190"/>
      <c r="AB47" s="190"/>
      <c r="AC47" s="190"/>
      <c r="AD47" s="190"/>
      <c r="AE47" s="190"/>
      <c r="AF47" s="190"/>
      <c r="AG47" s="190"/>
      <c r="AH47" s="191"/>
      <c r="AI47" s="195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5"/>
      <c r="AU47" s="190"/>
      <c r="AV47" s="190"/>
      <c r="AW47" s="190"/>
      <c r="AX47" s="190"/>
      <c r="AY47" s="190"/>
      <c r="AZ47" s="190"/>
      <c r="BA47" s="190"/>
      <c r="BB47" s="190"/>
      <c r="BC47" s="190"/>
      <c r="BD47" s="201"/>
    </row>
    <row r="48" spans="2:56" ht="12" customHeight="1" x14ac:dyDescent="0.25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5"/>
      <c r="AU48" s="190"/>
      <c r="AV48" s="190"/>
      <c r="AW48" s="190"/>
      <c r="AX48" s="190"/>
      <c r="AY48" s="190"/>
      <c r="AZ48" s="190"/>
      <c r="BA48" s="190"/>
      <c r="BB48" s="190"/>
      <c r="BC48" s="190"/>
      <c r="BD48" s="201"/>
    </row>
    <row r="49" spans="2:56" ht="12" customHeight="1" x14ac:dyDescent="0.25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72"/>
      <c r="M49" s="196"/>
      <c r="N49" s="193"/>
      <c r="O49" s="193"/>
      <c r="P49" s="193"/>
      <c r="Q49" s="193"/>
      <c r="R49" s="193"/>
      <c r="S49" s="193"/>
      <c r="T49" s="193"/>
      <c r="U49" s="193"/>
      <c r="V49" s="193"/>
      <c r="W49" s="172"/>
      <c r="X49" s="196"/>
      <c r="Y49" s="193"/>
      <c r="Z49" s="193"/>
      <c r="AA49" s="193"/>
      <c r="AB49" s="193"/>
      <c r="AC49" s="193"/>
      <c r="AD49" s="193"/>
      <c r="AE49" s="193"/>
      <c r="AF49" s="193"/>
      <c r="AG49" s="193"/>
      <c r="AH49" s="172"/>
      <c r="AI49" s="196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6"/>
      <c r="AU49" s="193"/>
      <c r="AV49" s="193"/>
      <c r="AW49" s="193"/>
      <c r="AX49" s="193"/>
      <c r="AY49" s="193"/>
      <c r="AZ49" s="193"/>
      <c r="BA49" s="193"/>
      <c r="BB49" s="193"/>
      <c r="BC49" s="193"/>
      <c r="BD49" s="202"/>
    </row>
    <row r="50" spans="2:56" ht="12" customHeight="1" x14ac:dyDescent="0.25">
      <c r="B50" s="210" t="s">
        <v>354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M50" s="226" t="s">
        <v>251</v>
      </c>
      <c r="N50" s="208"/>
      <c r="O50" s="208"/>
      <c r="P50" s="208"/>
      <c r="Q50" s="208"/>
      <c r="R50" s="208"/>
      <c r="S50" s="208"/>
      <c r="T50" s="208"/>
      <c r="U50" s="208"/>
      <c r="V50" s="208"/>
      <c r="W50" s="209"/>
      <c r="X50" s="214" t="s">
        <v>252</v>
      </c>
      <c r="Y50" s="208"/>
      <c r="Z50" s="208"/>
      <c r="AA50" s="208"/>
      <c r="AB50" s="208"/>
      <c r="AC50" s="208"/>
      <c r="AD50" s="208"/>
      <c r="AE50" s="208"/>
      <c r="AF50" s="208"/>
      <c r="AG50" s="208"/>
      <c r="AH50" s="209"/>
      <c r="AI50" s="180" t="s">
        <v>253</v>
      </c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180" t="s">
        <v>254</v>
      </c>
      <c r="AU50" s="208"/>
      <c r="AV50" s="208"/>
      <c r="AW50" s="208"/>
      <c r="AX50" s="208"/>
      <c r="AY50" s="208"/>
      <c r="AZ50" s="208"/>
      <c r="BA50" s="208"/>
      <c r="BB50" s="208"/>
      <c r="BC50" s="208"/>
      <c r="BD50" s="215"/>
    </row>
    <row r="51" spans="2:56" ht="12" customHeight="1" x14ac:dyDescent="0.25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8"/>
      <c r="M51" s="194"/>
      <c r="N51" s="187"/>
      <c r="O51" s="187"/>
      <c r="P51" s="187"/>
      <c r="Q51" s="187"/>
      <c r="R51" s="187"/>
      <c r="S51" s="187"/>
      <c r="T51" s="187"/>
      <c r="U51" s="187"/>
      <c r="V51" s="187"/>
      <c r="W51" s="188"/>
      <c r="X51" s="197"/>
      <c r="Y51" s="187"/>
      <c r="Z51" s="187"/>
      <c r="AA51" s="187"/>
      <c r="AB51" s="187"/>
      <c r="AC51" s="187"/>
      <c r="AD51" s="187"/>
      <c r="AE51" s="187"/>
      <c r="AF51" s="187"/>
      <c r="AG51" s="187"/>
      <c r="AH51" s="188"/>
      <c r="AI51" s="203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203"/>
      <c r="AU51" s="187"/>
      <c r="AV51" s="187"/>
      <c r="AW51" s="187"/>
      <c r="AX51" s="187"/>
      <c r="AY51" s="187"/>
      <c r="AZ51" s="187"/>
      <c r="BA51" s="187"/>
      <c r="BB51" s="187"/>
      <c r="BC51" s="187"/>
      <c r="BD51" s="200"/>
    </row>
    <row r="52" spans="2:56" ht="12" customHeight="1" x14ac:dyDescent="0.25">
      <c r="B52" s="204"/>
      <c r="C52" s="190"/>
      <c r="D52" s="190"/>
      <c r="E52" s="190"/>
      <c r="F52" s="190"/>
      <c r="G52" s="190"/>
      <c r="H52" s="190"/>
      <c r="I52" s="190"/>
      <c r="J52" s="190"/>
      <c r="K52" s="190"/>
      <c r="L52" s="191"/>
      <c r="M52" s="224"/>
      <c r="N52" s="190"/>
      <c r="O52" s="190"/>
      <c r="P52" s="190"/>
      <c r="Q52" s="190"/>
      <c r="R52" s="190"/>
      <c r="S52" s="190"/>
      <c r="T52" s="190"/>
      <c r="U52" s="190"/>
      <c r="V52" s="190"/>
      <c r="W52" s="191"/>
      <c r="X52" s="221"/>
      <c r="Y52" s="190"/>
      <c r="Z52" s="190"/>
      <c r="AA52" s="190"/>
      <c r="AB52" s="190"/>
      <c r="AC52" s="190"/>
      <c r="AD52" s="190"/>
      <c r="AE52" s="190"/>
      <c r="AF52" s="190"/>
      <c r="AG52" s="190"/>
      <c r="AH52" s="191"/>
      <c r="AI52" s="222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222"/>
      <c r="AU52" s="190"/>
      <c r="AV52" s="190"/>
      <c r="AW52" s="190"/>
      <c r="AX52" s="190"/>
      <c r="AY52" s="190"/>
      <c r="AZ52" s="190"/>
      <c r="BA52" s="190"/>
      <c r="BB52" s="190"/>
      <c r="BC52" s="190"/>
      <c r="BD52" s="201"/>
    </row>
    <row r="53" spans="2:56" ht="12" customHeight="1" x14ac:dyDescent="0.25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1"/>
      <c r="M53" s="195"/>
      <c r="N53" s="190"/>
      <c r="O53" s="190"/>
      <c r="P53" s="190"/>
      <c r="Q53" s="190"/>
      <c r="R53" s="190"/>
      <c r="S53" s="190"/>
      <c r="T53" s="190"/>
      <c r="U53" s="190"/>
      <c r="V53" s="190"/>
      <c r="W53" s="191"/>
      <c r="X53" s="195"/>
      <c r="Y53" s="190"/>
      <c r="Z53" s="190"/>
      <c r="AA53" s="190"/>
      <c r="AB53" s="190"/>
      <c r="AC53" s="190"/>
      <c r="AD53" s="190"/>
      <c r="AE53" s="190"/>
      <c r="AF53" s="190"/>
      <c r="AG53" s="190"/>
      <c r="AH53" s="191"/>
      <c r="AI53" s="195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5"/>
      <c r="AU53" s="190"/>
      <c r="AV53" s="190"/>
      <c r="AW53" s="190"/>
      <c r="AX53" s="190"/>
      <c r="AY53" s="190"/>
      <c r="AZ53" s="190"/>
      <c r="BA53" s="190"/>
      <c r="BB53" s="190"/>
      <c r="BC53" s="190"/>
      <c r="BD53" s="201"/>
    </row>
    <row r="54" spans="2:56" ht="12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1"/>
      <c r="M54" s="195"/>
      <c r="N54" s="190"/>
      <c r="O54" s="190"/>
      <c r="P54" s="190"/>
      <c r="Q54" s="190"/>
      <c r="R54" s="190"/>
      <c r="S54" s="190"/>
      <c r="T54" s="190"/>
      <c r="U54" s="190"/>
      <c r="V54" s="190"/>
      <c r="W54" s="191"/>
      <c r="X54" s="195"/>
      <c r="Y54" s="190"/>
      <c r="Z54" s="190"/>
      <c r="AA54" s="190"/>
      <c r="AB54" s="190"/>
      <c r="AC54" s="190"/>
      <c r="AD54" s="190"/>
      <c r="AE54" s="190"/>
      <c r="AF54" s="190"/>
      <c r="AG54" s="190"/>
      <c r="AH54" s="191"/>
      <c r="AI54" s="195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5"/>
      <c r="AU54" s="190"/>
      <c r="AV54" s="190"/>
      <c r="AW54" s="190"/>
      <c r="AX54" s="190"/>
      <c r="AY54" s="190"/>
      <c r="AZ54" s="190"/>
      <c r="BA54" s="190"/>
      <c r="BB54" s="190"/>
      <c r="BC54" s="190"/>
      <c r="BD54" s="201"/>
    </row>
    <row r="55" spans="2:56" ht="12" customHeight="1" x14ac:dyDescent="0.25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5"/>
      <c r="AU55" s="190"/>
      <c r="AV55" s="190"/>
      <c r="AW55" s="190"/>
      <c r="AX55" s="190"/>
      <c r="AY55" s="190"/>
      <c r="AZ55" s="190"/>
      <c r="BA55" s="190"/>
      <c r="BB55" s="190"/>
      <c r="BC55" s="190"/>
      <c r="BD55" s="201"/>
    </row>
    <row r="56" spans="2:56" ht="12" customHeight="1" x14ac:dyDescent="0.25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5"/>
      <c r="AU56" s="190"/>
      <c r="AV56" s="190"/>
      <c r="AW56" s="190"/>
      <c r="AX56" s="190"/>
      <c r="AY56" s="190"/>
      <c r="AZ56" s="190"/>
      <c r="BA56" s="190"/>
      <c r="BB56" s="190"/>
      <c r="BC56" s="190"/>
      <c r="BD56" s="201"/>
    </row>
    <row r="57" spans="2:56" ht="12" customHeight="1" x14ac:dyDescent="0.25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72"/>
      <c r="M57" s="196"/>
      <c r="N57" s="193"/>
      <c r="O57" s="193"/>
      <c r="P57" s="193"/>
      <c r="Q57" s="193"/>
      <c r="R57" s="193"/>
      <c r="S57" s="193"/>
      <c r="T57" s="193"/>
      <c r="U57" s="193"/>
      <c r="V57" s="193"/>
      <c r="W57" s="172"/>
      <c r="X57" s="196"/>
      <c r="Y57" s="193"/>
      <c r="Z57" s="193"/>
      <c r="AA57" s="193"/>
      <c r="AB57" s="193"/>
      <c r="AC57" s="193"/>
      <c r="AD57" s="193"/>
      <c r="AE57" s="193"/>
      <c r="AF57" s="193"/>
      <c r="AG57" s="193"/>
      <c r="AH57" s="172"/>
      <c r="AI57" s="196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6"/>
      <c r="AU57" s="193"/>
      <c r="AV57" s="193"/>
      <c r="AW57" s="193"/>
      <c r="AX57" s="193"/>
      <c r="AY57" s="193"/>
      <c r="AZ57" s="193"/>
      <c r="BA57" s="193"/>
      <c r="BB57" s="193"/>
      <c r="BC57" s="193"/>
      <c r="BD57" s="202"/>
    </row>
    <row r="58" spans="2:56" ht="12" customHeight="1" x14ac:dyDescent="0.25">
      <c r="B58" s="210" t="s">
        <v>255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9"/>
      <c r="M58" s="213" t="s">
        <v>256</v>
      </c>
      <c r="N58" s="208"/>
      <c r="O58" s="208"/>
      <c r="P58" s="208"/>
      <c r="Q58" s="208"/>
      <c r="R58" s="208"/>
      <c r="S58" s="208"/>
      <c r="T58" s="208"/>
      <c r="U58" s="208"/>
      <c r="V58" s="208"/>
      <c r="W58" s="209"/>
      <c r="X58" s="214" t="s">
        <v>257</v>
      </c>
      <c r="Y58" s="208"/>
      <c r="Z58" s="208"/>
      <c r="AA58" s="208"/>
      <c r="AB58" s="208"/>
      <c r="AC58" s="208"/>
      <c r="AD58" s="208"/>
      <c r="AE58" s="208"/>
      <c r="AF58" s="208"/>
      <c r="AG58" s="208"/>
      <c r="AH58" s="209"/>
      <c r="AI58" s="180" t="s">
        <v>258</v>
      </c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180" t="s">
        <v>259</v>
      </c>
      <c r="AU58" s="208"/>
      <c r="AV58" s="208"/>
      <c r="AW58" s="208"/>
      <c r="AX58" s="208"/>
      <c r="AY58" s="208"/>
      <c r="AZ58" s="208"/>
      <c r="BA58" s="208"/>
      <c r="BB58" s="208"/>
      <c r="BC58" s="208"/>
      <c r="BD58" s="215"/>
    </row>
    <row r="59" spans="2:56" ht="12" customHeight="1" x14ac:dyDescent="0.25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8"/>
      <c r="M59" s="212"/>
      <c r="N59" s="187"/>
      <c r="O59" s="187"/>
      <c r="P59" s="187"/>
      <c r="Q59" s="187"/>
      <c r="R59" s="187"/>
      <c r="S59" s="187"/>
      <c r="T59" s="187"/>
      <c r="U59" s="187"/>
      <c r="V59" s="187"/>
      <c r="W59" s="188"/>
      <c r="X59" s="197"/>
      <c r="Y59" s="187"/>
      <c r="Z59" s="187"/>
      <c r="AA59" s="187"/>
      <c r="AB59" s="187"/>
      <c r="AC59" s="187"/>
      <c r="AD59" s="187"/>
      <c r="AE59" s="187"/>
      <c r="AF59" s="187"/>
      <c r="AG59" s="187"/>
      <c r="AH59" s="188"/>
      <c r="AI59" s="203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203"/>
      <c r="AU59" s="187"/>
      <c r="AV59" s="187"/>
      <c r="AW59" s="187"/>
      <c r="AX59" s="187"/>
      <c r="AY59" s="187"/>
      <c r="AZ59" s="187"/>
      <c r="BA59" s="187"/>
      <c r="BB59" s="187"/>
      <c r="BC59" s="187"/>
      <c r="BD59" s="200"/>
    </row>
    <row r="60" spans="2:56" ht="12" customHeight="1" x14ac:dyDescent="0.25">
      <c r="B60" s="204" t="s">
        <v>369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1"/>
      <c r="M60" s="219"/>
      <c r="N60" s="190"/>
      <c r="O60" s="190"/>
      <c r="P60" s="190"/>
      <c r="Q60" s="190"/>
      <c r="R60" s="190"/>
      <c r="S60" s="190"/>
      <c r="T60" s="190"/>
      <c r="U60" s="190"/>
      <c r="V60" s="190"/>
      <c r="W60" s="191"/>
      <c r="X60" s="221"/>
      <c r="Y60" s="190"/>
      <c r="Z60" s="190"/>
      <c r="AA60" s="190"/>
      <c r="AB60" s="190"/>
      <c r="AC60" s="190"/>
      <c r="AD60" s="190"/>
      <c r="AE60" s="190"/>
      <c r="AF60" s="190"/>
      <c r="AG60" s="190"/>
      <c r="AH60" s="191"/>
      <c r="AI60" s="222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222"/>
      <c r="AU60" s="190"/>
      <c r="AV60" s="190"/>
      <c r="AW60" s="190"/>
      <c r="AX60" s="190"/>
      <c r="AY60" s="190"/>
      <c r="AZ60" s="190"/>
      <c r="BA60" s="190"/>
      <c r="BB60" s="190"/>
      <c r="BC60" s="190"/>
      <c r="BD60" s="201"/>
    </row>
    <row r="61" spans="2:56" ht="12" customHeight="1" x14ac:dyDescent="0.25"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1"/>
      <c r="M61" s="195"/>
      <c r="N61" s="190"/>
      <c r="O61" s="190"/>
      <c r="P61" s="190"/>
      <c r="Q61" s="190"/>
      <c r="R61" s="190"/>
      <c r="S61" s="190"/>
      <c r="T61" s="190"/>
      <c r="U61" s="190"/>
      <c r="V61" s="190"/>
      <c r="W61" s="191"/>
      <c r="X61" s="195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5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5"/>
      <c r="AU61" s="190"/>
      <c r="AV61" s="190"/>
      <c r="AW61" s="190"/>
      <c r="AX61" s="190"/>
      <c r="AY61" s="190"/>
      <c r="AZ61" s="190"/>
      <c r="BA61" s="190"/>
      <c r="BB61" s="190"/>
      <c r="BC61" s="190"/>
      <c r="BD61" s="201"/>
    </row>
    <row r="62" spans="2:56" ht="12" customHeight="1" x14ac:dyDescent="0.25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1"/>
      <c r="M62" s="195"/>
      <c r="N62" s="190"/>
      <c r="O62" s="190"/>
      <c r="P62" s="190"/>
      <c r="Q62" s="190"/>
      <c r="R62" s="190"/>
      <c r="S62" s="190"/>
      <c r="T62" s="190"/>
      <c r="U62" s="190"/>
      <c r="V62" s="190"/>
      <c r="W62" s="191"/>
      <c r="X62" s="195"/>
      <c r="Y62" s="190"/>
      <c r="Z62" s="190"/>
      <c r="AA62" s="190"/>
      <c r="AB62" s="190"/>
      <c r="AC62" s="190"/>
      <c r="AD62" s="190"/>
      <c r="AE62" s="190"/>
      <c r="AF62" s="190"/>
      <c r="AG62" s="190"/>
      <c r="AH62" s="191"/>
      <c r="AI62" s="195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5"/>
      <c r="AU62" s="190"/>
      <c r="AV62" s="190"/>
      <c r="AW62" s="190"/>
      <c r="AX62" s="190"/>
      <c r="AY62" s="190"/>
      <c r="AZ62" s="190"/>
      <c r="BA62" s="190"/>
      <c r="BB62" s="190"/>
      <c r="BC62" s="190"/>
      <c r="BD62" s="201"/>
    </row>
    <row r="63" spans="2:56" ht="12" customHeight="1" x14ac:dyDescent="0.25"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1"/>
      <c r="M63" s="195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95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5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5"/>
      <c r="AU63" s="190"/>
      <c r="AV63" s="190"/>
      <c r="AW63" s="190"/>
      <c r="AX63" s="190"/>
      <c r="AY63" s="190"/>
      <c r="AZ63" s="190"/>
      <c r="BA63" s="190"/>
      <c r="BB63" s="190"/>
      <c r="BC63" s="190"/>
      <c r="BD63" s="201"/>
    </row>
    <row r="64" spans="2:56" ht="12" customHeight="1" x14ac:dyDescent="0.25"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1"/>
      <c r="M64" s="195"/>
      <c r="N64" s="190"/>
      <c r="O64" s="190"/>
      <c r="P64" s="190"/>
      <c r="Q64" s="190"/>
      <c r="R64" s="190"/>
      <c r="S64" s="190"/>
      <c r="T64" s="190"/>
      <c r="U64" s="190"/>
      <c r="V64" s="190"/>
      <c r="W64" s="191"/>
      <c r="X64" s="195"/>
      <c r="Y64" s="190"/>
      <c r="Z64" s="190"/>
      <c r="AA64" s="190"/>
      <c r="AB64" s="190"/>
      <c r="AC64" s="190"/>
      <c r="AD64" s="190"/>
      <c r="AE64" s="190"/>
      <c r="AF64" s="190"/>
      <c r="AG64" s="190"/>
      <c r="AH64" s="191"/>
      <c r="AI64" s="195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5"/>
      <c r="AU64" s="190"/>
      <c r="AV64" s="190"/>
      <c r="AW64" s="190"/>
      <c r="AX64" s="190"/>
      <c r="AY64" s="190"/>
      <c r="AZ64" s="190"/>
      <c r="BA64" s="190"/>
      <c r="BB64" s="190"/>
      <c r="BC64" s="190"/>
      <c r="BD64" s="201"/>
    </row>
    <row r="65" spans="2:56" ht="12" customHeight="1" x14ac:dyDescent="0.25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8"/>
      <c r="M65" s="220"/>
      <c r="N65" s="217"/>
      <c r="O65" s="217"/>
      <c r="P65" s="217"/>
      <c r="Q65" s="217"/>
      <c r="R65" s="217"/>
      <c r="S65" s="217"/>
      <c r="T65" s="217"/>
      <c r="U65" s="217"/>
      <c r="V65" s="217"/>
      <c r="W65" s="218"/>
      <c r="X65" s="220"/>
      <c r="Y65" s="217"/>
      <c r="Z65" s="217"/>
      <c r="AA65" s="217"/>
      <c r="AB65" s="217"/>
      <c r="AC65" s="217"/>
      <c r="AD65" s="217"/>
      <c r="AE65" s="217"/>
      <c r="AF65" s="217"/>
      <c r="AG65" s="217"/>
      <c r="AH65" s="218"/>
      <c r="AI65" s="220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20"/>
      <c r="AU65" s="217"/>
      <c r="AV65" s="217"/>
      <c r="AW65" s="217"/>
      <c r="AX65" s="217"/>
      <c r="AY65" s="217"/>
      <c r="AZ65" s="217"/>
      <c r="BA65" s="217"/>
      <c r="BB65" s="217"/>
      <c r="BC65" s="217"/>
      <c r="BD65" s="223"/>
    </row>
    <row r="66" spans="2:56" ht="12" customHeight="1" x14ac:dyDescent="0.25">
      <c r="B66" s="171">
        <f>白班过程记录!B52</f>
        <v>0</v>
      </c>
      <c r="C66" s="172"/>
      <c r="D66" s="2" t="s">
        <v>19</v>
      </c>
      <c r="E66" s="173" t="s">
        <v>20</v>
      </c>
      <c r="F66" s="176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9"/>
    </row>
    <row r="67" spans="2:56" ht="12" customHeight="1" x14ac:dyDescent="0.25">
      <c r="B67" s="18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1"/>
    </row>
    <row r="68" spans="2:56" ht="12" customHeight="1" thickBot="1" x14ac:dyDescent="0.3">
      <c r="B68" s="18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3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50:L50"/>
    <mergeCell ref="M50:W50"/>
    <mergeCell ref="X50:AH50"/>
    <mergeCell ref="AI50:AS50"/>
    <mergeCell ref="AT50:BD50"/>
    <mergeCell ref="B58:L58"/>
    <mergeCell ref="M58:W58"/>
    <mergeCell ref="X58:AH58"/>
    <mergeCell ref="AI58:AS58"/>
    <mergeCell ref="AT58:BD58"/>
    <mergeCell ref="B34:L34"/>
    <mergeCell ref="M34:W34"/>
    <mergeCell ref="X34:AH34"/>
    <mergeCell ref="AI34:AS34"/>
    <mergeCell ref="AT34:BD34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2:L2"/>
    <mergeCell ref="M2:W2"/>
    <mergeCell ref="X2:AH2"/>
    <mergeCell ref="AI2:AS2"/>
    <mergeCell ref="AT2:BD2"/>
    <mergeCell ref="B10:L10"/>
    <mergeCell ref="M10:W10"/>
    <mergeCell ref="X10:AH10"/>
    <mergeCell ref="AI10:AS10"/>
    <mergeCell ref="AT10:BD10"/>
    <mergeCell ref="B51:L57"/>
    <mergeCell ref="M51:W57"/>
    <mergeCell ref="X51:AH57"/>
    <mergeCell ref="AI51:AS57"/>
    <mergeCell ref="AT51:BD57"/>
    <mergeCell ref="B59:L65"/>
    <mergeCell ref="M59:W65"/>
    <mergeCell ref="X59:AH65"/>
    <mergeCell ref="AI59:AS65"/>
    <mergeCell ref="AT59:BD65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11:L17"/>
    <mergeCell ref="M11:W17"/>
    <mergeCell ref="X11:AH17"/>
    <mergeCell ref="AI11:AS17"/>
    <mergeCell ref="X18:AH18"/>
    <mergeCell ref="B18:L18"/>
    <mergeCell ref="M18:W18"/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7" t="s">
        <v>219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9"/>
    </row>
    <row r="3" spans="2:47" ht="20.15" customHeight="1" x14ac:dyDescent="0.25">
      <c r="B3" s="136" t="s">
        <v>174</v>
      </c>
      <c r="C3" s="165" t="s">
        <v>156</v>
      </c>
      <c r="D3" s="130"/>
      <c r="E3" s="130"/>
      <c r="F3" s="130"/>
      <c r="G3" s="130"/>
      <c r="H3" s="130"/>
      <c r="I3" s="128" t="s">
        <v>8</v>
      </c>
      <c r="J3" s="130"/>
      <c r="K3" s="130"/>
      <c r="L3" s="130"/>
      <c r="M3" s="130"/>
      <c r="N3" s="130"/>
      <c r="O3" s="130"/>
      <c r="P3" s="130"/>
      <c r="Q3" s="128" t="s">
        <v>71</v>
      </c>
      <c r="R3" s="130"/>
      <c r="S3" s="130"/>
      <c r="T3" s="128" t="s">
        <v>10</v>
      </c>
      <c r="U3" s="130"/>
      <c r="V3" s="130"/>
      <c r="W3" s="130"/>
      <c r="X3" s="128" t="s">
        <v>74</v>
      </c>
      <c r="Y3" s="129"/>
      <c r="Z3" s="128" t="s">
        <v>11</v>
      </c>
      <c r="AA3" s="129"/>
      <c r="AB3" s="72" t="s">
        <v>13</v>
      </c>
      <c r="AC3" s="128" t="s">
        <v>14</v>
      </c>
      <c r="AD3" s="129"/>
      <c r="AE3" s="138" t="s">
        <v>82</v>
      </c>
      <c r="AF3" s="168"/>
      <c r="AG3" s="168"/>
      <c r="AH3" s="168"/>
      <c r="AI3" s="168"/>
      <c r="AJ3" s="168"/>
      <c r="AK3" s="168"/>
      <c r="AL3" s="128" t="s">
        <v>18</v>
      </c>
      <c r="AM3" s="129"/>
      <c r="AN3" s="129"/>
      <c r="AO3" s="129" t="s">
        <v>16</v>
      </c>
      <c r="AP3" s="129"/>
      <c r="AQ3" s="129"/>
      <c r="AR3" s="139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/>
      <c r="D6" s="62">
        <v>21.66884</v>
      </c>
      <c r="E6" s="62">
        <v>409.6871</v>
      </c>
      <c r="F6" s="62"/>
      <c r="G6" s="62"/>
      <c r="H6" s="63">
        <v>415.9572</v>
      </c>
      <c r="I6" s="64">
        <v>19.46976</v>
      </c>
      <c r="J6" s="62"/>
      <c r="K6" s="62">
        <v>35.34433</v>
      </c>
      <c r="L6" s="62">
        <v>1.386086</v>
      </c>
      <c r="M6" s="62">
        <v>107.3351</v>
      </c>
      <c r="N6" s="62">
        <v>115.0029</v>
      </c>
      <c r="O6" s="62">
        <v>20.31209</v>
      </c>
      <c r="P6" s="62"/>
      <c r="Q6" s="62"/>
      <c r="R6" s="62"/>
      <c r="S6" s="62">
        <v>139.4459</v>
      </c>
      <c r="T6" s="62">
        <v>1.437789</v>
      </c>
      <c r="U6" s="62">
        <v>0.30122</v>
      </c>
      <c r="V6" s="62"/>
      <c r="W6" s="62">
        <v>90.99271</v>
      </c>
      <c r="X6" s="62">
        <v>0.5278069</v>
      </c>
      <c r="Y6" s="62" t="s">
        <v>4</v>
      </c>
      <c r="Z6" s="62">
        <v>0.7383178</v>
      </c>
      <c r="AA6" s="62">
        <v>151.5697</v>
      </c>
      <c r="AB6" s="62">
        <v>163.5851</v>
      </c>
      <c r="AC6" s="62">
        <v>1.050456</v>
      </c>
      <c r="AD6" s="62">
        <v>155.6713</v>
      </c>
      <c r="AE6" s="65">
        <v>33.1</v>
      </c>
      <c r="AF6" s="65"/>
      <c r="AG6" s="65"/>
      <c r="AH6" s="65">
        <v>13.71</v>
      </c>
      <c r="AI6" s="65"/>
      <c r="AJ6" s="65"/>
      <c r="AK6" s="65">
        <v>6.58</v>
      </c>
      <c r="AL6" s="62">
        <v>0</v>
      </c>
      <c r="AM6" s="66"/>
      <c r="AN6" s="67">
        <v>42.54919</v>
      </c>
      <c r="AO6" s="68">
        <v>56.06192</v>
      </c>
      <c r="AP6" s="69">
        <v>-80.61343</v>
      </c>
      <c r="AQ6" s="69">
        <v>0.3009259</v>
      </c>
      <c r="AR6" s="70"/>
    </row>
    <row r="7" spans="2:47" ht="13.5" customHeight="1" x14ac:dyDescent="0.25">
      <c r="B7" s="121">
        <v>0.875</v>
      </c>
      <c r="C7" s="20"/>
      <c r="D7" s="4">
        <v>21.03407</v>
      </c>
      <c r="E7" s="4">
        <v>413.6552</v>
      </c>
      <c r="F7" s="4"/>
      <c r="G7" s="4">
        <v>0</v>
      </c>
      <c r="H7" s="5">
        <v>415.4086</v>
      </c>
      <c r="I7" s="6">
        <v>20.86227</v>
      </c>
      <c r="J7" s="4">
        <v>0.01958008</v>
      </c>
      <c r="K7" s="4">
        <v>33.7963</v>
      </c>
      <c r="L7" s="4">
        <v>1.393591</v>
      </c>
      <c r="M7" s="4">
        <v>106.0927</v>
      </c>
      <c r="N7" s="4">
        <v>115.4731</v>
      </c>
      <c r="O7" s="4">
        <v>20.54101</v>
      </c>
      <c r="P7" s="4">
        <v>20.28711</v>
      </c>
      <c r="Q7" s="4"/>
      <c r="R7" s="4">
        <v>2.546387</v>
      </c>
      <c r="S7" s="4">
        <v>139.4242</v>
      </c>
      <c r="T7" s="4">
        <v>1.43533</v>
      </c>
      <c r="U7" s="4">
        <v>0.3000301</v>
      </c>
      <c r="V7" s="4"/>
      <c r="W7" s="4">
        <v>90.88427</v>
      </c>
      <c r="X7" s="4">
        <v>0.5305855</v>
      </c>
      <c r="Y7" s="4" t="s">
        <v>76</v>
      </c>
      <c r="Z7" s="4">
        <v>0.7264377</v>
      </c>
      <c r="AA7" s="4">
        <v>150.7957</v>
      </c>
      <c r="AB7" s="4">
        <v>162.8038</v>
      </c>
      <c r="AC7" s="4">
        <v>1.05042</v>
      </c>
      <c r="AD7" s="4">
        <v>154.2101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40.18374</v>
      </c>
      <c r="AO7" s="10">
        <v>56.19936</v>
      </c>
      <c r="AP7" s="11">
        <v>-80.59896</v>
      </c>
      <c r="AQ7" s="11">
        <v>0.2871817</v>
      </c>
      <c r="AR7" s="12">
        <v>0.0002878723</v>
      </c>
    </row>
    <row r="8" spans="2:47" ht="13.5" customHeight="1" x14ac:dyDescent="0.25">
      <c r="B8" s="120" t="s">
        <v>260</v>
      </c>
      <c r="C8" s="20"/>
      <c r="D8" s="4">
        <v>20.41558</v>
      </c>
      <c r="E8" s="4">
        <v>414.6304</v>
      </c>
      <c r="F8" s="4"/>
      <c r="G8" s="4">
        <v>0</v>
      </c>
      <c r="H8" s="5">
        <v>416.4181</v>
      </c>
      <c r="I8" s="6">
        <v>21.24204</v>
      </c>
      <c r="J8" s="4">
        <v>0.02050586</v>
      </c>
      <c r="K8" s="4">
        <v>33.55758</v>
      </c>
      <c r="L8" s="4">
        <v>1.465748</v>
      </c>
      <c r="M8" s="4">
        <v>107.2483</v>
      </c>
      <c r="N8" s="4">
        <v>115.6539</v>
      </c>
      <c r="O8" s="4">
        <v>20.49927</v>
      </c>
      <c r="P8" s="4">
        <v>20.2793</v>
      </c>
      <c r="Q8" s="4"/>
      <c r="R8" s="4">
        <v>2.543945</v>
      </c>
      <c r="S8" s="4">
        <v>139.5689</v>
      </c>
      <c r="T8" s="4">
        <v>1.435909</v>
      </c>
      <c r="U8" s="4">
        <v>0.3020101</v>
      </c>
      <c r="V8" s="4"/>
      <c r="W8" s="4">
        <v>91.07611</v>
      </c>
      <c r="X8" s="4">
        <v>0.5286872</v>
      </c>
      <c r="Y8" s="4" t="s">
        <v>76</v>
      </c>
      <c r="Z8" s="4">
        <v>0.7249882</v>
      </c>
      <c r="AA8" s="4">
        <v>150.5353</v>
      </c>
      <c r="AB8" s="4">
        <v>162.9557</v>
      </c>
      <c r="AC8" s="4">
        <v>1.050456</v>
      </c>
      <c r="AD8" s="4">
        <v>154.6658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39.17824</v>
      </c>
      <c r="AO8" s="10">
        <v>56.19936</v>
      </c>
      <c r="AP8" s="11">
        <v>-80.54832</v>
      </c>
      <c r="AQ8" s="11">
        <v>0.2900029</v>
      </c>
      <c r="AR8" s="12">
        <v>0.0002875366</v>
      </c>
    </row>
    <row r="9" spans="2:47" ht="13.5" customHeight="1" x14ac:dyDescent="0.25">
      <c r="B9" s="121">
        <v>0.95833333333333337</v>
      </c>
      <c r="C9" s="20"/>
      <c r="D9" s="4">
        <v>20.51324</v>
      </c>
      <c r="E9" s="4">
        <v>414.5159</v>
      </c>
      <c r="F9" s="4"/>
      <c r="G9" s="4">
        <v>0</v>
      </c>
      <c r="H9" s="5">
        <v>416.9553</v>
      </c>
      <c r="I9" s="6">
        <v>26.73611</v>
      </c>
      <c r="J9" s="4">
        <v>0.02021484</v>
      </c>
      <c r="K9" s="4">
        <v>33.12355</v>
      </c>
      <c r="L9" s="4">
        <v>1.363932</v>
      </c>
      <c r="M9" s="4">
        <v>104.6821</v>
      </c>
      <c r="N9" s="4">
        <v>114.3953</v>
      </c>
      <c r="O9" s="4">
        <v>20.23235</v>
      </c>
      <c r="P9" s="4">
        <v>20.25195</v>
      </c>
      <c r="Q9" s="4"/>
      <c r="R9" s="4">
        <v>2.521973</v>
      </c>
      <c r="S9" s="4">
        <v>139.4242</v>
      </c>
      <c r="T9" s="4">
        <v>1.438368</v>
      </c>
      <c r="U9" s="4">
        <v>0.300793</v>
      </c>
      <c r="V9" s="4"/>
      <c r="W9" s="4">
        <v>91.25337</v>
      </c>
      <c r="X9" s="4">
        <v>0.5301817</v>
      </c>
      <c r="Y9" s="4" t="s">
        <v>76</v>
      </c>
      <c r="Z9" s="4">
        <v>0.7317281</v>
      </c>
      <c r="AA9" s="4">
        <v>150.6366</v>
      </c>
      <c r="AB9" s="4">
        <v>163.0425</v>
      </c>
      <c r="AC9" s="4">
        <v>1.050456</v>
      </c>
      <c r="AD9" s="4">
        <v>155.0202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37.88339</v>
      </c>
      <c r="AO9" s="10">
        <v>56.01852</v>
      </c>
      <c r="AP9" s="11">
        <v>-80.60619</v>
      </c>
      <c r="AQ9" s="11">
        <v>0.291739</v>
      </c>
      <c r="AR9" s="12">
        <v>0.0002878418</v>
      </c>
    </row>
    <row r="10" spans="2:47" ht="13.5" customHeight="1" x14ac:dyDescent="0.25">
      <c r="B10" s="120" t="s">
        <v>261</v>
      </c>
      <c r="C10" s="20"/>
      <c r="D10" s="4">
        <v>20.7411</v>
      </c>
      <c r="E10" s="4">
        <v>413.8727</v>
      </c>
      <c r="F10" s="4"/>
      <c r="G10" s="4">
        <v>0</v>
      </c>
      <c r="H10" s="5">
        <v>417.3788</v>
      </c>
      <c r="I10" s="6">
        <v>28.30585</v>
      </c>
      <c r="J10" s="4">
        <v>0.01955273</v>
      </c>
      <c r="K10" s="4">
        <v>32.58825</v>
      </c>
      <c r="L10" s="4">
        <v>1.315195</v>
      </c>
      <c r="M10" s="4">
        <v>106.0818</v>
      </c>
      <c r="N10" s="4">
        <v>115.8782</v>
      </c>
      <c r="O10" s="4">
        <v>20.03596</v>
      </c>
      <c r="P10" s="4">
        <v>20.27539</v>
      </c>
      <c r="Q10" s="4"/>
      <c r="R10" s="4">
        <v>2.519531</v>
      </c>
      <c r="S10" s="4">
        <v>139.3952</v>
      </c>
      <c r="T10" s="4">
        <v>1.440104</v>
      </c>
      <c r="U10" s="4">
        <v>0.2959695</v>
      </c>
      <c r="V10" s="4"/>
      <c r="W10" s="4">
        <v>91.22509</v>
      </c>
      <c r="X10" s="4">
        <v>0.5300631</v>
      </c>
      <c r="Y10" s="4" t="s">
        <v>76</v>
      </c>
      <c r="Z10" s="4">
        <v>0.7389536</v>
      </c>
      <c r="AA10" s="4">
        <v>150.7161</v>
      </c>
      <c r="AB10" s="4">
        <v>162.9919</v>
      </c>
      <c r="AC10" s="4">
        <v>1.05042</v>
      </c>
      <c r="AD10" s="4">
        <v>155.1143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37.82552</v>
      </c>
      <c r="AO10" s="10">
        <v>56.35127</v>
      </c>
      <c r="AP10" s="11">
        <v>-80.6496</v>
      </c>
      <c r="AQ10" s="11">
        <v>0.2832031</v>
      </c>
      <c r="AR10" s="12">
        <v>0.0002856445</v>
      </c>
    </row>
    <row r="11" spans="2:47" ht="13.5" customHeight="1" x14ac:dyDescent="0.25">
      <c r="B11" s="121">
        <v>4.1666666666666664E-2</v>
      </c>
      <c r="C11" s="20"/>
      <c r="D11" s="4">
        <v>20.90386</v>
      </c>
      <c r="E11" s="4">
        <v>414.423</v>
      </c>
      <c r="F11" s="4"/>
      <c r="G11" s="4">
        <v>0</v>
      </c>
      <c r="H11" s="5">
        <v>417.8866</v>
      </c>
      <c r="I11" s="6">
        <v>0</v>
      </c>
      <c r="J11" s="4">
        <v>0.02076367</v>
      </c>
      <c r="K11" s="4">
        <v>31.91551</v>
      </c>
      <c r="L11" s="4">
        <v>1.449653</v>
      </c>
      <c r="M11" s="4">
        <v>105.8485</v>
      </c>
      <c r="N11" s="4">
        <v>114.7352</v>
      </c>
      <c r="O11" s="4">
        <v>20.12959</v>
      </c>
      <c r="P11" s="4">
        <v>20.26562</v>
      </c>
      <c r="Q11" s="4"/>
      <c r="R11" s="4">
        <v>2.542969</v>
      </c>
      <c r="S11" s="4">
        <v>139.5327</v>
      </c>
      <c r="T11" s="4">
        <v>1.435909</v>
      </c>
      <c r="U11" s="4">
        <v>0.2999659</v>
      </c>
      <c r="V11" s="4"/>
      <c r="W11" s="4">
        <v>91.42111</v>
      </c>
      <c r="X11" s="4">
        <v>0.5288928</v>
      </c>
      <c r="Y11" s="4" t="s">
        <v>76</v>
      </c>
      <c r="Z11" s="4">
        <v>0.7324992</v>
      </c>
      <c r="AA11" s="4">
        <v>151.2514</v>
      </c>
      <c r="AB11" s="4">
        <v>163.2523</v>
      </c>
      <c r="AC11" s="4">
        <v>1.050456</v>
      </c>
      <c r="AD11" s="4">
        <v>155.2807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36.99363</v>
      </c>
      <c r="AO11" s="10">
        <v>56.22107</v>
      </c>
      <c r="AP11" s="11">
        <v>-80.63513</v>
      </c>
      <c r="AQ11" s="11">
        <v>0.280816</v>
      </c>
      <c r="AR11" s="12">
        <v>0.0002870788</v>
      </c>
    </row>
    <row r="12" spans="2:47" ht="13.5" customHeight="1" x14ac:dyDescent="0.25">
      <c r="B12" s="120" t="s">
        <v>262</v>
      </c>
      <c r="C12" s="20"/>
      <c r="D12" s="4">
        <v>20.32878</v>
      </c>
      <c r="E12" s="4">
        <v>414.3281</v>
      </c>
      <c r="F12" s="4"/>
      <c r="G12" s="4">
        <v>0</v>
      </c>
      <c r="H12" s="5">
        <v>418.5645</v>
      </c>
      <c r="I12" s="6">
        <v>24.28024</v>
      </c>
      <c r="J12" s="4">
        <v>0.01982031</v>
      </c>
      <c r="K12" s="4">
        <v>31.85764</v>
      </c>
      <c r="L12" s="4">
        <v>1.402724</v>
      </c>
      <c r="M12" s="4">
        <v>105.5501</v>
      </c>
      <c r="N12" s="4">
        <v>114.3953</v>
      </c>
      <c r="O12" s="4">
        <v>20.59154</v>
      </c>
      <c r="P12" s="4">
        <v>20.25977</v>
      </c>
      <c r="Q12" s="4"/>
      <c r="R12" s="4">
        <v>2.566406</v>
      </c>
      <c r="S12" s="4">
        <v>139.4169</v>
      </c>
      <c r="T12" s="4">
        <v>1.437934</v>
      </c>
      <c r="U12" s="4">
        <v>0.3006655</v>
      </c>
      <c r="V12" s="4"/>
      <c r="W12" s="4">
        <v>91.20208</v>
      </c>
      <c r="X12" s="4">
        <v>0.5305225</v>
      </c>
      <c r="Y12" s="4" t="s">
        <v>76</v>
      </c>
      <c r="Z12" s="4">
        <v>0.7349907</v>
      </c>
      <c r="AA12" s="4">
        <v>151.1357</v>
      </c>
      <c r="AB12" s="4">
        <v>163.151</v>
      </c>
      <c r="AC12" s="4">
        <v>1.050456</v>
      </c>
      <c r="AD12" s="4">
        <v>155.3168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37.04789</v>
      </c>
      <c r="AO12" s="10">
        <v>56.06915</v>
      </c>
      <c r="AP12" s="11">
        <v>-80.7364</v>
      </c>
      <c r="AQ12" s="11">
        <v>0.2909433</v>
      </c>
      <c r="AR12" s="12">
        <v>0.0002878723</v>
      </c>
    </row>
    <row r="13" spans="2:47" ht="13.5" customHeight="1" x14ac:dyDescent="0.25">
      <c r="B13" s="121">
        <v>0.125</v>
      </c>
      <c r="C13" s="20"/>
      <c r="D13" s="4">
        <v>20.20942</v>
      </c>
      <c r="E13" s="4">
        <v>416.427</v>
      </c>
      <c r="F13" s="4"/>
      <c r="G13" s="4">
        <v>0</v>
      </c>
      <c r="H13" s="5">
        <v>418.1213</v>
      </c>
      <c r="I13" s="6">
        <v>0</v>
      </c>
      <c r="J13" s="4">
        <v>0.01969336</v>
      </c>
      <c r="K13" s="4">
        <v>31.18489</v>
      </c>
      <c r="L13" s="4">
        <v>1.379304</v>
      </c>
      <c r="M13" s="4">
        <v>105.0564</v>
      </c>
      <c r="N13" s="4">
        <v>114.5182</v>
      </c>
      <c r="O13" s="4">
        <v>20.30229</v>
      </c>
      <c r="P13" s="4">
        <v>20.25781</v>
      </c>
      <c r="Q13" s="4"/>
      <c r="R13" s="4">
        <v>2.57666</v>
      </c>
      <c r="S13" s="4">
        <v>139.4242</v>
      </c>
      <c r="T13" s="4">
        <v>1.43504</v>
      </c>
      <c r="U13" s="4">
        <v>0.3007327</v>
      </c>
      <c r="V13" s="4"/>
      <c r="W13" s="4">
        <v>90.81333</v>
      </c>
      <c r="X13" s="4">
        <v>0.5291696</v>
      </c>
      <c r="Y13" s="4" t="s">
        <v>76</v>
      </c>
      <c r="Z13" s="4">
        <v>0.7258253</v>
      </c>
      <c r="AA13" s="4">
        <v>151.1285</v>
      </c>
      <c r="AB13" s="4">
        <v>162.8689</v>
      </c>
      <c r="AC13" s="4">
        <v>1.050456</v>
      </c>
      <c r="AD13" s="4">
        <v>154.3981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35.48177</v>
      </c>
      <c r="AO13" s="10">
        <v>56.82508</v>
      </c>
      <c r="AP13" s="11">
        <v>-79.6441</v>
      </c>
      <c r="AQ13" s="11">
        <v>0.2537616</v>
      </c>
      <c r="AR13" s="12">
        <v>0.0002889099</v>
      </c>
    </row>
    <row r="14" spans="2:47" ht="13.5" customHeight="1" x14ac:dyDescent="0.25">
      <c r="B14" s="121">
        <v>0.16666666666666666</v>
      </c>
      <c r="C14" s="20"/>
      <c r="D14" s="4">
        <v>20.44271</v>
      </c>
      <c r="E14" s="4">
        <v>416.5187</v>
      </c>
      <c r="F14" s="4"/>
      <c r="G14" s="4">
        <v>0</v>
      </c>
      <c r="H14" s="5">
        <v>417.9756</v>
      </c>
      <c r="I14" s="6">
        <v>19.03935</v>
      </c>
      <c r="J14" s="4">
        <v>0.01984766</v>
      </c>
      <c r="K14" s="4">
        <v>30.84491</v>
      </c>
      <c r="L14" s="4">
        <v>1.385001</v>
      </c>
      <c r="M14" s="4">
        <v>103.8683</v>
      </c>
      <c r="N14" s="4">
        <v>114.0914</v>
      </c>
      <c r="O14" s="4">
        <v>20.25788</v>
      </c>
      <c r="P14" s="4">
        <v>20.27148</v>
      </c>
      <c r="Q14" s="4"/>
      <c r="R14" s="4">
        <v>2.55957</v>
      </c>
      <c r="S14" s="4">
        <v>139.605</v>
      </c>
      <c r="T14" s="4">
        <v>1.434462</v>
      </c>
      <c r="U14" s="4">
        <v>0.3005448</v>
      </c>
      <c r="V14" s="4"/>
      <c r="W14" s="4">
        <v>90.88456</v>
      </c>
      <c r="X14" s="4">
        <v>0.5281803</v>
      </c>
      <c r="Y14" s="4" t="s">
        <v>76</v>
      </c>
      <c r="Z14" s="4">
        <v>0.7410609</v>
      </c>
      <c r="AA14" s="4">
        <v>151.9748</v>
      </c>
      <c r="AB14" s="4">
        <v>163.2885</v>
      </c>
      <c r="AC14" s="4">
        <v>1.050492</v>
      </c>
      <c r="AD14" s="4">
        <v>155.3675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32.60272</v>
      </c>
      <c r="AO14" s="10">
        <v>56.08362</v>
      </c>
      <c r="AP14" s="11">
        <v>-80.72917</v>
      </c>
      <c r="AQ14" s="11">
        <v>0.2901476</v>
      </c>
      <c r="AR14" s="12">
        <v>0.0002877197</v>
      </c>
    </row>
    <row r="15" spans="2:47" ht="13.5" customHeight="1" x14ac:dyDescent="0.25">
      <c r="B15" s="121">
        <v>0.20833333333333334</v>
      </c>
      <c r="C15" s="20"/>
      <c r="D15" s="4">
        <v>20.6543</v>
      </c>
      <c r="E15" s="4">
        <v>416.6992</v>
      </c>
      <c r="F15" s="4"/>
      <c r="G15" s="4">
        <v>0</v>
      </c>
      <c r="H15" s="5">
        <v>417.8451</v>
      </c>
      <c r="I15" s="6">
        <v>24.00174</v>
      </c>
      <c r="J15" s="4">
        <v>0.01999414</v>
      </c>
      <c r="K15" s="4">
        <v>30.96065</v>
      </c>
      <c r="L15" s="4">
        <v>1.363028</v>
      </c>
      <c r="M15" s="4">
        <v>105.6044</v>
      </c>
      <c r="N15" s="4">
        <v>114.6774</v>
      </c>
      <c r="O15" s="4">
        <v>20.1038</v>
      </c>
      <c r="P15" s="4">
        <v>20.27148</v>
      </c>
      <c r="Q15" s="4"/>
      <c r="R15" s="4">
        <v>2.545898</v>
      </c>
      <c r="S15" s="4">
        <v>139.5978</v>
      </c>
      <c r="T15" s="4">
        <v>1.436777</v>
      </c>
      <c r="U15" s="4">
        <v>0.2991785</v>
      </c>
      <c r="V15" s="4"/>
      <c r="W15" s="4">
        <v>91.04723</v>
      </c>
      <c r="X15" s="4">
        <v>0.5302833</v>
      </c>
      <c r="Y15" s="4" t="s">
        <v>76</v>
      </c>
      <c r="Z15" s="4">
        <v>0.7405066</v>
      </c>
      <c r="AA15" s="4">
        <v>152.0544</v>
      </c>
      <c r="AB15" s="4">
        <v>163.3391</v>
      </c>
      <c r="AC15" s="4">
        <v>1.050456</v>
      </c>
      <c r="AD15" s="4">
        <v>155.5483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30.25535</v>
      </c>
      <c r="AO15" s="10">
        <v>56.07277</v>
      </c>
      <c r="AP15" s="11">
        <v>-80.50492</v>
      </c>
      <c r="AQ15" s="11">
        <v>0.2869647</v>
      </c>
      <c r="AR15" s="12">
        <v>0.0002877502</v>
      </c>
    </row>
    <row r="16" spans="2:47" ht="13.5" customHeight="1" x14ac:dyDescent="0.25">
      <c r="B16" s="121">
        <v>0.25</v>
      </c>
      <c r="C16" s="20"/>
      <c r="D16" s="4">
        <v>20.56749</v>
      </c>
      <c r="E16" s="4">
        <v>414.7722</v>
      </c>
      <c r="F16" s="4"/>
      <c r="G16" s="4">
        <v>0</v>
      </c>
      <c r="H16" s="5">
        <v>417.8264</v>
      </c>
      <c r="I16" s="6">
        <v>29.06539</v>
      </c>
      <c r="J16" s="4">
        <v>0.02021094</v>
      </c>
      <c r="K16" s="4">
        <v>29.94792</v>
      </c>
      <c r="L16" s="4">
        <v>1.326407</v>
      </c>
      <c r="M16" s="4">
        <v>104.9425</v>
      </c>
      <c r="N16" s="4">
        <v>113.8672</v>
      </c>
      <c r="O16" s="4">
        <v>20.11076</v>
      </c>
      <c r="P16" s="4">
        <v>20.26562</v>
      </c>
      <c r="Q16" s="4"/>
      <c r="R16" s="4">
        <v>2.577637</v>
      </c>
      <c r="S16" s="4">
        <v>139.6412</v>
      </c>
      <c r="T16" s="4">
        <v>1.438223</v>
      </c>
      <c r="U16" s="4">
        <v>0.3014174</v>
      </c>
      <c r="V16" s="4"/>
      <c r="W16" s="4">
        <v>91.21531</v>
      </c>
      <c r="X16" s="4">
        <v>0.529896</v>
      </c>
      <c r="Y16" s="4" t="s">
        <v>76</v>
      </c>
      <c r="Z16" s="4">
        <v>0.7204332</v>
      </c>
      <c r="AA16" s="4">
        <v>151.6131</v>
      </c>
      <c r="AB16" s="4">
        <v>162.8111</v>
      </c>
      <c r="AC16" s="4">
        <v>1.05042</v>
      </c>
      <c r="AD16" s="4">
        <v>154.6224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0.06149902</v>
      </c>
      <c r="AN16" s="9">
        <v>47.79369</v>
      </c>
      <c r="AO16" s="10">
        <v>57.97888</v>
      </c>
      <c r="AP16" s="11">
        <v>-78.71094</v>
      </c>
      <c r="AQ16" s="11">
        <v>0.2920284</v>
      </c>
      <c r="AR16" s="12">
        <v>0.0002904968</v>
      </c>
    </row>
    <row r="17" spans="2:44" ht="13.5" customHeight="1" x14ac:dyDescent="0.25">
      <c r="B17" s="121">
        <v>0.29166666666666669</v>
      </c>
      <c r="C17" s="20"/>
      <c r="D17" s="4">
        <v>20.56749</v>
      </c>
      <c r="E17" s="4">
        <v>416.5383</v>
      </c>
      <c r="F17" s="4"/>
      <c r="G17" s="4">
        <v>0</v>
      </c>
      <c r="H17" s="5">
        <v>418.0353</v>
      </c>
      <c r="I17" s="6">
        <v>28.17925</v>
      </c>
      <c r="J17" s="4">
        <v>0.01964844</v>
      </c>
      <c r="K17" s="4">
        <v>30.40364</v>
      </c>
      <c r="L17" s="4">
        <v>1.330476</v>
      </c>
      <c r="M17" s="4">
        <v>105.0456</v>
      </c>
      <c r="N17" s="4">
        <v>114.3012</v>
      </c>
      <c r="O17" s="4">
        <v>20.24206</v>
      </c>
      <c r="P17" s="4">
        <v>20.27539</v>
      </c>
      <c r="Q17" s="4"/>
      <c r="R17" s="4">
        <v>2.567871</v>
      </c>
      <c r="S17" s="4">
        <v>139.4169</v>
      </c>
      <c r="T17" s="4">
        <v>1.433449</v>
      </c>
      <c r="U17" s="4">
        <v>0.2997312</v>
      </c>
      <c r="V17" s="4"/>
      <c r="W17" s="4">
        <v>91.0671</v>
      </c>
      <c r="X17" s="4">
        <v>0.5318258</v>
      </c>
      <c r="Y17" s="4" t="s">
        <v>76</v>
      </c>
      <c r="Z17" s="4">
        <v>0.7401633</v>
      </c>
      <c r="AA17" s="4">
        <v>152.1195</v>
      </c>
      <c r="AB17" s="4">
        <v>163.2234</v>
      </c>
      <c r="AC17" s="4">
        <v>1.05042</v>
      </c>
      <c r="AD17" s="4">
        <v>155.7509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</v>
      </c>
      <c r="AN17" s="9">
        <v>46.27821</v>
      </c>
      <c r="AO17" s="10">
        <v>56.65147</v>
      </c>
      <c r="AP17" s="11">
        <v>-79.83941</v>
      </c>
      <c r="AQ17" s="11">
        <v>0.29239</v>
      </c>
      <c r="AR17" s="12">
        <v>0.0002886047</v>
      </c>
    </row>
    <row r="18" spans="2:44" ht="13.5" customHeight="1" x14ac:dyDescent="0.25">
      <c r="B18" s="121">
        <v>0.33333333333333331</v>
      </c>
      <c r="C18" s="23"/>
      <c r="D18" s="13">
        <v>20.62717</v>
      </c>
      <c r="E18" s="13">
        <v>416.4755</v>
      </c>
      <c r="F18" s="13"/>
      <c r="G18" s="13">
        <v>0</v>
      </c>
      <c r="H18" s="14">
        <v>418.5747</v>
      </c>
      <c r="I18" s="15">
        <v>18.10258</v>
      </c>
      <c r="J18" s="13">
        <v>0.0200957</v>
      </c>
      <c r="K18" s="13">
        <v>32.26273</v>
      </c>
      <c r="L18" s="13">
        <v>1.518193</v>
      </c>
      <c r="M18" s="13">
        <v>97.43382</v>
      </c>
      <c r="N18" s="13">
        <v>113.4115</v>
      </c>
      <c r="O18" s="13">
        <v>20.38235</v>
      </c>
      <c r="P18" s="13">
        <v>20.28711</v>
      </c>
      <c r="Q18" s="13"/>
      <c r="R18" s="13">
        <v>2.564453</v>
      </c>
      <c r="S18" s="13">
        <v>139.4097</v>
      </c>
      <c r="T18" s="13">
        <v>1.439815</v>
      </c>
      <c r="U18" s="13">
        <v>0.3022859</v>
      </c>
      <c r="V18" s="13"/>
      <c r="W18" s="13">
        <v>91.00012</v>
      </c>
      <c r="X18" s="13">
        <v>0.5305183</v>
      </c>
      <c r="Y18" s="13">
        <v>0.5282485</v>
      </c>
      <c r="Z18" s="13">
        <v>0.719418</v>
      </c>
      <c r="AA18" s="13">
        <v>150.7596</v>
      </c>
      <c r="AB18" s="13">
        <v>162.4928</v>
      </c>
      <c r="AC18" s="13">
        <v>1.050456</v>
      </c>
      <c r="AD18" s="13">
        <v>153.6241</v>
      </c>
      <c r="AE18" s="16"/>
      <c r="AF18" s="16"/>
      <c r="AG18" s="16"/>
      <c r="AH18" s="16"/>
      <c r="AI18" s="16"/>
      <c r="AJ18" s="16"/>
      <c r="AK18" s="16"/>
      <c r="AL18" s="13">
        <v>0</v>
      </c>
      <c r="AM18" s="17">
        <v>0</v>
      </c>
      <c r="AN18" s="18">
        <v>44.13339</v>
      </c>
      <c r="AO18" s="10">
        <v>56.0583</v>
      </c>
      <c r="AP18" s="11">
        <v>-80.92448</v>
      </c>
      <c r="AQ18" s="11">
        <v>0.2907263</v>
      </c>
      <c r="AR18" s="19">
        <v>0.0002885742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>
        <v>-80.61343</v>
      </c>
      <c r="D22" s="62">
        <v>-79.90451</v>
      </c>
      <c r="E22" s="62">
        <v>103.1322</v>
      </c>
      <c r="F22" s="62">
        <v>0.09606481</v>
      </c>
      <c r="G22" s="62"/>
      <c r="H22" s="62"/>
      <c r="I22" s="62"/>
      <c r="J22" s="62"/>
      <c r="K22" s="62"/>
      <c r="L22" s="63"/>
      <c r="M22" s="82">
        <v>15.52011</v>
      </c>
      <c r="N22" s="62">
        <v>33.07653</v>
      </c>
      <c r="O22" s="62">
        <v>39.5</v>
      </c>
      <c r="P22" s="62">
        <v>22</v>
      </c>
      <c r="Q22" s="62">
        <v>3.554254</v>
      </c>
      <c r="R22" s="62">
        <v>19.13339</v>
      </c>
      <c r="S22" s="84">
        <v>91.50391</v>
      </c>
      <c r="T22" s="84">
        <v>50</v>
      </c>
      <c r="U22" s="84">
        <v>116.1155</v>
      </c>
      <c r="V22" s="84">
        <v>17.31228</v>
      </c>
      <c r="W22" s="84">
        <v>19.46615</v>
      </c>
      <c r="X22" s="84">
        <v>50</v>
      </c>
      <c r="Y22" s="84">
        <v>101.1525</v>
      </c>
      <c r="Z22" s="84">
        <v>11.63375</v>
      </c>
      <c r="AA22" s="84">
        <v>19.12978</v>
      </c>
      <c r="AB22" s="84"/>
      <c r="AC22" s="66"/>
      <c r="AD22" s="66">
        <v>0</v>
      </c>
      <c r="AE22" s="66"/>
      <c r="AF22" s="66">
        <v>99.94575</v>
      </c>
      <c r="AG22" s="66">
        <v>0</v>
      </c>
      <c r="AH22" s="66"/>
      <c r="AI22" s="85"/>
      <c r="AJ22" s="85"/>
      <c r="AK22" s="85"/>
      <c r="AL22" s="85"/>
      <c r="AM22" s="85"/>
      <c r="AN22" s="66">
        <v>50.18808</v>
      </c>
      <c r="AO22" s="67">
        <v>50</v>
      </c>
      <c r="AP22" s="68">
        <v>29.324</v>
      </c>
      <c r="AQ22" s="69">
        <v>39.58695</v>
      </c>
      <c r="AR22" s="70">
        <v>0.06510925</v>
      </c>
    </row>
    <row r="23" spans="2:44" ht="13.5" customHeight="1" x14ac:dyDescent="0.25">
      <c r="B23" s="121">
        <v>0.875</v>
      </c>
      <c r="C23" s="20">
        <v>-80.59896</v>
      </c>
      <c r="D23" s="4">
        <v>-79.90451</v>
      </c>
      <c r="E23" s="4">
        <v>103.1358</v>
      </c>
      <c r="F23" s="4">
        <v>0.108941</v>
      </c>
      <c r="G23" s="4">
        <v>9.036255E-05</v>
      </c>
      <c r="H23" s="4"/>
      <c r="I23" s="4"/>
      <c r="J23" s="4"/>
      <c r="K23" s="4"/>
      <c r="L23" s="5"/>
      <c r="M23" s="20">
        <v>15.50203</v>
      </c>
      <c r="N23" s="4">
        <v>32.79803</v>
      </c>
      <c r="O23" s="4">
        <v>39.5</v>
      </c>
      <c r="P23" s="4">
        <v>22</v>
      </c>
      <c r="Q23" s="4">
        <v>3.122396</v>
      </c>
      <c r="R23" s="4"/>
      <c r="S23" s="21">
        <v>91.80772</v>
      </c>
      <c r="T23" s="21">
        <v>50</v>
      </c>
      <c r="U23" s="21">
        <v>108.6929</v>
      </c>
      <c r="V23" s="21">
        <v>18.46246</v>
      </c>
      <c r="W23" s="21">
        <v>21.41927</v>
      </c>
      <c r="X23" s="21">
        <v>50</v>
      </c>
      <c r="Y23" s="21">
        <v>103.2773</v>
      </c>
      <c r="Z23" s="21">
        <v>9.154369</v>
      </c>
      <c r="AA23" s="21">
        <v>21.4681</v>
      </c>
      <c r="AB23" s="21"/>
      <c r="AC23" s="8"/>
      <c r="AD23" s="8">
        <v>0</v>
      </c>
      <c r="AE23" s="8">
        <v>0.000177124</v>
      </c>
      <c r="AF23" s="8">
        <v>99.94575</v>
      </c>
      <c r="AG23" s="8">
        <v>16.4388</v>
      </c>
      <c r="AH23" s="8"/>
      <c r="AI23" s="22"/>
      <c r="AJ23" s="22"/>
      <c r="AK23" s="22"/>
      <c r="AL23" s="22"/>
      <c r="AM23" s="22"/>
      <c r="AN23" s="8">
        <v>50.94039</v>
      </c>
      <c r="AO23" s="9">
        <v>50</v>
      </c>
      <c r="AP23" s="10">
        <v>29.20645</v>
      </c>
      <c r="AQ23" s="11">
        <v>39.40972</v>
      </c>
      <c r="AR23" s="12">
        <v>0.07595825</v>
      </c>
    </row>
    <row r="24" spans="2:44" ht="13.5" customHeight="1" x14ac:dyDescent="0.25">
      <c r="B24" s="120" t="s">
        <v>260</v>
      </c>
      <c r="C24" s="20">
        <v>-80.54832</v>
      </c>
      <c r="D24" s="4">
        <v>-79.97685</v>
      </c>
      <c r="E24" s="4">
        <v>103.1322</v>
      </c>
      <c r="F24" s="4">
        <v>0.07819734</v>
      </c>
      <c r="G24" s="4">
        <v>9.126282E-05</v>
      </c>
      <c r="H24" s="4"/>
      <c r="I24" s="4"/>
      <c r="J24" s="4"/>
      <c r="K24" s="4"/>
      <c r="L24" s="5"/>
      <c r="M24" s="20">
        <v>15.46947</v>
      </c>
      <c r="N24" s="4">
        <v>32.36039</v>
      </c>
      <c r="O24" s="4">
        <v>39.5</v>
      </c>
      <c r="P24" s="4">
        <v>22</v>
      </c>
      <c r="Q24" s="4">
        <v>3.271701</v>
      </c>
      <c r="R24" s="4"/>
      <c r="S24" s="21">
        <v>91.71007</v>
      </c>
      <c r="T24" s="21">
        <v>50</v>
      </c>
      <c r="U24" s="21">
        <v>108.9339</v>
      </c>
      <c r="V24" s="21">
        <v>19.85135</v>
      </c>
      <c r="W24" s="21">
        <v>23.09028</v>
      </c>
      <c r="X24" s="21">
        <v>50</v>
      </c>
      <c r="Y24" s="21">
        <v>106.271</v>
      </c>
      <c r="Z24" s="21">
        <v>9.239367</v>
      </c>
      <c r="AA24" s="21">
        <v>23.08485</v>
      </c>
      <c r="AB24" s="21"/>
      <c r="AC24" s="8"/>
      <c r="AD24" s="8">
        <v>0</v>
      </c>
      <c r="AE24" s="8">
        <v>2.197266E-06</v>
      </c>
      <c r="AF24" s="8">
        <v>76.25144</v>
      </c>
      <c r="AG24" s="8">
        <v>20.07017</v>
      </c>
      <c r="AH24" s="8"/>
      <c r="AI24" s="22"/>
      <c r="AJ24" s="22"/>
      <c r="AK24" s="22"/>
      <c r="AL24" s="22"/>
      <c r="AM24" s="22"/>
      <c r="AN24" s="8">
        <v>49.89873</v>
      </c>
      <c r="AO24" s="9">
        <v>50</v>
      </c>
      <c r="AP24" s="10">
        <v>29.0889</v>
      </c>
      <c r="AQ24" s="11">
        <v>47.65625</v>
      </c>
      <c r="AR24" s="12">
        <v>0.08680725</v>
      </c>
    </row>
    <row r="25" spans="2:44" ht="13.5" customHeight="1" x14ac:dyDescent="0.25">
      <c r="B25" s="121">
        <v>0.95833333333333337</v>
      </c>
      <c r="C25" s="20">
        <v>-80.60619</v>
      </c>
      <c r="D25" s="4">
        <v>-79.98409</v>
      </c>
      <c r="E25" s="4">
        <v>103.1286</v>
      </c>
      <c r="F25" s="4">
        <v>0.1111834</v>
      </c>
      <c r="G25" s="4">
        <v>8.981323E-05</v>
      </c>
      <c r="H25" s="4"/>
      <c r="I25" s="4"/>
      <c r="J25" s="4"/>
      <c r="K25" s="4"/>
      <c r="L25" s="5"/>
      <c r="M25" s="20">
        <v>15.59245</v>
      </c>
      <c r="N25" s="4">
        <v>32.02402</v>
      </c>
      <c r="O25" s="4">
        <v>39.5</v>
      </c>
      <c r="P25" s="4">
        <v>22</v>
      </c>
      <c r="Q25" s="4">
        <v>3.312066</v>
      </c>
      <c r="R25" s="4"/>
      <c r="S25" s="21">
        <v>93.94893</v>
      </c>
      <c r="T25" s="21">
        <v>50</v>
      </c>
      <c r="U25" s="21">
        <v>117.1077</v>
      </c>
      <c r="V25" s="21">
        <v>24.9783</v>
      </c>
      <c r="W25" s="21">
        <v>30.38737</v>
      </c>
      <c r="X25" s="21">
        <v>0</v>
      </c>
      <c r="Y25" s="21">
        <v>0</v>
      </c>
      <c r="Z25" s="21">
        <v>13.56879</v>
      </c>
      <c r="AA25" s="21">
        <v>85.47635</v>
      </c>
      <c r="AB25" s="21"/>
      <c r="AC25" s="8"/>
      <c r="AD25" s="8">
        <v>0.5832791</v>
      </c>
      <c r="AE25" s="8">
        <v>0.000262207</v>
      </c>
      <c r="AF25" s="8">
        <v>86.90683</v>
      </c>
      <c r="AG25" s="8">
        <v>18.99233</v>
      </c>
      <c r="AH25" s="8"/>
      <c r="AI25" s="22"/>
      <c r="AJ25" s="22"/>
      <c r="AK25" s="22"/>
      <c r="AL25" s="22"/>
      <c r="AM25" s="22"/>
      <c r="AN25" s="8">
        <v>48.81366</v>
      </c>
      <c r="AO25" s="9">
        <v>50</v>
      </c>
      <c r="AP25" s="10">
        <v>28.88093</v>
      </c>
      <c r="AQ25" s="11">
        <v>39.53631</v>
      </c>
      <c r="AR25" s="12">
        <v>0.08680725</v>
      </c>
    </row>
    <row r="26" spans="2:44" ht="13.5" customHeight="1" x14ac:dyDescent="0.25">
      <c r="B26" s="120" t="s">
        <v>261</v>
      </c>
      <c r="C26" s="20">
        <v>-80.6496</v>
      </c>
      <c r="D26" s="4">
        <v>-79.96239</v>
      </c>
      <c r="E26" s="4">
        <v>103.1322</v>
      </c>
      <c r="F26" s="4">
        <v>0.02922454</v>
      </c>
      <c r="G26" s="4">
        <v>9.422303E-05</v>
      </c>
      <c r="H26" s="4"/>
      <c r="I26" s="4"/>
      <c r="J26" s="4"/>
      <c r="K26" s="4"/>
      <c r="L26" s="5"/>
      <c r="M26" s="20">
        <v>27.3329</v>
      </c>
      <c r="N26" s="4">
        <v>39.89439</v>
      </c>
      <c r="O26" s="4">
        <v>39.5</v>
      </c>
      <c r="P26" s="4">
        <v>22</v>
      </c>
      <c r="Q26" s="4">
        <v>3.389757</v>
      </c>
      <c r="R26" s="4"/>
      <c r="S26" s="21">
        <v>94.6072</v>
      </c>
      <c r="T26" s="21">
        <v>50</v>
      </c>
      <c r="U26" s="21">
        <v>106.8428</v>
      </c>
      <c r="V26" s="21">
        <v>23.20964</v>
      </c>
      <c r="W26" s="21">
        <v>32.3622</v>
      </c>
      <c r="X26" s="21">
        <v>50</v>
      </c>
      <c r="Y26" s="21">
        <v>125.0629</v>
      </c>
      <c r="Z26" s="21">
        <v>24.87883</v>
      </c>
      <c r="AA26" s="21">
        <v>32.58464</v>
      </c>
      <c r="AB26" s="21"/>
      <c r="AC26" s="8"/>
      <c r="AD26" s="8">
        <v>0</v>
      </c>
      <c r="AE26" s="8">
        <v>0.000706543</v>
      </c>
      <c r="AF26" s="8">
        <v>87.09853</v>
      </c>
      <c r="AG26" s="8">
        <v>21.03588</v>
      </c>
      <c r="AH26" s="8"/>
      <c r="AI26" s="22"/>
      <c r="AJ26" s="22"/>
      <c r="AK26" s="22"/>
      <c r="AL26" s="22"/>
      <c r="AM26" s="22"/>
      <c r="AN26" s="8">
        <v>47.97454</v>
      </c>
      <c r="AO26" s="9">
        <v>50</v>
      </c>
      <c r="AP26" s="10">
        <v>28.63679</v>
      </c>
      <c r="AQ26" s="11">
        <v>39.58695</v>
      </c>
      <c r="AR26" s="12">
        <v>0.07595825</v>
      </c>
    </row>
    <row r="27" spans="2:44" ht="13.5" customHeight="1" x14ac:dyDescent="0.25">
      <c r="B27" s="121">
        <v>4.1666666666666664E-2</v>
      </c>
      <c r="C27" s="20">
        <v>-80.63513</v>
      </c>
      <c r="D27" s="4">
        <v>-79.94068</v>
      </c>
      <c r="E27" s="4">
        <v>103.1322</v>
      </c>
      <c r="F27" s="4">
        <v>0.1221788</v>
      </c>
      <c r="G27" s="4">
        <v>9.410095E-05</v>
      </c>
      <c r="H27" s="4"/>
      <c r="I27" s="4"/>
      <c r="J27" s="4"/>
      <c r="K27" s="4"/>
      <c r="L27" s="5"/>
      <c r="M27" s="20">
        <v>37.99551</v>
      </c>
      <c r="N27" s="4">
        <v>39.02995</v>
      </c>
      <c r="O27" s="4">
        <v>39.5</v>
      </c>
      <c r="P27" s="4">
        <v>22</v>
      </c>
      <c r="Q27" s="4">
        <v>3.119358</v>
      </c>
      <c r="R27" s="4"/>
      <c r="S27" s="21">
        <v>94.15871</v>
      </c>
      <c r="T27" s="21">
        <v>50</v>
      </c>
      <c r="U27" s="21">
        <v>128.0679</v>
      </c>
      <c r="V27" s="21">
        <v>30.25174</v>
      </c>
      <c r="W27" s="21">
        <v>33.36046</v>
      </c>
      <c r="X27" s="21">
        <v>50</v>
      </c>
      <c r="Y27" s="21">
        <v>141.063</v>
      </c>
      <c r="Z27" s="21">
        <v>29.44517</v>
      </c>
      <c r="AA27" s="21">
        <v>33.41471</v>
      </c>
      <c r="AB27" s="21"/>
      <c r="AC27" s="8"/>
      <c r="AD27" s="8">
        <v>0</v>
      </c>
      <c r="AE27" s="8">
        <v>8.435058E-05</v>
      </c>
      <c r="AF27" s="8">
        <v>87.09853</v>
      </c>
      <c r="AG27" s="8">
        <v>20.98886</v>
      </c>
      <c r="AH27" s="8"/>
      <c r="AI27" s="22"/>
      <c r="AJ27" s="22"/>
      <c r="AK27" s="22"/>
      <c r="AL27" s="22"/>
      <c r="AM27" s="22"/>
      <c r="AN27" s="8">
        <v>47.27286</v>
      </c>
      <c r="AO27" s="9">
        <v>50</v>
      </c>
      <c r="AP27" s="10">
        <v>28.41073</v>
      </c>
      <c r="AQ27" s="11">
        <v>39.52185</v>
      </c>
      <c r="AR27" s="12">
        <v>0.08680725</v>
      </c>
    </row>
    <row r="28" spans="2:44" ht="13.5" customHeight="1" x14ac:dyDescent="0.25">
      <c r="B28" s="120" t="s">
        <v>262</v>
      </c>
      <c r="C28" s="20">
        <v>-80.7364</v>
      </c>
      <c r="D28" s="4">
        <v>-80.03472</v>
      </c>
      <c r="E28" s="4">
        <v>103.1322</v>
      </c>
      <c r="F28" s="4">
        <v>0.02965857</v>
      </c>
      <c r="G28" s="4">
        <v>9.2453E-05</v>
      </c>
      <c r="H28" s="4"/>
      <c r="I28" s="4"/>
      <c r="J28" s="4"/>
      <c r="K28" s="4"/>
      <c r="L28" s="5"/>
      <c r="M28" s="20">
        <v>43.83319</v>
      </c>
      <c r="N28" s="4">
        <v>37.11299</v>
      </c>
      <c r="O28" s="4">
        <v>39.5</v>
      </c>
      <c r="P28" s="4">
        <v>22</v>
      </c>
      <c r="Q28" s="4">
        <v>3.333333</v>
      </c>
      <c r="R28" s="4"/>
      <c r="S28" s="21">
        <v>93.51852</v>
      </c>
      <c r="T28" s="21">
        <v>40</v>
      </c>
      <c r="U28" s="21">
        <v>99.86871</v>
      </c>
      <c r="V28" s="21">
        <v>23.40495</v>
      </c>
      <c r="W28" s="21">
        <v>27.8049</v>
      </c>
      <c r="X28" s="21">
        <v>40</v>
      </c>
      <c r="Y28" s="21">
        <v>102.0944</v>
      </c>
      <c r="Z28" s="21">
        <v>22.62912</v>
      </c>
      <c r="AA28" s="21">
        <v>27.78321</v>
      </c>
      <c r="AB28" s="21"/>
      <c r="AC28" s="8"/>
      <c r="AD28" s="8">
        <v>1.548286</v>
      </c>
      <c r="AE28" s="8">
        <v>0.0008229981</v>
      </c>
      <c r="AF28" s="8">
        <v>91.47135</v>
      </c>
      <c r="AG28" s="8">
        <v>33.77821</v>
      </c>
      <c r="AH28" s="8"/>
      <c r="AI28" s="22"/>
      <c r="AJ28" s="22"/>
      <c r="AK28" s="22"/>
      <c r="AL28" s="22"/>
      <c r="AM28" s="22"/>
      <c r="AN28" s="8">
        <v>46.2963</v>
      </c>
      <c r="AO28" s="9">
        <v>50</v>
      </c>
      <c r="AP28" s="10">
        <v>28.13042</v>
      </c>
      <c r="AQ28" s="11">
        <v>39.30122</v>
      </c>
      <c r="AR28" s="12">
        <v>0.08680725</v>
      </c>
    </row>
    <row r="29" spans="2:44" ht="13.5" customHeight="1" x14ac:dyDescent="0.25">
      <c r="B29" s="121">
        <v>0.125</v>
      </c>
      <c r="C29" s="20">
        <v>-79.6441</v>
      </c>
      <c r="D29" s="4">
        <v>-79.49219</v>
      </c>
      <c r="E29" s="4">
        <v>103.1322</v>
      </c>
      <c r="F29" s="4">
        <v>0.08608218</v>
      </c>
      <c r="G29" s="4">
        <v>9.22699E-05</v>
      </c>
      <c r="H29" s="4"/>
      <c r="I29" s="4"/>
      <c r="J29" s="4"/>
      <c r="K29" s="4"/>
      <c r="L29" s="5"/>
      <c r="M29" s="20">
        <v>39.96311</v>
      </c>
      <c r="N29" s="4">
        <v>38.46209</v>
      </c>
      <c r="O29" s="4">
        <v>39.5</v>
      </c>
      <c r="P29" s="4">
        <v>22</v>
      </c>
      <c r="Q29" s="4">
        <v>3.413629</v>
      </c>
      <c r="R29" s="4"/>
      <c r="S29" s="21">
        <v>96.57841</v>
      </c>
      <c r="T29" s="21">
        <v>30</v>
      </c>
      <c r="U29" s="21">
        <v>75.05009</v>
      </c>
      <c r="V29" s="21">
        <v>19.41732</v>
      </c>
      <c r="W29" s="21">
        <v>24.40864</v>
      </c>
      <c r="X29" s="21">
        <v>30</v>
      </c>
      <c r="Y29" s="21">
        <v>74.66888</v>
      </c>
      <c r="Z29" s="21">
        <v>19.03393</v>
      </c>
      <c r="AA29" s="21">
        <v>24.39779</v>
      </c>
      <c r="AB29" s="21"/>
      <c r="AC29" s="8"/>
      <c r="AD29" s="8">
        <v>0.7698568</v>
      </c>
      <c r="AE29" s="8">
        <v>0.001525513</v>
      </c>
      <c r="AF29" s="8">
        <v>91.54008</v>
      </c>
      <c r="AG29" s="8">
        <v>17.40451</v>
      </c>
      <c r="AH29" s="8"/>
      <c r="AI29" s="22"/>
      <c r="AJ29" s="22"/>
      <c r="AK29" s="22"/>
      <c r="AL29" s="22"/>
      <c r="AM29" s="22"/>
      <c r="AN29" s="8">
        <v>45.89844</v>
      </c>
      <c r="AO29" s="9">
        <v>50</v>
      </c>
      <c r="AP29" s="10">
        <v>27.8682</v>
      </c>
      <c r="AQ29" s="11">
        <v>39.58333</v>
      </c>
      <c r="AR29" s="12">
        <v>0.08680725</v>
      </c>
    </row>
    <row r="30" spans="2:44" ht="13.5" customHeight="1" x14ac:dyDescent="0.25">
      <c r="B30" s="121">
        <v>0.16666666666666666</v>
      </c>
      <c r="C30" s="20">
        <v>-80.72917</v>
      </c>
      <c r="D30" s="4">
        <v>-79.98409</v>
      </c>
      <c r="E30" s="4">
        <v>103.1322</v>
      </c>
      <c r="F30" s="4">
        <v>0.1159578</v>
      </c>
      <c r="G30" s="4">
        <v>9.082031E-05</v>
      </c>
      <c r="H30" s="4"/>
      <c r="I30" s="4"/>
      <c r="J30" s="4"/>
      <c r="K30" s="4"/>
      <c r="L30" s="5"/>
      <c r="M30" s="20">
        <v>32.51591</v>
      </c>
      <c r="N30" s="4">
        <v>39.23973</v>
      </c>
      <c r="O30" s="4">
        <v>39.5</v>
      </c>
      <c r="P30" s="4">
        <v>22</v>
      </c>
      <c r="Q30" s="4">
        <v>3.224826</v>
      </c>
      <c r="R30" s="4"/>
      <c r="S30" s="21">
        <v>96.24566</v>
      </c>
      <c r="T30" s="21">
        <v>30</v>
      </c>
      <c r="U30" s="21">
        <v>74.73615</v>
      </c>
      <c r="V30" s="21">
        <v>17.30686</v>
      </c>
      <c r="W30" s="21">
        <v>22.02691</v>
      </c>
      <c r="X30" s="21">
        <v>30</v>
      </c>
      <c r="Y30" s="21">
        <v>74.78661</v>
      </c>
      <c r="Z30" s="21">
        <v>16.89996</v>
      </c>
      <c r="AA30" s="21">
        <v>22.04319</v>
      </c>
      <c r="AB30" s="21"/>
      <c r="AC30" s="8"/>
      <c r="AD30" s="8">
        <v>1.548394</v>
      </c>
      <c r="AE30" s="8">
        <v>0.001538086</v>
      </c>
      <c r="AF30" s="8">
        <v>91.88007</v>
      </c>
      <c r="AG30" s="8">
        <v>19.62167</v>
      </c>
      <c r="AH30" s="8"/>
      <c r="AI30" s="22"/>
      <c r="AJ30" s="22"/>
      <c r="AK30" s="22"/>
      <c r="AL30" s="22"/>
      <c r="AM30" s="22"/>
      <c r="AN30" s="8">
        <v>45.20399</v>
      </c>
      <c r="AO30" s="9">
        <v>50</v>
      </c>
      <c r="AP30" s="10">
        <v>27.50651</v>
      </c>
      <c r="AQ30" s="11">
        <v>39.62674</v>
      </c>
      <c r="AR30" s="12">
        <v>0.09766388</v>
      </c>
    </row>
    <row r="31" spans="2:44" ht="13.5" customHeight="1" x14ac:dyDescent="0.25">
      <c r="B31" s="121">
        <v>0.20833333333333334</v>
      </c>
      <c r="C31" s="20">
        <v>-80.50492</v>
      </c>
      <c r="D31" s="4">
        <v>-79.6441</v>
      </c>
      <c r="E31" s="4">
        <v>103.1322</v>
      </c>
      <c r="F31" s="4">
        <v>0.07197627</v>
      </c>
      <c r="G31" s="4">
        <v>9.281922E-05</v>
      </c>
      <c r="H31" s="4"/>
      <c r="I31" s="4"/>
      <c r="J31" s="4"/>
      <c r="K31" s="4"/>
      <c r="L31" s="5"/>
      <c r="M31" s="20">
        <v>18.7283</v>
      </c>
      <c r="N31" s="4">
        <v>38.97931</v>
      </c>
      <c r="O31" s="4">
        <v>39.5</v>
      </c>
      <c r="P31" s="4">
        <v>22</v>
      </c>
      <c r="Q31" s="4">
        <v>3.209635</v>
      </c>
      <c r="R31" s="4"/>
      <c r="S31" s="21">
        <v>95.66695</v>
      </c>
      <c r="T31" s="21">
        <v>28.25</v>
      </c>
      <c r="U31" s="21">
        <v>70.73893</v>
      </c>
      <c r="V31" s="21">
        <v>15.90169</v>
      </c>
      <c r="W31" s="21">
        <v>20.62175</v>
      </c>
      <c r="X31" s="21">
        <v>28.5</v>
      </c>
      <c r="Y31" s="21">
        <v>71.17622</v>
      </c>
      <c r="Z31" s="21">
        <v>15.72989</v>
      </c>
      <c r="AA31" s="21">
        <v>20.6109</v>
      </c>
      <c r="AB31" s="21"/>
      <c r="AC31" s="8"/>
      <c r="AD31" s="8">
        <v>1.548394</v>
      </c>
      <c r="AE31" s="8">
        <v>0.001454712</v>
      </c>
      <c r="AF31" s="8">
        <v>92.35387</v>
      </c>
      <c r="AG31" s="8">
        <v>27.26056</v>
      </c>
      <c r="AH31" s="8"/>
      <c r="AI31" s="22"/>
      <c r="AJ31" s="22"/>
      <c r="AK31" s="22"/>
      <c r="AL31" s="22"/>
      <c r="AM31" s="22"/>
      <c r="AN31" s="8">
        <v>44.61082</v>
      </c>
      <c r="AO31" s="9">
        <v>50</v>
      </c>
      <c r="AP31" s="10">
        <v>27.41609</v>
      </c>
      <c r="AQ31" s="11">
        <v>39.44589</v>
      </c>
      <c r="AR31" s="12">
        <v>0.09766388</v>
      </c>
    </row>
    <row r="32" spans="2:44" ht="13.5" customHeight="1" x14ac:dyDescent="0.25">
      <c r="B32" s="121">
        <v>0.25</v>
      </c>
      <c r="C32" s="20">
        <v>-78.71094</v>
      </c>
      <c r="D32" s="4">
        <v>-77.83565</v>
      </c>
      <c r="E32" s="4">
        <v>103.1358</v>
      </c>
      <c r="F32" s="4">
        <v>0.09418403</v>
      </c>
      <c r="G32" s="4">
        <v>9.126282E-05</v>
      </c>
      <c r="H32" s="4"/>
      <c r="I32" s="4"/>
      <c r="J32" s="4"/>
      <c r="K32" s="4"/>
      <c r="L32" s="5"/>
      <c r="M32" s="20">
        <v>21.1697</v>
      </c>
      <c r="N32" s="4">
        <v>34.66435</v>
      </c>
      <c r="O32" s="4">
        <v>39.5</v>
      </c>
      <c r="P32" s="4">
        <v>22</v>
      </c>
      <c r="Q32" s="4">
        <v>3.495226</v>
      </c>
      <c r="R32" s="4">
        <v>18.66681</v>
      </c>
      <c r="S32" s="21">
        <v>94.40827</v>
      </c>
      <c r="T32" s="21">
        <v>28</v>
      </c>
      <c r="U32" s="21">
        <v>71.62471</v>
      </c>
      <c r="V32" s="21">
        <v>14.29579</v>
      </c>
      <c r="W32" s="21">
        <v>18.51129</v>
      </c>
      <c r="X32" s="21">
        <v>0</v>
      </c>
      <c r="Y32" s="21">
        <v>0</v>
      </c>
      <c r="Z32" s="21">
        <v>12.98286</v>
      </c>
      <c r="AA32" s="21">
        <v>18.22917</v>
      </c>
      <c r="AB32" s="21"/>
      <c r="AC32" s="8"/>
      <c r="AD32" s="8">
        <v>1.548231</v>
      </c>
      <c r="AE32" s="8">
        <v>0.001156616</v>
      </c>
      <c r="AF32" s="8">
        <v>98.62196</v>
      </c>
      <c r="AG32" s="8">
        <v>96.17332</v>
      </c>
      <c r="AH32" s="8"/>
      <c r="AI32" s="22"/>
      <c r="AJ32" s="22"/>
      <c r="AK32" s="22"/>
      <c r="AL32" s="22"/>
      <c r="AM32" s="22"/>
      <c r="AN32" s="8">
        <v>43.72107</v>
      </c>
      <c r="AO32" s="9">
        <v>50</v>
      </c>
      <c r="AP32" s="10">
        <v>27.08152</v>
      </c>
      <c r="AQ32" s="11">
        <v>39.3844</v>
      </c>
      <c r="AR32" s="12">
        <v>0.09766388</v>
      </c>
    </row>
    <row r="33" spans="2:44" ht="13.5" customHeight="1" x14ac:dyDescent="0.25">
      <c r="B33" s="121">
        <v>0.29166666666666669</v>
      </c>
      <c r="C33" s="20">
        <v>-79.83941</v>
      </c>
      <c r="D33" s="4">
        <v>-79.02199</v>
      </c>
      <c r="E33" s="4">
        <v>103.1358</v>
      </c>
      <c r="F33" s="4">
        <v>0.1463397</v>
      </c>
      <c r="G33" s="4">
        <v>9.039306E-05</v>
      </c>
      <c r="H33" s="4"/>
      <c r="I33" s="4"/>
      <c r="J33" s="4"/>
      <c r="K33" s="4"/>
      <c r="L33" s="5"/>
      <c r="M33" s="20">
        <v>21.07928</v>
      </c>
      <c r="N33" s="4">
        <v>32.43996</v>
      </c>
      <c r="O33" s="4">
        <v>39.5</v>
      </c>
      <c r="P33" s="4">
        <v>22</v>
      </c>
      <c r="Q33" s="4">
        <v>3.38151</v>
      </c>
      <c r="R33" s="4"/>
      <c r="S33" s="21">
        <v>96.98351</v>
      </c>
      <c r="T33" s="21">
        <v>28</v>
      </c>
      <c r="U33" s="21">
        <v>71.80411</v>
      </c>
      <c r="V33" s="21">
        <v>15.57075</v>
      </c>
      <c r="W33" s="21">
        <v>19.91103</v>
      </c>
      <c r="X33" s="21">
        <v>0</v>
      </c>
      <c r="Y33" s="21">
        <v>0</v>
      </c>
      <c r="Z33" s="21">
        <v>0</v>
      </c>
      <c r="AA33" s="21">
        <v>107.9753</v>
      </c>
      <c r="AB33" s="21"/>
      <c r="AC33" s="8"/>
      <c r="AD33" s="8">
        <v>1.548394</v>
      </c>
      <c r="AE33" s="8">
        <v>0.001114136</v>
      </c>
      <c r="AF33" s="8">
        <v>67.10069</v>
      </c>
      <c r="AG33" s="8">
        <v>17.63961</v>
      </c>
      <c r="AH33" s="8"/>
      <c r="AI33" s="22"/>
      <c r="AJ33" s="22"/>
      <c r="AK33" s="22"/>
      <c r="AL33" s="22"/>
      <c r="AM33" s="22"/>
      <c r="AN33" s="8">
        <v>48.57494</v>
      </c>
      <c r="AO33" s="9">
        <v>50</v>
      </c>
      <c r="AP33" s="10">
        <v>26.96398</v>
      </c>
      <c r="AQ33" s="11">
        <v>39.58695</v>
      </c>
      <c r="AR33" s="12">
        <v>0.09766388</v>
      </c>
    </row>
    <row r="34" spans="2:44" ht="13.5" customHeight="1" x14ac:dyDescent="0.25">
      <c r="B34" s="121">
        <v>0.33333333333333331</v>
      </c>
      <c r="C34" s="100">
        <v>-80.92448</v>
      </c>
      <c r="D34" s="98">
        <v>-80.23003</v>
      </c>
      <c r="E34" s="98">
        <v>103.1286</v>
      </c>
      <c r="F34" s="98">
        <v>0.1090133</v>
      </c>
      <c r="G34" s="98">
        <v>9.12323E-05</v>
      </c>
      <c r="H34" s="98"/>
      <c r="I34" s="98"/>
      <c r="J34" s="98"/>
      <c r="K34" s="98"/>
      <c r="L34" s="99"/>
      <c r="M34" s="100">
        <v>21.05035</v>
      </c>
      <c r="N34" s="98">
        <v>32.38209</v>
      </c>
      <c r="O34" s="98">
        <v>39.5</v>
      </c>
      <c r="P34" s="98">
        <v>22</v>
      </c>
      <c r="Q34" s="98">
        <v>3.111111</v>
      </c>
      <c r="R34" s="98">
        <v>19.28892</v>
      </c>
      <c r="S34" s="101">
        <v>92.57089</v>
      </c>
      <c r="T34" s="101">
        <v>30</v>
      </c>
      <c r="U34" s="101">
        <v>76.55255</v>
      </c>
      <c r="V34" s="101">
        <v>13.66103</v>
      </c>
      <c r="W34" s="101">
        <v>19.22743</v>
      </c>
      <c r="X34" s="101">
        <v>0</v>
      </c>
      <c r="Y34" s="101">
        <v>0</v>
      </c>
      <c r="Z34" s="101">
        <v>0</v>
      </c>
      <c r="AA34" s="101">
        <v>77.30035</v>
      </c>
      <c r="AB34" s="101"/>
      <c r="AC34" s="102"/>
      <c r="AD34" s="102">
        <v>0</v>
      </c>
      <c r="AE34" s="102">
        <v>0.000638916</v>
      </c>
      <c r="AF34" s="102">
        <v>75.37978</v>
      </c>
      <c r="AG34" s="102">
        <v>14.50376</v>
      </c>
      <c r="AH34" s="102"/>
      <c r="AI34" s="103"/>
      <c r="AJ34" s="103"/>
      <c r="AK34" s="103"/>
      <c r="AL34" s="103"/>
      <c r="AM34" s="103"/>
      <c r="AN34" s="102">
        <v>53.92072</v>
      </c>
      <c r="AO34" s="104">
        <v>50</v>
      </c>
      <c r="AP34" s="105">
        <v>27.24429</v>
      </c>
      <c r="AQ34" s="106">
        <v>39.30483</v>
      </c>
      <c r="AR34" s="19">
        <v>0.09766388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24.71065</v>
      </c>
      <c r="F39" s="107"/>
      <c r="G39" s="107"/>
      <c r="H39" s="107">
        <v>0</v>
      </c>
      <c r="I39" s="107"/>
      <c r="J39" s="107">
        <v>30.42716</v>
      </c>
      <c r="K39" s="107">
        <v>40</v>
      </c>
      <c r="L39" s="107">
        <v>29.52293</v>
      </c>
      <c r="M39" s="107">
        <v>0</v>
      </c>
      <c r="N39" s="107"/>
      <c r="O39" s="107">
        <v>33.04036</v>
      </c>
      <c r="P39" s="107">
        <v>0.05</v>
      </c>
      <c r="Q39" s="107">
        <v>0.1094473</v>
      </c>
      <c r="R39" s="107"/>
      <c r="S39" s="107">
        <v>0</v>
      </c>
      <c r="T39" s="107"/>
      <c r="U39" s="108">
        <v>0</v>
      </c>
      <c r="V39" s="109"/>
      <c r="W39" s="110">
        <v>97.21137</v>
      </c>
      <c r="X39" s="108">
        <v>18.78617</v>
      </c>
      <c r="Y39" s="108">
        <v>50</v>
      </c>
      <c r="Z39" s="108">
        <v>123.8802</v>
      </c>
      <c r="AA39" s="108">
        <v>17.31228</v>
      </c>
      <c r="AB39" s="108">
        <v>19.46615</v>
      </c>
      <c r="AC39" s="108">
        <v>0</v>
      </c>
      <c r="AD39" s="108">
        <v>20.59462</v>
      </c>
      <c r="AE39" s="111">
        <v>11.63375</v>
      </c>
      <c r="AF39" s="111">
        <v>19.12978</v>
      </c>
      <c r="AG39" s="111"/>
      <c r="AH39" s="111">
        <v>0</v>
      </c>
      <c r="AI39" s="111">
        <v>0</v>
      </c>
      <c r="AJ39" s="111"/>
      <c r="AK39" s="111">
        <v>68.54745</v>
      </c>
      <c r="AL39" s="112">
        <v>40.02315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2.632141E-06</v>
      </c>
      <c r="E40" s="4">
        <v>25.33999</v>
      </c>
      <c r="F40" s="4"/>
      <c r="G40" s="4"/>
      <c r="H40" s="4">
        <v>0</v>
      </c>
      <c r="I40" s="4">
        <v>0.001302719</v>
      </c>
      <c r="J40" s="4">
        <v>30.48141</v>
      </c>
      <c r="K40" s="4">
        <v>40</v>
      </c>
      <c r="L40" s="4">
        <v>29.33304</v>
      </c>
      <c r="M40" s="4">
        <v>0</v>
      </c>
      <c r="N40" s="4">
        <v>0</v>
      </c>
      <c r="O40" s="4">
        <v>32.76006</v>
      </c>
      <c r="P40" s="4">
        <v>0.05</v>
      </c>
      <c r="Q40" s="4">
        <v>0.2016782</v>
      </c>
      <c r="R40" s="4">
        <v>0.0001533508</v>
      </c>
      <c r="S40" s="4">
        <v>0</v>
      </c>
      <c r="T40" s="4">
        <v>0</v>
      </c>
      <c r="U40" s="21">
        <v>0</v>
      </c>
      <c r="V40" s="29">
        <v>0</v>
      </c>
      <c r="W40" s="30">
        <v>96.76287</v>
      </c>
      <c r="X40" s="21">
        <v>20.25101</v>
      </c>
      <c r="Y40" s="21">
        <v>50</v>
      </c>
      <c r="Z40" s="21">
        <v>123.8802</v>
      </c>
      <c r="AA40" s="21">
        <v>18.46246</v>
      </c>
      <c r="AB40" s="21">
        <v>21.41927</v>
      </c>
      <c r="AC40" s="21">
        <v>50</v>
      </c>
      <c r="AD40" s="21">
        <v>123.7804</v>
      </c>
      <c r="AE40" s="8">
        <v>9.154369</v>
      </c>
      <c r="AF40" s="8">
        <v>21.4681</v>
      </c>
      <c r="AG40" s="8"/>
      <c r="AH40" s="8">
        <v>0</v>
      </c>
      <c r="AI40" s="8">
        <v>0</v>
      </c>
      <c r="AJ40" s="8">
        <v>0</v>
      </c>
      <c r="AK40" s="8">
        <v>68.52575</v>
      </c>
      <c r="AL40" s="9">
        <v>39.84665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>
        <v>0</v>
      </c>
      <c r="D41" s="4">
        <v>2.926445E-05</v>
      </c>
      <c r="E41" s="4">
        <v>26.17188</v>
      </c>
      <c r="F41" s="4"/>
      <c r="G41" s="4"/>
      <c r="H41" s="4">
        <v>0</v>
      </c>
      <c r="I41" s="4">
        <v>0</v>
      </c>
      <c r="J41" s="4">
        <v>30.53566</v>
      </c>
      <c r="K41" s="4">
        <v>40</v>
      </c>
      <c r="L41" s="4">
        <v>29.24262</v>
      </c>
      <c r="M41" s="4">
        <v>0</v>
      </c>
      <c r="N41" s="4">
        <v>0</v>
      </c>
      <c r="O41" s="4">
        <v>32.3622</v>
      </c>
      <c r="P41" s="4">
        <v>0.05</v>
      </c>
      <c r="Q41" s="4">
        <v>0.327474</v>
      </c>
      <c r="R41" s="4">
        <v>0.0003016357</v>
      </c>
      <c r="S41" s="4">
        <v>0</v>
      </c>
      <c r="T41" s="4">
        <v>0</v>
      </c>
      <c r="U41" s="21">
        <v>0</v>
      </c>
      <c r="V41" s="29">
        <v>0</v>
      </c>
      <c r="W41" s="30">
        <v>89.81843</v>
      </c>
      <c r="X41" s="21">
        <v>18.92361</v>
      </c>
      <c r="Y41" s="21">
        <v>40</v>
      </c>
      <c r="Z41" s="21">
        <v>101.5885</v>
      </c>
      <c r="AA41" s="21">
        <v>19.85135</v>
      </c>
      <c r="AB41" s="21">
        <v>23.09028</v>
      </c>
      <c r="AC41" s="21">
        <v>40</v>
      </c>
      <c r="AD41" s="21">
        <v>106.7708</v>
      </c>
      <c r="AE41" s="8">
        <v>9.239367</v>
      </c>
      <c r="AF41" s="8">
        <v>23.08485</v>
      </c>
      <c r="AG41" s="8"/>
      <c r="AH41" s="8">
        <v>0</v>
      </c>
      <c r="AI41" s="8">
        <v>0</v>
      </c>
      <c r="AJ41" s="8">
        <v>0.0002456017</v>
      </c>
      <c r="AK41" s="8">
        <v>68.4932</v>
      </c>
      <c r="AL41" s="9">
        <v>39.6904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3.792763E-05</v>
      </c>
      <c r="E42" s="4">
        <v>25.38339</v>
      </c>
      <c r="F42" s="4"/>
      <c r="G42" s="4"/>
      <c r="H42" s="4">
        <v>0</v>
      </c>
      <c r="I42" s="4">
        <v>6.389618E-05</v>
      </c>
      <c r="J42" s="4">
        <v>30.53566</v>
      </c>
      <c r="K42" s="4">
        <v>40</v>
      </c>
      <c r="L42" s="4">
        <v>29.01657</v>
      </c>
      <c r="M42" s="4">
        <v>0</v>
      </c>
      <c r="N42" s="4">
        <v>0</v>
      </c>
      <c r="O42" s="4">
        <v>31.86487</v>
      </c>
      <c r="P42" s="4">
        <v>0.05</v>
      </c>
      <c r="Q42" s="4">
        <v>0.3798466</v>
      </c>
      <c r="R42" s="4">
        <v>0.000361908</v>
      </c>
      <c r="S42" s="4">
        <v>0</v>
      </c>
      <c r="T42" s="4">
        <v>0</v>
      </c>
      <c r="U42" s="21">
        <v>0</v>
      </c>
      <c r="V42" s="29">
        <v>0</v>
      </c>
      <c r="W42" s="30">
        <v>94.48061</v>
      </c>
      <c r="X42" s="21">
        <v>19.36849</v>
      </c>
      <c r="Y42" s="21">
        <v>50</v>
      </c>
      <c r="Z42" s="21">
        <v>123.8802</v>
      </c>
      <c r="AA42" s="21">
        <v>24.9783</v>
      </c>
      <c r="AB42" s="21">
        <v>30.38737</v>
      </c>
      <c r="AC42" s="21">
        <v>50</v>
      </c>
      <c r="AD42" s="21">
        <v>123.7804</v>
      </c>
      <c r="AE42" s="8">
        <v>13.56879</v>
      </c>
      <c r="AF42" s="8">
        <v>85.47635</v>
      </c>
      <c r="AG42" s="8"/>
      <c r="AH42" s="8">
        <v>0</v>
      </c>
      <c r="AI42" s="8">
        <v>0</v>
      </c>
      <c r="AJ42" s="8">
        <v>0</v>
      </c>
      <c r="AK42" s="8">
        <v>68.45341</v>
      </c>
      <c r="AL42" s="9">
        <v>39.52836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>
        <v>0</v>
      </c>
      <c r="D43" s="4">
        <v>6.685257E-06</v>
      </c>
      <c r="E43" s="4">
        <v>26.57697</v>
      </c>
      <c r="F43" s="4"/>
      <c r="G43" s="4"/>
      <c r="H43" s="4">
        <v>0</v>
      </c>
      <c r="I43" s="4">
        <v>0.0002651215</v>
      </c>
      <c r="J43" s="4">
        <v>30.53566</v>
      </c>
      <c r="K43" s="4">
        <v>40</v>
      </c>
      <c r="L43" s="4">
        <v>28.95327</v>
      </c>
      <c r="M43" s="4">
        <v>0</v>
      </c>
      <c r="N43" s="4">
        <v>0</v>
      </c>
      <c r="O43" s="4">
        <v>31.59361</v>
      </c>
      <c r="P43" s="4">
        <v>0.05</v>
      </c>
      <c r="Q43" s="4">
        <v>0.318287</v>
      </c>
      <c r="R43" s="4">
        <v>0.0003280029</v>
      </c>
      <c r="S43" s="4">
        <v>0</v>
      </c>
      <c r="T43" s="4">
        <v>0</v>
      </c>
      <c r="U43" s="21">
        <v>0</v>
      </c>
      <c r="V43" s="29">
        <v>0</v>
      </c>
      <c r="W43" s="30">
        <v>95.79716</v>
      </c>
      <c r="X43" s="21">
        <v>20.12804</v>
      </c>
      <c r="Y43" s="21">
        <v>50</v>
      </c>
      <c r="Z43" s="21">
        <v>123.8759</v>
      </c>
      <c r="AA43" s="21">
        <v>23.20964</v>
      </c>
      <c r="AB43" s="21">
        <v>32.3622</v>
      </c>
      <c r="AC43" s="21">
        <v>50</v>
      </c>
      <c r="AD43" s="21">
        <v>123.7847</v>
      </c>
      <c r="AE43" s="8">
        <v>24.87883</v>
      </c>
      <c r="AF43" s="8">
        <v>32.58464</v>
      </c>
      <c r="AG43" s="8"/>
      <c r="AH43" s="8">
        <v>0</v>
      </c>
      <c r="AI43" s="8">
        <v>0</v>
      </c>
      <c r="AJ43" s="8">
        <v>0</v>
      </c>
      <c r="AK43" s="8">
        <v>68.41001</v>
      </c>
      <c r="AL43" s="9">
        <v>39.38658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0</v>
      </c>
      <c r="D44" s="4">
        <v>0</v>
      </c>
      <c r="E44" s="4">
        <v>27.64757</v>
      </c>
      <c r="F44" s="4"/>
      <c r="G44" s="4"/>
      <c r="H44" s="4">
        <v>0</v>
      </c>
      <c r="I44" s="4">
        <v>0</v>
      </c>
      <c r="J44" s="4">
        <v>30.42716</v>
      </c>
      <c r="K44" s="4">
        <v>40</v>
      </c>
      <c r="L44" s="4">
        <v>28.79051</v>
      </c>
      <c r="M44" s="4">
        <v>0</v>
      </c>
      <c r="N44" s="4">
        <v>0</v>
      </c>
      <c r="O44" s="4">
        <v>31.37659</v>
      </c>
      <c r="P44" s="4">
        <v>0.05</v>
      </c>
      <c r="Q44" s="4">
        <v>0.3268229</v>
      </c>
      <c r="R44" s="4">
        <v>0.0003051148</v>
      </c>
      <c r="S44" s="4">
        <v>0</v>
      </c>
      <c r="T44" s="4">
        <v>0</v>
      </c>
      <c r="U44" s="21">
        <v>0</v>
      </c>
      <c r="V44" s="29">
        <v>0</v>
      </c>
      <c r="W44" s="30">
        <v>93.21832</v>
      </c>
      <c r="X44" s="21">
        <v>20.27633</v>
      </c>
      <c r="Y44" s="21">
        <v>32</v>
      </c>
      <c r="Z44" s="21">
        <v>81.14584</v>
      </c>
      <c r="AA44" s="21">
        <v>30.25174</v>
      </c>
      <c r="AB44" s="21">
        <v>33.36046</v>
      </c>
      <c r="AC44" s="21">
        <v>31</v>
      </c>
      <c r="AD44" s="21">
        <v>81.54514</v>
      </c>
      <c r="AE44" s="8">
        <v>29.44517</v>
      </c>
      <c r="AF44" s="8">
        <v>33.41471</v>
      </c>
      <c r="AG44" s="8"/>
      <c r="AH44" s="8">
        <v>0</v>
      </c>
      <c r="AI44" s="8">
        <v>0.078125</v>
      </c>
      <c r="AJ44" s="8">
        <v>0.0002386665</v>
      </c>
      <c r="AK44" s="8">
        <v>68.39916</v>
      </c>
      <c r="AL44" s="9">
        <v>39.20139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>
        <v>0</v>
      </c>
      <c r="D45" s="4">
        <v>5.099487E-05</v>
      </c>
      <c r="E45" s="4">
        <v>25.80295</v>
      </c>
      <c r="F45" s="4"/>
      <c r="G45" s="4"/>
      <c r="H45" s="4">
        <v>0</v>
      </c>
      <c r="I45" s="4">
        <v>0.0009784698</v>
      </c>
      <c r="J45" s="4">
        <v>30.25535</v>
      </c>
      <c r="K45" s="4">
        <v>40</v>
      </c>
      <c r="L45" s="4">
        <v>28.56445</v>
      </c>
      <c r="M45" s="4">
        <v>0</v>
      </c>
      <c r="N45" s="4">
        <v>0</v>
      </c>
      <c r="O45" s="4">
        <v>30.97873</v>
      </c>
      <c r="P45" s="4">
        <v>0.05</v>
      </c>
      <c r="Q45" s="4">
        <v>0.3124277</v>
      </c>
      <c r="R45" s="4">
        <v>0.000313385</v>
      </c>
      <c r="S45" s="4">
        <v>0</v>
      </c>
      <c r="T45" s="4">
        <v>0</v>
      </c>
      <c r="U45" s="21">
        <v>0</v>
      </c>
      <c r="V45" s="29">
        <v>0</v>
      </c>
      <c r="W45" s="30">
        <v>95.46441</v>
      </c>
      <c r="X45" s="21">
        <v>20.11357</v>
      </c>
      <c r="Y45" s="21">
        <v>30</v>
      </c>
      <c r="Z45" s="21">
        <v>75.81598</v>
      </c>
      <c r="AA45" s="21">
        <v>23.40495</v>
      </c>
      <c r="AB45" s="21">
        <v>27.8049</v>
      </c>
      <c r="AC45" s="21">
        <v>30</v>
      </c>
      <c r="AD45" s="21">
        <v>78.73698</v>
      </c>
      <c r="AE45" s="8">
        <v>22.62912</v>
      </c>
      <c r="AF45" s="8">
        <v>27.78321</v>
      </c>
      <c r="AG45" s="8"/>
      <c r="AH45" s="8">
        <v>0</v>
      </c>
      <c r="AI45" s="8">
        <v>0</v>
      </c>
      <c r="AJ45" s="8">
        <v>3.725433E-05</v>
      </c>
      <c r="AK45" s="8">
        <v>68.33405</v>
      </c>
      <c r="AL45" s="9">
        <v>39.07986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0</v>
      </c>
      <c r="E46" s="4">
        <v>24.9783</v>
      </c>
      <c r="F46" s="4"/>
      <c r="G46" s="4"/>
      <c r="H46" s="4">
        <v>0</v>
      </c>
      <c r="I46" s="4">
        <v>0.0006561279</v>
      </c>
      <c r="J46" s="4">
        <v>30.08355</v>
      </c>
      <c r="K46" s="4">
        <v>40</v>
      </c>
      <c r="L46" s="4">
        <v>28.40169</v>
      </c>
      <c r="M46" s="4">
        <v>0</v>
      </c>
      <c r="N46" s="4">
        <v>0</v>
      </c>
      <c r="O46" s="4">
        <v>30.58992</v>
      </c>
      <c r="P46" s="4">
        <v>0.05</v>
      </c>
      <c r="Q46" s="4">
        <v>0.3268953</v>
      </c>
      <c r="R46" s="4">
        <v>0.0003138123</v>
      </c>
      <c r="S46" s="4">
        <v>0</v>
      </c>
      <c r="T46" s="4">
        <v>0</v>
      </c>
      <c r="U46" s="21">
        <v>0</v>
      </c>
      <c r="V46" s="29">
        <v>0</v>
      </c>
      <c r="W46" s="30">
        <v>92.22729</v>
      </c>
      <c r="X46" s="21">
        <v>19.90379</v>
      </c>
      <c r="Y46" s="21">
        <v>50</v>
      </c>
      <c r="Z46" s="21">
        <v>123.8715</v>
      </c>
      <c r="AA46" s="21">
        <v>19.41732</v>
      </c>
      <c r="AB46" s="21">
        <v>24.40864</v>
      </c>
      <c r="AC46" s="21">
        <v>50</v>
      </c>
      <c r="AD46" s="21">
        <v>123.7804</v>
      </c>
      <c r="AE46" s="8">
        <v>19.03393</v>
      </c>
      <c r="AF46" s="8">
        <v>24.39779</v>
      </c>
      <c r="AG46" s="8"/>
      <c r="AH46" s="8">
        <v>0</v>
      </c>
      <c r="AI46" s="8">
        <v>0</v>
      </c>
      <c r="AJ46" s="8">
        <v>0</v>
      </c>
      <c r="AK46" s="8">
        <v>68.31236</v>
      </c>
      <c r="AL46" s="9">
        <v>38.94098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8.207321E-06</v>
      </c>
      <c r="E47" s="4">
        <v>27.46672</v>
      </c>
      <c r="F47" s="4"/>
      <c r="G47" s="4"/>
      <c r="H47" s="4">
        <v>0</v>
      </c>
      <c r="I47" s="4">
        <v>0.0007886887</v>
      </c>
      <c r="J47" s="4">
        <v>29.92079</v>
      </c>
      <c r="K47" s="4">
        <v>40</v>
      </c>
      <c r="L47" s="4">
        <v>28.28414</v>
      </c>
      <c r="M47" s="4">
        <v>0</v>
      </c>
      <c r="N47" s="4">
        <v>0</v>
      </c>
      <c r="O47" s="4">
        <v>30.3729</v>
      </c>
      <c r="P47" s="4">
        <v>0.05</v>
      </c>
      <c r="Q47" s="4">
        <v>0.3093895</v>
      </c>
      <c r="R47" s="4">
        <v>0.0003143005</v>
      </c>
      <c r="S47" s="4">
        <v>0</v>
      </c>
      <c r="T47" s="4">
        <v>0</v>
      </c>
      <c r="U47" s="21">
        <v>0</v>
      </c>
      <c r="V47" s="29">
        <v>0</v>
      </c>
      <c r="W47" s="30">
        <v>97.65987</v>
      </c>
      <c r="X47" s="21">
        <v>20.81163</v>
      </c>
      <c r="Y47" s="21">
        <v>50</v>
      </c>
      <c r="Z47" s="21">
        <v>123.8759</v>
      </c>
      <c r="AA47" s="21">
        <v>17.30686</v>
      </c>
      <c r="AB47" s="21">
        <v>22.02691</v>
      </c>
      <c r="AC47" s="21">
        <v>50</v>
      </c>
      <c r="AD47" s="21">
        <v>123.7847</v>
      </c>
      <c r="AE47" s="8">
        <v>16.89996</v>
      </c>
      <c r="AF47" s="8">
        <v>22.04319</v>
      </c>
      <c r="AG47" s="8"/>
      <c r="AH47" s="8">
        <v>0</v>
      </c>
      <c r="AI47" s="8">
        <v>0</v>
      </c>
      <c r="AJ47" s="8">
        <v>0</v>
      </c>
      <c r="AK47" s="8">
        <v>68.26534</v>
      </c>
      <c r="AL47" s="9">
        <v>38.69213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1.409531E-06</v>
      </c>
      <c r="E48" s="4">
        <v>25.13744</v>
      </c>
      <c r="F48" s="4"/>
      <c r="G48" s="4"/>
      <c r="H48" s="4">
        <v>0</v>
      </c>
      <c r="I48" s="4">
        <v>0.0002670288</v>
      </c>
      <c r="J48" s="4">
        <v>29.69473</v>
      </c>
      <c r="K48" s="4">
        <v>40</v>
      </c>
      <c r="L48" s="4">
        <v>28.28414</v>
      </c>
      <c r="M48" s="4">
        <v>0</v>
      </c>
      <c r="N48" s="4">
        <v>0</v>
      </c>
      <c r="O48" s="4">
        <v>30.14685</v>
      </c>
      <c r="P48" s="4">
        <v>0.05</v>
      </c>
      <c r="Q48" s="4">
        <v>0.322338</v>
      </c>
      <c r="R48" s="4">
        <v>0.000315033</v>
      </c>
      <c r="S48" s="4">
        <v>0</v>
      </c>
      <c r="T48" s="4">
        <v>0</v>
      </c>
      <c r="U48" s="21">
        <v>0</v>
      </c>
      <c r="V48" s="29">
        <v>0</v>
      </c>
      <c r="W48" s="30">
        <v>94.22743</v>
      </c>
      <c r="X48" s="21">
        <v>21.54225</v>
      </c>
      <c r="Y48" s="21">
        <v>50</v>
      </c>
      <c r="Z48" s="21">
        <v>123.8759</v>
      </c>
      <c r="AA48" s="21">
        <v>15.90169</v>
      </c>
      <c r="AB48" s="21">
        <v>20.62175</v>
      </c>
      <c r="AC48" s="21">
        <v>50</v>
      </c>
      <c r="AD48" s="21">
        <v>123.7847</v>
      </c>
      <c r="AE48" s="8">
        <v>15.72989</v>
      </c>
      <c r="AF48" s="8">
        <v>20.6109</v>
      </c>
      <c r="AG48" s="8"/>
      <c r="AH48" s="8">
        <v>0</v>
      </c>
      <c r="AI48" s="8">
        <v>0</v>
      </c>
      <c r="AJ48" s="8">
        <v>0</v>
      </c>
      <c r="AK48" s="8">
        <v>68.25087</v>
      </c>
      <c r="AL48" s="9">
        <v>38.54456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0.0001182499</v>
      </c>
      <c r="E49" s="4">
        <v>26.18634</v>
      </c>
      <c r="F49" s="4"/>
      <c r="G49" s="4"/>
      <c r="H49" s="4">
        <v>0</v>
      </c>
      <c r="I49" s="4">
        <v>0.0007820129</v>
      </c>
      <c r="J49" s="4">
        <v>29.46868</v>
      </c>
      <c r="K49" s="4">
        <v>40</v>
      </c>
      <c r="L49" s="4">
        <v>28.11234</v>
      </c>
      <c r="M49" s="4">
        <v>0</v>
      </c>
      <c r="N49" s="4">
        <v>0</v>
      </c>
      <c r="O49" s="4">
        <v>29.74899</v>
      </c>
      <c r="P49" s="4">
        <v>0.05</v>
      </c>
      <c r="Q49" s="4">
        <v>0.4311343</v>
      </c>
      <c r="R49" s="4">
        <v>0.0003278809</v>
      </c>
      <c r="S49" s="4">
        <v>0</v>
      </c>
      <c r="T49" s="4">
        <v>0</v>
      </c>
      <c r="U49" s="21">
        <v>0</v>
      </c>
      <c r="V49" s="29">
        <v>0</v>
      </c>
      <c r="W49" s="30">
        <v>90.6901</v>
      </c>
      <c r="X49" s="21">
        <v>21.91479</v>
      </c>
      <c r="Y49" s="21">
        <v>50</v>
      </c>
      <c r="Z49" s="21">
        <v>123.8802</v>
      </c>
      <c r="AA49" s="21">
        <v>14.29579</v>
      </c>
      <c r="AB49" s="21">
        <v>18.51129</v>
      </c>
      <c r="AC49" s="21">
        <v>50</v>
      </c>
      <c r="AD49" s="21">
        <v>123.7891</v>
      </c>
      <c r="AE49" s="8">
        <v>12.98286</v>
      </c>
      <c r="AF49" s="8">
        <v>18.22917</v>
      </c>
      <c r="AG49" s="8"/>
      <c r="AH49" s="8">
        <v>0</v>
      </c>
      <c r="AI49" s="8">
        <v>0</v>
      </c>
      <c r="AJ49" s="8">
        <v>0</v>
      </c>
      <c r="AK49" s="8">
        <v>68.21832</v>
      </c>
      <c r="AL49" s="9">
        <v>38.35938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5.303383E-05</v>
      </c>
      <c r="E50" s="4">
        <v>26.40336</v>
      </c>
      <c r="F50" s="4"/>
      <c r="G50" s="4"/>
      <c r="H50" s="4">
        <v>0</v>
      </c>
      <c r="I50" s="4">
        <v>0.0006561279</v>
      </c>
      <c r="J50" s="4">
        <v>29.17933</v>
      </c>
      <c r="K50" s="4">
        <v>40</v>
      </c>
      <c r="L50" s="4">
        <v>28.04905</v>
      </c>
      <c r="M50" s="4">
        <v>0</v>
      </c>
      <c r="N50" s="4">
        <v>0</v>
      </c>
      <c r="O50" s="4">
        <v>29.58623</v>
      </c>
      <c r="P50" s="4">
        <v>0.05</v>
      </c>
      <c r="Q50" s="4">
        <v>0.2996238</v>
      </c>
      <c r="R50" s="4">
        <v>0.0002716675</v>
      </c>
      <c r="S50" s="4">
        <v>0</v>
      </c>
      <c r="T50" s="4">
        <v>0</v>
      </c>
      <c r="U50" s="21">
        <v>0</v>
      </c>
      <c r="V50" s="29">
        <v>0</v>
      </c>
      <c r="W50" s="30">
        <v>91.04817</v>
      </c>
      <c r="X50" s="21">
        <v>21.03226</v>
      </c>
      <c r="Y50" s="21">
        <v>50</v>
      </c>
      <c r="Z50" s="21">
        <v>123.8715</v>
      </c>
      <c r="AA50" s="21">
        <v>15.57075</v>
      </c>
      <c r="AB50" s="21">
        <v>19.91103</v>
      </c>
      <c r="AC50" s="21">
        <v>50</v>
      </c>
      <c r="AD50" s="21">
        <v>123.7804</v>
      </c>
      <c r="AE50" s="8">
        <v>0</v>
      </c>
      <c r="AF50" s="8">
        <v>107.9753</v>
      </c>
      <c r="AG50" s="8"/>
      <c r="AH50" s="8">
        <v>0</v>
      </c>
      <c r="AI50" s="8">
        <v>0</v>
      </c>
      <c r="AJ50" s="8">
        <v>0</v>
      </c>
      <c r="AK50" s="8">
        <v>68.19299</v>
      </c>
      <c r="AL50" s="9">
        <v>38.2147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4.323959E-06</v>
      </c>
      <c r="E51" s="13">
        <v>30.27344</v>
      </c>
      <c r="F51" s="13"/>
      <c r="G51" s="13"/>
      <c r="H51" s="13">
        <v>0</v>
      </c>
      <c r="I51" s="13">
        <v>0</v>
      </c>
      <c r="J51" s="13">
        <v>29.12507</v>
      </c>
      <c r="K51" s="13">
        <v>40</v>
      </c>
      <c r="L51" s="13">
        <v>28.16659</v>
      </c>
      <c r="M51" s="13">
        <v>0</v>
      </c>
      <c r="N51" s="13">
        <v>0</v>
      </c>
      <c r="O51" s="13">
        <v>29.73994</v>
      </c>
      <c r="P51" s="13">
        <v>0.05</v>
      </c>
      <c r="Q51" s="13">
        <v>0.3002749</v>
      </c>
      <c r="R51" s="13">
        <v>0.0002507324</v>
      </c>
      <c r="S51" s="13">
        <v>0</v>
      </c>
      <c r="T51" s="13">
        <v>0</v>
      </c>
      <c r="U51" s="24">
        <v>0</v>
      </c>
      <c r="V51" s="32">
        <v>0</v>
      </c>
      <c r="W51" s="33">
        <v>89.54355</v>
      </c>
      <c r="X51" s="24">
        <v>21.13354</v>
      </c>
      <c r="Y51" s="24">
        <v>50</v>
      </c>
      <c r="Z51" s="24">
        <v>123.8759</v>
      </c>
      <c r="AA51" s="24">
        <v>13.66103</v>
      </c>
      <c r="AB51" s="24">
        <v>19.22743</v>
      </c>
      <c r="AC51" s="24">
        <v>50</v>
      </c>
      <c r="AD51" s="24">
        <v>123.7804</v>
      </c>
      <c r="AE51" s="17">
        <v>0</v>
      </c>
      <c r="AF51" s="17">
        <v>77.30035</v>
      </c>
      <c r="AG51" s="17"/>
      <c r="AH51" s="17">
        <v>0</v>
      </c>
      <c r="AI51" s="17">
        <v>0</v>
      </c>
      <c r="AJ51" s="17">
        <v>0</v>
      </c>
      <c r="AK51" s="17">
        <v>68.20385</v>
      </c>
      <c r="AL51" s="18">
        <v>38.05267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40" t="s">
        <v>369</v>
      </c>
      <c r="C52" s="241"/>
      <c r="D52" s="72" t="s">
        <v>263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</row>
    <row r="2" spans="2:56" ht="12" customHeight="1" x14ac:dyDescent="0.25">
      <c r="B2" s="227" t="s">
        <v>224</v>
      </c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30" t="s">
        <v>223</v>
      </c>
      <c r="N2" s="244"/>
      <c r="O2" s="244"/>
      <c r="P2" s="244"/>
      <c r="Q2" s="244"/>
      <c r="R2" s="244"/>
      <c r="S2" s="244"/>
      <c r="T2" s="244"/>
      <c r="U2" s="244"/>
      <c r="V2" s="244"/>
      <c r="W2" s="245"/>
      <c r="X2" s="231" t="s">
        <v>352</v>
      </c>
      <c r="Y2" s="246"/>
      <c r="Z2" s="246"/>
      <c r="AA2" s="246"/>
      <c r="AB2" s="246"/>
      <c r="AC2" s="246"/>
      <c r="AD2" s="246"/>
      <c r="AE2" s="246"/>
      <c r="AF2" s="246"/>
      <c r="AG2" s="246"/>
      <c r="AH2" s="247"/>
      <c r="AI2" s="230" t="s">
        <v>225</v>
      </c>
      <c r="AJ2" s="244"/>
      <c r="AK2" s="244"/>
      <c r="AL2" s="244"/>
      <c r="AM2" s="244"/>
      <c r="AN2" s="244"/>
      <c r="AO2" s="244"/>
      <c r="AP2" s="244"/>
      <c r="AQ2" s="244"/>
      <c r="AR2" s="244"/>
      <c r="AS2" s="245"/>
      <c r="AT2" s="231" t="s">
        <v>226</v>
      </c>
      <c r="AU2" s="246"/>
      <c r="AV2" s="246"/>
      <c r="AW2" s="246"/>
      <c r="AX2" s="246"/>
      <c r="AY2" s="246"/>
      <c r="AZ2" s="246"/>
      <c r="BA2" s="246"/>
      <c r="BB2" s="246"/>
      <c r="BC2" s="246"/>
      <c r="BD2" s="248"/>
    </row>
    <row r="3" spans="2:56" ht="12" customHeight="1" x14ac:dyDescent="0.25">
      <c r="B3" s="186"/>
      <c r="C3" s="256"/>
      <c r="D3" s="256"/>
      <c r="E3" s="256"/>
      <c r="F3" s="256"/>
      <c r="G3" s="256"/>
      <c r="H3" s="256"/>
      <c r="I3" s="256"/>
      <c r="J3" s="256"/>
      <c r="K3" s="256"/>
      <c r="L3" s="257"/>
      <c r="M3" s="194"/>
      <c r="N3" s="263"/>
      <c r="O3" s="263"/>
      <c r="P3" s="263"/>
      <c r="Q3" s="263"/>
      <c r="R3" s="263"/>
      <c r="S3" s="263"/>
      <c r="T3" s="263"/>
      <c r="U3" s="263"/>
      <c r="V3" s="263"/>
      <c r="W3" s="264"/>
      <c r="X3" s="198"/>
      <c r="Y3" s="269"/>
      <c r="Z3" s="269"/>
      <c r="AA3" s="269"/>
      <c r="AB3" s="269"/>
      <c r="AC3" s="269"/>
      <c r="AD3" s="269"/>
      <c r="AE3" s="269"/>
      <c r="AF3" s="269"/>
      <c r="AG3" s="269"/>
      <c r="AH3" s="270"/>
      <c r="AI3" s="199"/>
      <c r="AJ3" s="276"/>
      <c r="AK3" s="276"/>
      <c r="AL3" s="276"/>
      <c r="AM3" s="276"/>
      <c r="AN3" s="276"/>
      <c r="AO3" s="276"/>
      <c r="AP3" s="276"/>
      <c r="AQ3" s="276"/>
      <c r="AR3" s="276"/>
      <c r="AS3" s="277"/>
      <c r="AT3" s="198"/>
      <c r="AU3" s="269"/>
      <c r="AV3" s="269"/>
      <c r="AW3" s="269"/>
      <c r="AX3" s="269"/>
      <c r="AY3" s="269"/>
      <c r="AZ3" s="269"/>
      <c r="BA3" s="269"/>
      <c r="BB3" s="269"/>
      <c r="BC3" s="269"/>
      <c r="BD3" s="284"/>
    </row>
    <row r="4" spans="2:56" ht="12" customHeight="1" x14ac:dyDescent="0.25">
      <c r="B4" s="204"/>
      <c r="C4" s="258"/>
      <c r="D4" s="258"/>
      <c r="E4" s="258"/>
      <c r="F4" s="258"/>
      <c r="G4" s="258"/>
      <c r="H4" s="258"/>
      <c r="I4" s="258"/>
      <c r="J4" s="258"/>
      <c r="K4" s="258"/>
      <c r="L4" s="259"/>
      <c r="M4" s="224"/>
      <c r="N4" s="151"/>
      <c r="O4" s="151"/>
      <c r="P4" s="151"/>
      <c r="Q4" s="151"/>
      <c r="R4" s="151"/>
      <c r="S4" s="151"/>
      <c r="T4" s="151"/>
      <c r="U4" s="151"/>
      <c r="V4" s="151"/>
      <c r="W4" s="265"/>
      <c r="X4" s="236"/>
      <c r="Y4" s="271"/>
      <c r="Z4" s="271"/>
      <c r="AA4" s="271"/>
      <c r="AB4" s="271"/>
      <c r="AC4" s="271"/>
      <c r="AD4" s="271"/>
      <c r="AE4" s="271"/>
      <c r="AF4" s="271"/>
      <c r="AG4" s="271"/>
      <c r="AH4" s="272"/>
      <c r="AI4" s="278"/>
      <c r="AJ4" s="279"/>
      <c r="AK4" s="279"/>
      <c r="AL4" s="279"/>
      <c r="AM4" s="279"/>
      <c r="AN4" s="279"/>
      <c r="AO4" s="279"/>
      <c r="AP4" s="279"/>
      <c r="AQ4" s="279"/>
      <c r="AR4" s="279"/>
      <c r="AS4" s="280"/>
      <c r="AT4" s="236"/>
      <c r="AU4" s="271"/>
      <c r="AV4" s="271"/>
      <c r="AW4" s="271"/>
      <c r="AX4" s="271"/>
      <c r="AY4" s="271"/>
      <c r="AZ4" s="271"/>
      <c r="BA4" s="271"/>
      <c r="BB4" s="271"/>
      <c r="BC4" s="271"/>
      <c r="BD4" s="285"/>
    </row>
    <row r="5" spans="2:56" ht="12" customHeight="1" x14ac:dyDescent="0.25">
      <c r="B5" s="204"/>
      <c r="C5" s="258"/>
      <c r="D5" s="258"/>
      <c r="E5" s="258"/>
      <c r="F5" s="258"/>
      <c r="G5" s="258"/>
      <c r="H5" s="258"/>
      <c r="I5" s="258"/>
      <c r="J5" s="258"/>
      <c r="K5" s="258"/>
      <c r="L5" s="259"/>
      <c r="M5" s="224"/>
      <c r="N5" s="151"/>
      <c r="O5" s="151"/>
      <c r="P5" s="151"/>
      <c r="Q5" s="151"/>
      <c r="R5" s="151"/>
      <c r="S5" s="151"/>
      <c r="T5" s="151"/>
      <c r="U5" s="151"/>
      <c r="V5" s="151"/>
      <c r="W5" s="265"/>
      <c r="X5" s="236"/>
      <c r="Y5" s="271"/>
      <c r="Z5" s="271"/>
      <c r="AA5" s="271"/>
      <c r="AB5" s="271"/>
      <c r="AC5" s="271"/>
      <c r="AD5" s="271"/>
      <c r="AE5" s="271"/>
      <c r="AF5" s="271"/>
      <c r="AG5" s="271"/>
      <c r="AH5" s="272"/>
      <c r="AI5" s="278"/>
      <c r="AJ5" s="279"/>
      <c r="AK5" s="279"/>
      <c r="AL5" s="279"/>
      <c r="AM5" s="279"/>
      <c r="AN5" s="279"/>
      <c r="AO5" s="279"/>
      <c r="AP5" s="279"/>
      <c r="AQ5" s="279"/>
      <c r="AR5" s="279"/>
      <c r="AS5" s="280"/>
      <c r="AT5" s="236"/>
      <c r="AU5" s="271"/>
      <c r="AV5" s="271"/>
      <c r="AW5" s="271"/>
      <c r="AX5" s="271"/>
      <c r="AY5" s="271"/>
      <c r="AZ5" s="271"/>
      <c r="BA5" s="271"/>
      <c r="BB5" s="271"/>
      <c r="BC5" s="271"/>
      <c r="BD5" s="285"/>
    </row>
    <row r="6" spans="2:56" ht="12" customHeight="1" x14ac:dyDescent="0.25">
      <c r="B6" s="204"/>
      <c r="C6" s="258"/>
      <c r="D6" s="258"/>
      <c r="E6" s="258"/>
      <c r="F6" s="258"/>
      <c r="G6" s="258"/>
      <c r="H6" s="258"/>
      <c r="I6" s="258"/>
      <c r="J6" s="258"/>
      <c r="K6" s="258"/>
      <c r="L6" s="259"/>
      <c r="M6" s="224"/>
      <c r="N6" s="151"/>
      <c r="O6" s="151"/>
      <c r="P6" s="151"/>
      <c r="Q6" s="151"/>
      <c r="R6" s="151"/>
      <c r="S6" s="151"/>
      <c r="T6" s="151"/>
      <c r="U6" s="151"/>
      <c r="V6" s="151"/>
      <c r="W6" s="265"/>
      <c r="X6" s="236"/>
      <c r="Y6" s="271"/>
      <c r="Z6" s="271"/>
      <c r="AA6" s="271"/>
      <c r="AB6" s="271"/>
      <c r="AC6" s="271"/>
      <c r="AD6" s="271"/>
      <c r="AE6" s="271"/>
      <c r="AF6" s="271"/>
      <c r="AG6" s="271"/>
      <c r="AH6" s="272"/>
      <c r="AI6" s="278"/>
      <c r="AJ6" s="279"/>
      <c r="AK6" s="279"/>
      <c r="AL6" s="279"/>
      <c r="AM6" s="279"/>
      <c r="AN6" s="279"/>
      <c r="AO6" s="279"/>
      <c r="AP6" s="279"/>
      <c r="AQ6" s="279"/>
      <c r="AR6" s="279"/>
      <c r="AS6" s="280"/>
      <c r="AT6" s="236"/>
      <c r="AU6" s="271"/>
      <c r="AV6" s="271"/>
      <c r="AW6" s="271"/>
      <c r="AX6" s="271"/>
      <c r="AY6" s="271"/>
      <c r="AZ6" s="271"/>
      <c r="BA6" s="271"/>
      <c r="BB6" s="271"/>
      <c r="BC6" s="271"/>
      <c r="BD6" s="285"/>
    </row>
    <row r="7" spans="2:56" ht="12" customHeight="1" x14ac:dyDescent="0.25">
      <c r="B7" s="204"/>
      <c r="C7" s="258"/>
      <c r="D7" s="258"/>
      <c r="E7" s="258"/>
      <c r="F7" s="258"/>
      <c r="G7" s="258"/>
      <c r="H7" s="258"/>
      <c r="I7" s="258"/>
      <c r="J7" s="258"/>
      <c r="K7" s="258"/>
      <c r="L7" s="259"/>
      <c r="M7" s="224"/>
      <c r="N7" s="151"/>
      <c r="O7" s="151"/>
      <c r="P7" s="151"/>
      <c r="Q7" s="151"/>
      <c r="R7" s="151"/>
      <c r="S7" s="151"/>
      <c r="T7" s="151"/>
      <c r="U7" s="151"/>
      <c r="V7" s="151"/>
      <c r="W7" s="265"/>
      <c r="X7" s="236"/>
      <c r="Y7" s="271"/>
      <c r="Z7" s="271"/>
      <c r="AA7" s="271"/>
      <c r="AB7" s="271"/>
      <c r="AC7" s="271"/>
      <c r="AD7" s="271"/>
      <c r="AE7" s="271"/>
      <c r="AF7" s="271"/>
      <c r="AG7" s="271"/>
      <c r="AH7" s="272"/>
      <c r="AI7" s="278"/>
      <c r="AJ7" s="279"/>
      <c r="AK7" s="279"/>
      <c r="AL7" s="279"/>
      <c r="AM7" s="279"/>
      <c r="AN7" s="279"/>
      <c r="AO7" s="279"/>
      <c r="AP7" s="279"/>
      <c r="AQ7" s="279"/>
      <c r="AR7" s="279"/>
      <c r="AS7" s="280"/>
      <c r="AT7" s="236"/>
      <c r="AU7" s="271"/>
      <c r="AV7" s="271"/>
      <c r="AW7" s="271"/>
      <c r="AX7" s="271"/>
      <c r="AY7" s="271"/>
      <c r="AZ7" s="271"/>
      <c r="BA7" s="271"/>
      <c r="BB7" s="271"/>
      <c r="BC7" s="271"/>
      <c r="BD7" s="285"/>
    </row>
    <row r="8" spans="2:56" ht="12" customHeight="1" x14ac:dyDescent="0.25">
      <c r="B8" s="204"/>
      <c r="C8" s="258"/>
      <c r="D8" s="258"/>
      <c r="E8" s="258"/>
      <c r="F8" s="258"/>
      <c r="G8" s="258"/>
      <c r="H8" s="258"/>
      <c r="I8" s="258"/>
      <c r="J8" s="258"/>
      <c r="K8" s="258"/>
      <c r="L8" s="259"/>
      <c r="M8" s="224"/>
      <c r="N8" s="151"/>
      <c r="O8" s="151"/>
      <c r="P8" s="151"/>
      <c r="Q8" s="151"/>
      <c r="R8" s="151"/>
      <c r="S8" s="151"/>
      <c r="T8" s="151"/>
      <c r="U8" s="151"/>
      <c r="V8" s="151"/>
      <c r="W8" s="265"/>
      <c r="X8" s="236"/>
      <c r="Y8" s="271"/>
      <c r="Z8" s="271"/>
      <c r="AA8" s="271"/>
      <c r="AB8" s="271"/>
      <c r="AC8" s="271"/>
      <c r="AD8" s="271"/>
      <c r="AE8" s="271"/>
      <c r="AF8" s="271"/>
      <c r="AG8" s="271"/>
      <c r="AH8" s="272"/>
      <c r="AI8" s="278"/>
      <c r="AJ8" s="279"/>
      <c r="AK8" s="279"/>
      <c r="AL8" s="279"/>
      <c r="AM8" s="279"/>
      <c r="AN8" s="279"/>
      <c r="AO8" s="279"/>
      <c r="AP8" s="279"/>
      <c r="AQ8" s="279"/>
      <c r="AR8" s="279"/>
      <c r="AS8" s="280"/>
      <c r="AT8" s="236"/>
      <c r="AU8" s="271"/>
      <c r="AV8" s="271"/>
      <c r="AW8" s="271"/>
      <c r="AX8" s="271"/>
      <c r="AY8" s="271"/>
      <c r="AZ8" s="271"/>
      <c r="BA8" s="271"/>
      <c r="BB8" s="271"/>
      <c r="BC8" s="271"/>
      <c r="BD8" s="285"/>
    </row>
    <row r="9" spans="2:56" ht="12" customHeight="1" x14ac:dyDescent="0.25">
      <c r="B9" s="260"/>
      <c r="C9" s="261"/>
      <c r="D9" s="261"/>
      <c r="E9" s="261"/>
      <c r="F9" s="261"/>
      <c r="G9" s="261"/>
      <c r="H9" s="261"/>
      <c r="I9" s="261"/>
      <c r="J9" s="261"/>
      <c r="K9" s="261"/>
      <c r="L9" s="262"/>
      <c r="M9" s="266"/>
      <c r="N9" s="267"/>
      <c r="O9" s="267"/>
      <c r="P9" s="267"/>
      <c r="Q9" s="267"/>
      <c r="R9" s="267"/>
      <c r="S9" s="267"/>
      <c r="T9" s="267"/>
      <c r="U9" s="267"/>
      <c r="V9" s="267"/>
      <c r="W9" s="268"/>
      <c r="X9" s="273"/>
      <c r="Y9" s="274"/>
      <c r="Z9" s="274"/>
      <c r="AA9" s="274"/>
      <c r="AB9" s="274"/>
      <c r="AC9" s="274"/>
      <c r="AD9" s="274"/>
      <c r="AE9" s="274"/>
      <c r="AF9" s="274"/>
      <c r="AG9" s="274"/>
      <c r="AH9" s="275"/>
      <c r="AI9" s="281"/>
      <c r="AJ9" s="282"/>
      <c r="AK9" s="282"/>
      <c r="AL9" s="282"/>
      <c r="AM9" s="282"/>
      <c r="AN9" s="282"/>
      <c r="AO9" s="282"/>
      <c r="AP9" s="282"/>
      <c r="AQ9" s="282"/>
      <c r="AR9" s="282"/>
      <c r="AS9" s="283"/>
      <c r="AT9" s="273"/>
      <c r="AU9" s="274"/>
      <c r="AV9" s="274"/>
      <c r="AW9" s="274"/>
      <c r="AX9" s="274"/>
      <c r="AY9" s="274"/>
      <c r="AZ9" s="274"/>
      <c r="BA9" s="274"/>
      <c r="BB9" s="274"/>
      <c r="BC9" s="274"/>
      <c r="BD9" s="286"/>
    </row>
    <row r="10" spans="2:56" ht="12" customHeight="1" x14ac:dyDescent="0.25">
      <c r="B10" s="210" t="s">
        <v>227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49"/>
      <c r="M10" s="225" t="s">
        <v>228</v>
      </c>
      <c r="N10" s="250"/>
      <c r="O10" s="250"/>
      <c r="P10" s="250"/>
      <c r="Q10" s="250"/>
      <c r="R10" s="250"/>
      <c r="S10" s="250"/>
      <c r="T10" s="250"/>
      <c r="U10" s="250"/>
      <c r="V10" s="250"/>
      <c r="W10" s="251"/>
      <c r="X10" s="226" t="s">
        <v>229</v>
      </c>
      <c r="Y10" s="252"/>
      <c r="Z10" s="252"/>
      <c r="AA10" s="252"/>
      <c r="AB10" s="252"/>
      <c r="AC10" s="252"/>
      <c r="AD10" s="252"/>
      <c r="AE10" s="252"/>
      <c r="AF10" s="252"/>
      <c r="AG10" s="252"/>
      <c r="AH10" s="253"/>
      <c r="AI10" s="226" t="s">
        <v>230</v>
      </c>
      <c r="AJ10" s="252"/>
      <c r="AK10" s="252"/>
      <c r="AL10" s="252"/>
      <c r="AM10" s="252"/>
      <c r="AN10" s="252"/>
      <c r="AO10" s="252"/>
      <c r="AP10" s="252"/>
      <c r="AQ10" s="252"/>
      <c r="AR10" s="252"/>
      <c r="AS10" s="253"/>
      <c r="AT10" s="180" t="s">
        <v>231</v>
      </c>
      <c r="AU10" s="254"/>
      <c r="AV10" s="254"/>
      <c r="AW10" s="254"/>
      <c r="AX10" s="254"/>
      <c r="AY10" s="254"/>
      <c r="AZ10" s="254"/>
      <c r="BA10" s="254"/>
      <c r="BB10" s="254"/>
      <c r="BC10" s="254"/>
      <c r="BD10" s="255"/>
    </row>
    <row r="11" spans="2:56" ht="12" customHeight="1" x14ac:dyDescent="0.25">
      <c r="B11" s="186"/>
      <c r="C11" s="256"/>
      <c r="D11" s="256"/>
      <c r="E11" s="256"/>
      <c r="F11" s="256"/>
      <c r="G11" s="256"/>
      <c r="H11" s="256"/>
      <c r="I11" s="256"/>
      <c r="J11" s="256"/>
      <c r="K11" s="256"/>
      <c r="L11" s="257"/>
      <c r="M11" s="194"/>
      <c r="N11" s="263"/>
      <c r="O11" s="263"/>
      <c r="P11" s="263"/>
      <c r="Q11" s="263"/>
      <c r="R11" s="263"/>
      <c r="S11" s="263"/>
      <c r="T11" s="263"/>
      <c r="U11" s="263"/>
      <c r="V11" s="263"/>
      <c r="W11" s="264"/>
      <c r="X11" s="194"/>
      <c r="Y11" s="263"/>
      <c r="Z11" s="263"/>
      <c r="AA11" s="263"/>
      <c r="AB11" s="263"/>
      <c r="AC11" s="263"/>
      <c r="AD11" s="263"/>
      <c r="AE11" s="263"/>
      <c r="AF11" s="263"/>
      <c r="AG11" s="263"/>
      <c r="AH11" s="264"/>
      <c r="AI11" s="194"/>
      <c r="AJ11" s="263"/>
      <c r="AK11" s="263"/>
      <c r="AL11" s="263"/>
      <c r="AM11" s="263"/>
      <c r="AN11" s="263"/>
      <c r="AO11" s="263"/>
      <c r="AP11" s="263"/>
      <c r="AQ11" s="263"/>
      <c r="AR11" s="263"/>
      <c r="AS11" s="264"/>
      <c r="AT11" s="203"/>
      <c r="AU11" s="289"/>
      <c r="AV11" s="289"/>
      <c r="AW11" s="289"/>
      <c r="AX11" s="289"/>
      <c r="AY11" s="289"/>
      <c r="AZ11" s="289"/>
      <c r="BA11" s="289"/>
      <c r="BB11" s="289"/>
      <c r="BC11" s="289"/>
      <c r="BD11" s="290"/>
    </row>
    <row r="12" spans="2:56" ht="12" customHeight="1" x14ac:dyDescent="0.25">
      <c r="B12" s="204"/>
      <c r="C12" s="258"/>
      <c r="D12" s="258"/>
      <c r="E12" s="258"/>
      <c r="F12" s="258"/>
      <c r="G12" s="258"/>
      <c r="H12" s="258"/>
      <c r="I12" s="258"/>
      <c r="J12" s="258"/>
      <c r="K12" s="258"/>
      <c r="L12" s="259"/>
      <c r="M12" s="224"/>
      <c r="N12" s="151"/>
      <c r="O12" s="151"/>
      <c r="P12" s="151"/>
      <c r="Q12" s="151"/>
      <c r="R12" s="151"/>
      <c r="S12" s="151"/>
      <c r="T12" s="151"/>
      <c r="U12" s="151"/>
      <c r="V12" s="151"/>
      <c r="W12" s="265"/>
      <c r="X12" s="224"/>
      <c r="Y12" s="151"/>
      <c r="Z12" s="151"/>
      <c r="AA12" s="151"/>
      <c r="AB12" s="151"/>
      <c r="AC12" s="151"/>
      <c r="AD12" s="151"/>
      <c r="AE12" s="151"/>
      <c r="AF12" s="151"/>
      <c r="AG12" s="151"/>
      <c r="AH12" s="265"/>
      <c r="AI12" s="224"/>
      <c r="AJ12" s="151"/>
      <c r="AK12" s="151"/>
      <c r="AL12" s="151"/>
      <c r="AM12" s="151"/>
      <c r="AN12" s="151"/>
      <c r="AO12" s="151"/>
      <c r="AP12" s="151"/>
      <c r="AQ12" s="151"/>
      <c r="AR12" s="151"/>
      <c r="AS12" s="265"/>
      <c r="AT12" s="222"/>
      <c r="AU12" s="291"/>
      <c r="AV12" s="291"/>
      <c r="AW12" s="291"/>
      <c r="AX12" s="291"/>
      <c r="AY12" s="291"/>
      <c r="AZ12" s="291"/>
      <c r="BA12" s="291"/>
      <c r="BB12" s="291"/>
      <c r="BC12" s="291"/>
      <c r="BD12" s="292"/>
    </row>
    <row r="13" spans="2:56" ht="12" customHeight="1" x14ac:dyDescent="0.25">
      <c r="B13" s="204"/>
      <c r="C13" s="258"/>
      <c r="D13" s="258"/>
      <c r="E13" s="258"/>
      <c r="F13" s="258"/>
      <c r="G13" s="258"/>
      <c r="H13" s="258"/>
      <c r="I13" s="258"/>
      <c r="J13" s="258"/>
      <c r="K13" s="258"/>
      <c r="L13" s="259"/>
      <c r="M13" s="224"/>
      <c r="N13" s="151"/>
      <c r="O13" s="151"/>
      <c r="P13" s="151"/>
      <c r="Q13" s="151"/>
      <c r="R13" s="151"/>
      <c r="S13" s="151"/>
      <c r="T13" s="151"/>
      <c r="U13" s="151"/>
      <c r="V13" s="151"/>
      <c r="W13" s="265"/>
      <c r="X13" s="224"/>
      <c r="Y13" s="151"/>
      <c r="Z13" s="151"/>
      <c r="AA13" s="151"/>
      <c r="AB13" s="151"/>
      <c r="AC13" s="151"/>
      <c r="AD13" s="151"/>
      <c r="AE13" s="151"/>
      <c r="AF13" s="151"/>
      <c r="AG13" s="151"/>
      <c r="AH13" s="265"/>
      <c r="AI13" s="224"/>
      <c r="AJ13" s="151"/>
      <c r="AK13" s="151"/>
      <c r="AL13" s="151"/>
      <c r="AM13" s="151"/>
      <c r="AN13" s="151"/>
      <c r="AO13" s="151"/>
      <c r="AP13" s="151"/>
      <c r="AQ13" s="151"/>
      <c r="AR13" s="151"/>
      <c r="AS13" s="265"/>
      <c r="AT13" s="222"/>
      <c r="AU13" s="291"/>
      <c r="AV13" s="291"/>
      <c r="AW13" s="291"/>
      <c r="AX13" s="291"/>
      <c r="AY13" s="291"/>
      <c r="AZ13" s="291"/>
      <c r="BA13" s="291"/>
      <c r="BB13" s="291"/>
      <c r="BC13" s="291"/>
      <c r="BD13" s="292"/>
    </row>
    <row r="14" spans="2:56" ht="12" customHeight="1" x14ac:dyDescent="0.25">
      <c r="B14" s="204"/>
      <c r="C14" s="258"/>
      <c r="D14" s="258"/>
      <c r="E14" s="258"/>
      <c r="F14" s="258"/>
      <c r="G14" s="258"/>
      <c r="H14" s="258"/>
      <c r="I14" s="258"/>
      <c r="J14" s="258"/>
      <c r="K14" s="258"/>
      <c r="L14" s="259"/>
      <c r="M14" s="224"/>
      <c r="N14" s="151"/>
      <c r="O14" s="151"/>
      <c r="P14" s="151"/>
      <c r="Q14" s="151"/>
      <c r="R14" s="151"/>
      <c r="S14" s="151"/>
      <c r="T14" s="151"/>
      <c r="U14" s="151"/>
      <c r="V14" s="151"/>
      <c r="W14" s="265"/>
      <c r="X14" s="224"/>
      <c r="Y14" s="151"/>
      <c r="Z14" s="151"/>
      <c r="AA14" s="151"/>
      <c r="AB14" s="151"/>
      <c r="AC14" s="151"/>
      <c r="AD14" s="151"/>
      <c r="AE14" s="151"/>
      <c r="AF14" s="151"/>
      <c r="AG14" s="151"/>
      <c r="AH14" s="265"/>
      <c r="AI14" s="224"/>
      <c r="AJ14" s="151"/>
      <c r="AK14" s="151"/>
      <c r="AL14" s="151"/>
      <c r="AM14" s="151"/>
      <c r="AN14" s="151"/>
      <c r="AO14" s="151"/>
      <c r="AP14" s="151"/>
      <c r="AQ14" s="151"/>
      <c r="AR14" s="151"/>
      <c r="AS14" s="265"/>
      <c r="AT14" s="222"/>
      <c r="AU14" s="291"/>
      <c r="AV14" s="291"/>
      <c r="AW14" s="291"/>
      <c r="AX14" s="291"/>
      <c r="AY14" s="291"/>
      <c r="AZ14" s="291"/>
      <c r="BA14" s="291"/>
      <c r="BB14" s="291"/>
      <c r="BC14" s="291"/>
      <c r="BD14" s="292"/>
    </row>
    <row r="15" spans="2:56" ht="12" customHeight="1" x14ac:dyDescent="0.25">
      <c r="B15" s="204"/>
      <c r="C15" s="258"/>
      <c r="D15" s="258"/>
      <c r="E15" s="258"/>
      <c r="F15" s="258"/>
      <c r="G15" s="258"/>
      <c r="H15" s="258"/>
      <c r="I15" s="258"/>
      <c r="J15" s="258"/>
      <c r="K15" s="258"/>
      <c r="L15" s="259"/>
      <c r="M15" s="224"/>
      <c r="N15" s="151"/>
      <c r="O15" s="151"/>
      <c r="P15" s="151"/>
      <c r="Q15" s="151"/>
      <c r="R15" s="151"/>
      <c r="S15" s="151"/>
      <c r="T15" s="151"/>
      <c r="U15" s="151"/>
      <c r="V15" s="151"/>
      <c r="W15" s="265"/>
      <c r="X15" s="224"/>
      <c r="Y15" s="151"/>
      <c r="Z15" s="151"/>
      <c r="AA15" s="151"/>
      <c r="AB15" s="151"/>
      <c r="AC15" s="151"/>
      <c r="AD15" s="151"/>
      <c r="AE15" s="151"/>
      <c r="AF15" s="151"/>
      <c r="AG15" s="151"/>
      <c r="AH15" s="265"/>
      <c r="AI15" s="224"/>
      <c r="AJ15" s="151"/>
      <c r="AK15" s="151"/>
      <c r="AL15" s="151"/>
      <c r="AM15" s="151"/>
      <c r="AN15" s="151"/>
      <c r="AO15" s="151"/>
      <c r="AP15" s="151"/>
      <c r="AQ15" s="151"/>
      <c r="AR15" s="151"/>
      <c r="AS15" s="265"/>
      <c r="AT15" s="222"/>
      <c r="AU15" s="291"/>
      <c r="AV15" s="291"/>
      <c r="AW15" s="291"/>
      <c r="AX15" s="291"/>
      <c r="AY15" s="291"/>
      <c r="AZ15" s="291"/>
      <c r="BA15" s="291"/>
      <c r="BB15" s="291"/>
      <c r="BC15" s="291"/>
      <c r="BD15" s="292"/>
    </row>
    <row r="16" spans="2:56" ht="12" customHeight="1" x14ac:dyDescent="0.25">
      <c r="B16" s="204"/>
      <c r="C16" s="258"/>
      <c r="D16" s="258"/>
      <c r="E16" s="258"/>
      <c r="F16" s="258"/>
      <c r="G16" s="258"/>
      <c r="H16" s="258"/>
      <c r="I16" s="258"/>
      <c r="J16" s="258"/>
      <c r="K16" s="258"/>
      <c r="L16" s="259"/>
      <c r="M16" s="224"/>
      <c r="N16" s="151"/>
      <c r="O16" s="151"/>
      <c r="P16" s="151"/>
      <c r="Q16" s="151"/>
      <c r="R16" s="151"/>
      <c r="S16" s="151"/>
      <c r="T16" s="151"/>
      <c r="U16" s="151"/>
      <c r="V16" s="151"/>
      <c r="W16" s="265"/>
      <c r="X16" s="224"/>
      <c r="Y16" s="151"/>
      <c r="Z16" s="151"/>
      <c r="AA16" s="151"/>
      <c r="AB16" s="151"/>
      <c r="AC16" s="151"/>
      <c r="AD16" s="151"/>
      <c r="AE16" s="151"/>
      <c r="AF16" s="151"/>
      <c r="AG16" s="151"/>
      <c r="AH16" s="265"/>
      <c r="AI16" s="224"/>
      <c r="AJ16" s="151"/>
      <c r="AK16" s="151"/>
      <c r="AL16" s="151"/>
      <c r="AM16" s="151"/>
      <c r="AN16" s="151"/>
      <c r="AO16" s="151"/>
      <c r="AP16" s="151"/>
      <c r="AQ16" s="151"/>
      <c r="AR16" s="151"/>
      <c r="AS16" s="265"/>
      <c r="AT16" s="222"/>
      <c r="AU16" s="291"/>
      <c r="AV16" s="291"/>
      <c r="AW16" s="291"/>
      <c r="AX16" s="291"/>
      <c r="AY16" s="291"/>
      <c r="AZ16" s="291"/>
      <c r="BA16" s="291"/>
      <c r="BB16" s="291"/>
      <c r="BC16" s="291"/>
      <c r="BD16" s="292"/>
    </row>
    <row r="17" spans="2:56" ht="12" customHeight="1" x14ac:dyDescent="0.25">
      <c r="B17" s="260"/>
      <c r="C17" s="261"/>
      <c r="D17" s="261"/>
      <c r="E17" s="261"/>
      <c r="F17" s="261"/>
      <c r="G17" s="261"/>
      <c r="H17" s="261"/>
      <c r="I17" s="261"/>
      <c r="J17" s="261"/>
      <c r="K17" s="261"/>
      <c r="L17" s="262"/>
      <c r="M17" s="266"/>
      <c r="N17" s="267"/>
      <c r="O17" s="267"/>
      <c r="P17" s="267"/>
      <c r="Q17" s="267"/>
      <c r="R17" s="267"/>
      <c r="S17" s="267"/>
      <c r="T17" s="267"/>
      <c r="U17" s="267"/>
      <c r="V17" s="267"/>
      <c r="W17" s="268"/>
      <c r="X17" s="266"/>
      <c r="Y17" s="267"/>
      <c r="Z17" s="267"/>
      <c r="AA17" s="267"/>
      <c r="AB17" s="267"/>
      <c r="AC17" s="267"/>
      <c r="AD17" s="267"/>
      <c r="AE17" s="267"/>
      <c r="AF17" s="267"/>
      <c r="AG17" s="267"/>
      <c r="AH17" s="268"/>
      <c r="AI17" s="266"/>
      <c r="AJ17" s="267"/>
      <c r="AK17" s="267"/>
      <c r="AL17" s="267"/>
      <c r="AM17" s="267"/>
      <c r="AN17" s="267"/>
      <c r="AO17" s="267"/>
      <c r="AP17" s="267"/>
      <c r="AQ17" s="267"/>
      <c r="AR17" s="267"/>
      <c r="AS17" s="268"/>
      <c r="AT17" s="178"/>
      <c r="AU17" s="293"/>
      <c r="AV17" s="293"/>
      <c r="AW17" s="293"/>
      <c r="AX17" s="293"/>
      <c r="AY17" s="293"/>
      <c r="AZ17" s="293"/>
      <c r="BA17" s="293"/>
      <c r="BB17" s="293"/>
      <c r="BC17" s="293"/>
      <c r="BD17" s="294"/>
    </row>
    <row r="18" spans="2:56" ht="12" customHeight="1" x14ac:dyDescent="0.25">
      <c r="B18" s="210" t="s">
        <v>232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49"/>
      <c r="M18" s="211" t="s">
        <v>233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49"/>
      <c r="X18" s="211" t="s">
        <v>234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49"/>
      <c r="AI18" s="233" t="s">
        <v>235</v>
      </c>
      <c r="AJ18" s="287"/>
      <c r="AK18" s="287"/>
      <c r="AL18" s="287"/>
      <c r="AM18" s="287"/>
      <c r="AN18" s="287"/>
      <c r="AO18" s="287"/>
      <c r="AP18" s="287"/>
      <c r="AQ18" s="287"/>
      <c r="AR18" s="287"/>
      <c r="AS18" s="288"/>
      <c r="AT18" s="180" t="s">
        <v>236</v>
      </c>
      <c r="AU18" s="254"/>
      <c r="AV18" s="254"/>
      <c r="AW18" s="254"/>
      <c r="AX18" s="254"/>
      <c r="AY18" s="254"/>
      <c r="AZ18" s="254"/>
      <c r="BA18" s="254"/>
      <c r="BB18" s="254"/>
      <c r="BC18" s="254"/>
      <c r="BD18" s="255"/>
    </row>
    <row r="19" spans="2:56" ht="12" customHeight="1" x14ac:dyDescent="0.25">
      <c r="B19" s="186"/>
      <c r="C19" s="256"/>
      <c r="D19" s="256"/>
      <c r="E19" s="256"/>
      <c r="F19" s="256"/>
      <c r="G19" s="256"/>
      <c r="H19" s="256"/>
      <c r="I19" s="256"/>
      <c r="J19" s="256"/>
      <c r="K19" s="256"/>
      <c r="L19" s="257"/>
      <c r="M19" s="205"/>
      <c r="N19" s="295"/>
      <c r="O19" s="295"/>
      <c r="P19" s="295"/>
      <c r="Q19" s="295"/>
      <c r="R19" s="295"/>
      <c r="S19" s="295"/>
      <c r="T19" s="295"/>
      <c r="U19" s="295"/>
      <c r="V19" s="295"/>
      <c r="W19" s="296"/>
      <c r="X19" s="234"/>
      <c r="Y19" s="302"/>
      <c r="Z19" s="302"/>
      <c r="AA19" s="302"/>
      <c r="AB19" s="302"/>
      <c r="AC19" s="302"/>
      <c r="AD19" s="302"/>
      <c r="AE19" s="302"/>
      <c r="AF19" s="302"/>
      <c r="AG19" s="302"/>
      <c r="AH19" s="303"/>
      <c r="AI19" s="198"/>
      <c r="AJ19" s="269"/>
      <c r="AK19" s="269"/>
      <c r="AL19" s="269"/>
      <c r="AM19" s="269"/>
      <c r="AN19" s="269"/>
      <c r="AO19" s="269"/>
      <c r="AP19" s="269"/>
      <c r="AQ19" s="269"/>
      <c r="AR19" s="269"/>
      <c r="AS19" s="270"/>
      <c r="AT19" s="203"/>
      <c r="AU19" s="289"/>
      <c r="AV19" s="289"/>
      <c r="AW19" s="289"/>
      <c r="AX19" s="289"/>
      <c r="AY19" s="289"/>
      <c r="AZ19" s="289"/>
      <c r="BA19" s="289"/>
      <c r="BB19" s="289"/>
      <c r="BC19" s="289"/>
      <c r="BD19" s="290"/>
    </row>
    <row r="20" spans="2:56" ht="12" customHeight="1" x14ac:dyDescent="0.25">
      <c r="B20" s="204"/>
      <c r="C20" s="258"/>
      <c r="D20" s="258"/>
      <c r="E20" s="258"/>
      <c r="F20" s="258"/>
      <c r="G20" s="258"/>
      <c r="H20" s="258"/>
      <c r="I20" s="258"/>
      <c r="J20" s="258"/>
      <c r="K20" s="258"/>
      <c r="L20" s="259"/>
      <c r="M20" s="206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235"/>
      <c r="Y20" s="304"/>
      <c r="Z20" s="304"/>
      <c r="AA20" s="304"/>
      <c r="AB20" s="304"/>
      <c r="AC20" s="304"/>
      <c r="AD20" s="304"/>
      <c r="AE20" s="304"/>
      <c r="AF20" s="304"/>
      <c r="AG20" s="304"/>
      <c r="AH20" s="305"/>
      <c r="AI20" s="236"/>
      <c r="AJ20" s="271"/>
      <c r="AK20" s="271"/>
      <c r="AL20" s="271"/>
      <c r="AM20" s="271"/>
      <c r="AN20" s="271"/>
      <c r="AO20" s="271"/>
      <c r="AP20" s="271"/>
      <c r="AQ20" s="271"/>
      <c r="AR20" s="271"/>
      <c r="AS20" s="272"/>
      <c r="AT20" s="222"/>
      <c r="AU20" s="291"/>
      <c r="AV20" s="291"/>
      <c r="AW20" s="291"/>
      <c r="AX20" s="291"/>
      <c r="AY20" s="291"/>
      <c r="AZ20" s="291"/>
      <c r="BA20" s="291"/>
      <c r="BB20" s="291"/>
      <c r="BC20" s="291"/>
      <c r="BD20" s="292"/>
    </row>
    <row r="21" spans="2:56" ht="12" customHeight="1" x14ac:dyDescent="0.25">
      <c r="B21" s="204"/>
      <c r="C21" s="258"/>
      <c r="D21" s="258"/>
      <c r="E21" s="258"/>
      <c r="F21" s="258"/>
      <c r="G21" s="258"/>
      <c r="H21" s="258"/>
      <c r="I21" s="258"/>
      <c r="J21" s="258"/>
      <c r="K21" s="258"/>
      <c r="L21" s="259"/>
      <c r="M21" s="206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235"/>
      <c r="Y21" s="304"/>
      <c r="Z21" s="304"/>
      <c r="AA21" s="304"/>
      <c r="AB21" s="304"/>
      <c r="AC21" s="304"/>
      <c r="AD21" s="304"/>
      <c r="AE21" s="304"/>
      <c r="AF21" s="304"/>
      <c r="AG21" s="304"/>
      <c r="AH21" s="305"/>
      <c r="AI21" s="236"/>
      <c r="AJ21" s="271"/>
      <c r="AK21" s="271"/>
      <c r="AL21" s="271"/>
      <c r="AM21" s="271"/>
      <c r="AN21" s="271"/>
      <c r="AO21" s="271"/>
      <c r="AP21" s="271"/>
      <c r="AQ21" s="271"/>
      <c r="AR21" s="271"/>
      <c r="AS21" s="272"/>
      <c r="AT21" s="222"/>
      <c r="AU21" s="291"/>
      <c r="AV21" s="291"/>
      <c r="AW21" s="291"/>
      <c r="AX21" s="291"/>
      <c r="AY21" s="291"/>
      <c r="AZ21" s="291"/>
      <c r="BA21" s="291"/>
      <c r="BB21" s="291"/>
      <c r="BC21" s="291"/>
      <c r="BD21" s="292"/>
    </row>
    <row r="22" spans="2:56" ht="12" customHeight="1" x14ac:dyDescent="0.25">
      <c r="B22" s="204"/>
      <c r="C22" s="258"/>
      <c r="D22" s="258"/>
      <c r="E22" s="258"/>
      <c r="F22" s="258"/>
      <c r="G22" s="258"/>
      <c r="H22" s="258"/>
      <c r="I22" s="258"/>
      <c r="J22" s="258"/>
      <c r="K22" s="258"/>
      <c r="L22" s="259"/>
      <c r="M22" s="206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235"/>
      <c r="Y22" s="304"/>
      <c r="Z22" s="304"/>
      <c r="AA22" s="304"/>
      <c r="AB22" s="304"/>
      <c r="AC22" s="304"/>
      <c r="AD22" s="304"/>
      <c r="AE22" s="304"/>
      <c r="AF22" s="304"/>
      <c r="AG22" s="304"/>
      <c r="AH22" s="305"/>
      <c r="AI22" s="236"/>
      <c r="AJ22" s="271"/>
      <c r="AK22" s="271"/>
      <c r="AL22" s="271"/>
      <c r="AM22" s="271"/>
      <c r="AN22" s="271"/>
      <c r="AO22" s="271"/>
      <c r="AP22" s="271"/>
      <c r="AQ22" s="271"/>
      <c r="AR22" s="271"/>
      <c r="AS22" s="272"/>
      <c r="AT22" s="222"/>
      <c r="AU22" s="291"/>
      <c r="AV22" s="291"/>
      <c r="AW22" s="291"/>
      <c r="AX22" s="291"/>
      <c r="AY22" s="291"/>
      <c r="AZ22" s="291"/>
      <c r="BA22" s="291"/>
      <c r="BB22" s="291"/>
      <c r="BC22" s="291"/>
      <c r="BD22" s="292"/>
    </row>
    <row r="23" spans="2:56" ht="12" customHeight="1" x14ac:dyDescent="0.25">
      <c r="B23" s="204"/>
      <c r="C23" s="258"/>
      <c r="D23" s="258"/>
      <c r="E23" s="258"/>
      <c r="F23" s="258"/>
      <c r="G23" s="258"/>
      <c r="H23" s="258"/>
      <c r="I23" s="258"/>
      <c r="J23" s="258"/>
      <c r="K23" s="258"/>
      <c r="L23" s="259"/>
      <c r="M23" s="206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235"/>
      <c r="Y23" s="304"/>
      <c r="Z23" s="304"/>
      <c r="AA23" s="304"/>
      <c r="AB23" s="304"/>
      <c r="AC23" s="304"/>
      <c r="AD23" s="304"/>
      <c r="AE23" s="304"/>
      <c r="AF23" s="304"/>
      <c r="AG23" s="304"/>
      <c r="AH23" s="305"/>
      <c r="AI23" s="236"/>
      <c r="AJ23" s="271"/>
      <c r="AK23" s="271"/>
      <c r="AL23" s="271"/>
      <c r="AM23" s="271"/>
      <c r="AN23" s="271"/>
      <c r="AO23" s="271"/>
      <c r="AP23" s="271"/>
      <c r="AQ23" s="271"/>
      <c r="AR23" s="271"/>
      <c r="AS23" s="272"/>
      <c r="AT23" s="222"/>
      <c r="AU23" s="291"/>
      <c r="AV23" s="291"/>
      <c r="AW23" s="291"/>
      <c r="AX23" s="291"/>
      <c r="AY23" s="291"/>
      <c r="AZ23" s="291"/>
      <c r="BA23" s="291"/>
      <c r="BB23" s="291"/>
      <c r="BC23" s="291"/>
      <c r="BD23" s="292"/>
    </row>
    <row r="24" spans="2:56" ht="12" customHeight="1" x14ac:dyDescent="0.25">
      <c r="B24" s="204"/>
      <c r="C24" s="258"/>
      <c r="D24" s="258"/>
      <c r="E24" s="258"/>
      <c r="F24" s="258"/>
      <c r="G24" s="258"/>
      <c r="H24" s="258"/>
      <c r="I24" s="258"/>
      <c r="J24" s="258"/>
      <c r="K24" s="258"/>
      <c r="L24" s="259"/>
      <c r="M24" s="206"/>
      <c r="N24" s="297"/>
      <c r="O24" s="297"/>
      <c r="P24" s="297"/>
      <c r="Q24" s="297"/>
      <c r="R24" s="297"/>
      <c r="S24" s="297"/>
      <c r="T24" s="297"/>
      <c r="U24" s="297"/>
      <c r="V24" s="297"/>
      <c r="W24" s="298"/>
      <c r="X24" s="235"/>
      <c r="Y24" s="304"/>
      <c r="Z24" s="304"/>
      <c r="AA24" s="304"/>
      <c r="AB24" s="304"/>
      <c r="AC24" s="304"/>
      <c r="AD24" s="304"/>
      <c r="AE24" s="304"/>
      <c r="AF24" s="304"/>
      <c r="AG24" s="304"/>
      <c r="AH24" s="305"/>
      <c r="AI24" s="236"/>
      <c r="AJ24" s="271"/>
      <c r="AK24" s="271"/>
      <c r="AL24" s="271"/>
      <c r="AM24" s="271"/>
      <c r="AN24" s="271"/>
      <c r="AO24" s="271"/>
      <c r="AP24" s="271"/>
      <c r="AQ24" s="271"/>
      <c r="AR24" s="271"/>
      <c r="AS24" s="272"/>
      <c r="AT24" s="222"/>
      <c r="AU24" s="291"/>
      <c r="AV24" s="291"/>
      <c r="AW24" s="291"/>
      <c r="AX24" s="291"/>
      <c r="AY24" s="291"/>
      <c r="AZ24" s="291"/>
      <c r="BA24" s="291"/>
      <c r="BB24" s="291"/>
      <c r="BC24" s="291"/>
      <c r="BD24" s="292"/>
    </row>
    <row r="25" spans="2:56" ht="12" customHeight="1" x14ac:dyDescent="0.25">
      <c r="B25" s="260"/>
      <c r="C25" s="261"/>
      <c r="D25" s="261"/>
      <c r="E25" s="261"/>
      <c r="F25" s="261"/>
      <c r="G25" s="261"/>
      <c r="H25" s="261"/>
      <c r="I25" s="261"/>
      <c r="J25" s="261"/>
      <c r="K25" s="261"/>
      <c r="L25" s="262"/>
      <c r="M25" s="299"/>
      <c r="N25" s="300"/>
      <c r="O25" s="300"/>
      <c r="P25" s="300"/>
      <c r="Q25" s="300"/>
      <c r="R25" s="300"/>
      <c r="S25" s="300"/>
      <c r="T25" s="300"/>
      <c r="U25" s="300"/>
      <c r="V25" s="300"/>
      <c r="W25" s="301"/>
      <c r="X25" s="306"/>
      <c r="Y25" s="307"/>
      <c r="Z25" s="307"/>
      <c r="AA25" s="307"/>
      <c r="AB25" s="307"/>
      <c r="AC25" s="307"/>
      <c r="AD25" s="307"/>
      <c r="AE25" s="307"/>
      <c r="AF25" s="307"/>
      <c r="AG25" s="307"/>
      <c r="AH25" s="308"/>
      <c r="AI25" s="273"/>
      <c r="AJ25" s="274"/>
      <c r="AK25" s="274"/>
      <c r="AL25" s="274"/>
      <c r="AM25" s="274"/>
      <c r="AN25" s="274"/>
      <c r="AO25" s="274"/>
      <c r="AP25" s="274"/>
      <c r="AQ25" s="274"/>
      <c r="AR25" s="274"/>
      <c r="AS25" s="275"/>
      <c r="AT25" s="178"/>
      <c r="AU25" s="293"/>
      <c r="AV25" s="293"/>
      <c r="AW25" s="293"/>
      <c r="AX25" s="293"/>
      <c r="AY25" s="293"/>
      <c r="AZ25" s="293"/>
      <c r="BA25" s="293"/>
      <c r="BB25" s="293"/>
      <c r="BC25" s="293"/>
      <c r="BD25" s="294"/>
    </row>
    <row r="26" spans="2:56" ht="12" customHeight="1" x14ac:dyDescent="0.25">
      <c r="B26" s="210" t="s">
        <v>237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49"/>
      <c r="M26" s="226" t="s">
        <v>238</v>
      </c>
      <c r="N26" s="252"/>
      <c r="O26" s="252"/>
      <c r="P26" s="252"/>
      <c r="Q26" s="252"/>
      <c r="R26" s="252"/>
      <c r="S26" s="252"/>
      <c r="T26" s="252"/>
      <c r="U26" s="252"/>
      <c r="V26" s="252"/>
      <c r="W26" s="253"/>
      <c r="X26" s="214" t="s">
        <v>239</v>
      </c>
      <c r="Y26" s="309"/>
      <c r="Z26" s="309"/>
      <c r="AA26" s="309"/>
      <c r="AB26" s="309"/>
      <c r="AC26" s="309"/>
      <c r="AD26" s="309"/>
      <c r="AE26" s="309"/>
      <c r="AF26" s="309"/>
      <c r="AG26" s="309"/>
      <c r="AH26" s="310"/>
      <c r="AI26" s="180" t="s">
        <v>240</v>
      </c>
      <c r="AJ26" s="254"/>
      <c r="AK26" s="254"/>
      <c r="AL26" s="254"/>
      <c r="AM26" s="254"/>
      <c r="AN26" s="254"/>
      <c r="AO26" s="254"/>
      <c r="AP26" s="254"/>
      <c r="AQ26" s="254"/>
      <c r="AR26" s="254"/>
      <c r="AS26" s="311"/>
      <c r="AT26" s="180" t="s">
        <v>241</v>
      </c>
      <c r="AU26" s="254"/>
      <c r="AV26" s="254"/>
      <c r="AW26" s="254"/>
      <c r="AX26" s="254"/>
      <c r="AY26" s="254"/>
      <c r="AZ26" s="254"/>
      <c r="BA26" s="254"/>
      <c r="BB26" s="254"/>
      <c r="BC26" s="254"/>
      <c r="BD26" s="255"/>
    </row>
    <row r="27" spans="2:56" ht="12" customHeight="1" x14ac:dyDescent="0.25">
      <c r="B27" s="186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12"/>
      <c r="N27" s="314"/>
      <c r="O27" s="314"/>
      <c r="P27" s="314"/>
      <c r="Q27" s="314"/>
      <c r="R27" s="314"/>
      <c r="S27" s="314"/>
      <c r="T27" s="314"/>
      <c r="U27" s="314"/>
      <c r="V27" s="314"/>
      <c r="W27" s="315"/>
      <c r="X27" s="197"/>
      <c r="Y27" s="321"/>
      <c r="Z27" s="321"/>
      <c r="AA27" s="321"/>
      <c r="AB27" s="321"/>
      <c r="AC27" s="321"/>
      <c r="AD27" s="321"/>
      <c r="AE27" s="321"/>
      <c r="AF27" s="321"/>
      <c r="AG27" s="321"/>
      <c r="AH27" s="322"/>
      <c r="AI27" s="203"/>
      <c r="AJ27" s="289"/>
      <c r="AK27" s="289"/>
      <c r="AL27" s="289"/>
      <c r="AM27" s="289"/>
      <c r="AN27" s="289"/>
      <c r="AO27" s="289"/>
      <c r="AP27" s="289"/>
      <c r="AQ27" s="289"/>
      <c r="AR27" s="289"/>
      <c r="AS27" s="328"/>
      <c r="AT27" s="203"/>
      <c r="AU27" s="289"/>
      <c r="AV27" s="289"/>
      <c r="AW27" s="289"/>
      <c r="AX27" s="289"/>
      <c r="AY27" s="289"/>
      <c r="AZ27" s="289"/>
      <c r="BA27" s="289"/>
      <c r="BB27" s="289"/>
      <c r="BC27" s="289"/>
      <c r="BD27" s="290"/>
    </row>
    <row r="28" spans="2:56" ht="12" customHeight="1" x14ac:dyDescent="0.25">
      <c r="B28" s="204"/>
      <c r="C28" s="258"/>
      <c r="D28" s="258"/>
      <c r="E28" s="258"/>
      <c r="F28" s="258"/>
      <c r="G28" s="258"/>
      <c r="H28" s="258"/>
      <c r="I28" s="258"/>
      <c r="J28" s="258"/>
      <c r="K28" s="258"/>
      <c r="L28" s="259"/>
      <c r="M28" s="219"/>
      <c r="N28" s="316"/>
      <c r="O28" s="316"/>
      <c r="P28" s="316"/>
      <c r="Q28" s="316"/>
      <c r="R28" s="316"/>
      <c r="S28" s="316"/>
      <c r="T28" s="316"/>
      <c r="U28" s="316"/>
      <c r="V28" s="316"/>
      <c r="W28" s="317"/>
      <c r="X28" s="221"/>
      <c r="Y28" s="323"/>
      <c r="Z28" s="323"/>
      <c r="AA28" s="323"/>
      <c r="AB28" s="323"/>
      <c r="AC28" s="323"/>
      <c r="AD28" s="323"/>
      <c r="AE28" s="323"/>
      <c r="AF28" s="323"/>
      <c r="AG28" s="323"/>
      <c r="AH28" s="324"/>
      <c r="AI28" s="222"/>
      <c r="AJ28" s="291"/>
      <c r="AK28" s="291"/>
      <c r="AL28" s="291"/>
      <c r="AM28" s="291"/>
      <c r="AN28" s="291"/>
      <c r="AO28" s="291"/>
      <c r="AP28" s="291"/>
      <c r="AQ28" s="291"/>
      <c r="AR28" s="291"/>
      <c r="AS28" s="329"/>
      <c r="AT28" s="222"/>
      <c r="AU28" s="291"/>
      <c r="AV28" s="291"/>
      <c r="AW28" s="291"/>
      <c r="AX28" s="291"/>
      <c r="AY28" s="291"/>
      <c r="AZ28" s="291"/>
      <c r="BA28" s="291"/>
      <c r="BB28" s="291"/>
      <c r="BC28" s="291"/>
      <c r="BD28" s="292"/>
    </row>
    <row r="29" spans="2:56" ht="12" customHeight="1" x14ac:dyDescent="0.25">
      <c r="B29" s="204"/>
      <c r="C29" s="258"/>
      <c r="D29" s="258"/>
      <c r="E29" s="258"/>
      <c r="F29" s="258"/>
      <c r="G29" s="258"/>
      <c r="H29" s="258"/>
      <c r="I29" s="258"/>
      <c r="J29" s="258"/>
      <c r="K29" s="258"/>
      <c r="L29" s="259"/>
      <c r="M29" s="219"/>
      <c r="N29" s="316"/>
      <c r="O29" s="316"/>
      <c r="P29" s="316"/>
      <c r="Q29" s="316"/>
      <c r="R29" s="316"/>
      <c r="S29" s="316"/>
      <c r="T29" s="316"/>
      <c r="U29" s="316"/>
      <c r="V29" s="316"/>
      <c r="W29" s="317"/>
      <c r="X29" s="221"/>
      <c r="Y29" s="323"/>
      <c r="Z29" s="323"/>
      <c r="AA29" s="323"/>
      <c r="AB29" s="323"/>
      <c r="AC29" s="323"/>
      <c r="AD29" s="323"/>
      <c r="AE29" s="323"/>
      <c r="AF29" s="323"/>
      <c r="AG29" s="323"/>
      <c r="AH29" s="324"/>
      <c r="AI29" s="222"/>
      <c r="AJ29" s="291"/>
      <c r="AK29" s="291"/>
      <c r="AL29" s="291"/>
      <c r="AM29" s="291"/>
      <c r="AN29" s="291"/>
      <c r="AO29" s="291"/>
      <c r="AP29" s="291"/>
      <c r="AQ29" s="291"/>
      <c r="AR29" s="291"/>
      <c r="AS29" s="329"/>
      <c r="AT29" s="222"/>
      <c r="AU29" s="291"/>
      <c r="AV29" s="291"/>
      <c r="AW29" s="291"/>
      <c r="AX29" s="291"/>
      <c r="AY29" s="291"/>
      <c r="AZ29" s="291"/>
      <c r="BA29" s="291"/>
      <c r="BB29" s="291"/>
      <c r="BC29" s="291"/>
      <c r="BD29" s="292"/>
    </row>
    <row r="30" spans="2:56" ht="12" customHeight="1" x14ac:dyDescent="0.25">
      <c r="B30" s="204"/>
      <c r="C30" s="258"/>
      <c r="D30" s="258"/>
      <c r="E30" s="258"/>
      <c r="F30" s="258"/>
      <c r="G30" s="258"/>
      <c r="H30" s="258"/>
      <c r="I30" s="258"/>
      <c r="J30" s="258"/>
      <c r="K30" s="258"/>
      <c r="L30" s="259"/>
      <c r="M30" s="219"/>
      <c r="N30" s="316"/>
      <c r="O30" s="316"/>
      <c r="P30" s="316"/>
      <c r="Q30" s="316"/>
      <c r="R30" s="316"/>
      <c r="S30" s="316"/>
      <c r="T30" s="316"/>
      <c r="U30" s="316"/>
      <c r="V30" s="316"/>
      <c r="W30" s="317"/>
      <c r="X30" s="221"/>
      <c r="Y30" s="323"/>
      <c r="Z30" s="323"/>
      <c r="AA30" s="323"/>
      <c r="AB30" s="323"/>
      <c r="AC30" s="323"/>
      <c r="AD30" s="323"/>
      <c r="AE30" s="323"/>
      <c r="AF30" s="323"/>
      <c r="AG30" s="323"/>
      <c r="AH30" s="324"/>
      <c r="AI30" s="222"/>
      <c r="AJ30" s="291"/>
      <c r="AK30" s="291"/>
      <c r="AL30" s="291"/>
      <c r="AM30" s="291"/>
      <c r="AN30" s="291"/>
      <c r="AO30" s="291"/>
      <c r="AP30" s="291"/>
      <c r="AQ30" s="291"/>
      <c r="AR30" s="291"/>
      <c r="AS30" s="329"/>
      <c r="AT30" s="222"/>
      <c r="AU30" s="291"/>
      <c r="AV30" s="291"/>
      <c r="AW30" s="291"/>
      <c r="AX30" s="291"/>
      <c r="AY30" s="291"/>
      <c r="AZ30" s="291"/>
      <c r="BA30" s="291"/>
      <c r="BB30" s="291"/>
      <c r="BC30" s="291"/>
      <c r="BD30" s="292"/>
    </row>
    <row r="31" spans="2:56" ht="12" customHeight="1" x14ac:dyDescent="0.25">
      <c r="B31" s="204"/>
      <c r="C31" s="258"/>
      <c r="D31" s="258"/>
      <c r="E31" s="258"/>
      <c r="F31" s="258"/>
      <c r="G31" s="258"/>
      <c r="H31" s="258"/>
      <c r="I31" s="258"/>
      <c r="J31" s="258"/>
      <c r="K31" s="258"/>
      <c r="L31" s="259"/>
      <c r="M31" s="219"/>
      <c r="N31" s="316"/>
      <c r="O31" s="316"/>
      <c r="P31" s="316"/>
      <c r="Q31" s="316"/>
      <c r="R31" s="316"/>
      <c r="S31" s="316"/>
      <c r="T31" s="316"/>
      <c r="U31" s="316"/>
      <c r="V31" s="316"/>
      <c r="W31" s="317"/>
      <c r="X31" s="221"/>
      <c r="Y31" s="323"/>
      <c r="Z31" s="323"/>
      <c r="AA31" s="323"/>
      <c r="AB31" s="323"/>
      <c r="AC31" s="323"/>
      <c r="AD31" s="323"/>
      <c r="AE31" s="323"/>
      <c r="AF31" s="323"/>
      <c r="AG31" s="323"/>
      <c r="AH31" s="324"/>
      <c r="AI31" s="222"/>
      <c r="AJ31" s="291"/>
      <c r="AK31" s="291"/>
      <c r="AL31" s="291"/>
      <c r="AM31" s="291"/>
      <c r="AN31" s="291"/>
      <c r="AO31" s="291"/>
      <c r="AP31" s="291"/>
      <c r="AQ31" s="291"/>
      <c r="AR31" s="291"/>
      <c r="AS31" s="329"/>
      <c r="AT31" s="222"/>
      <c r="AU31" s="291"/>
      <c r="AV31" s="291"/>
      <c r="AW31" s="291"/>
      <c r="AX31" s="291"/>
      <c r="AY31" s="291"/>
      <c r="AZ31" s="291"/>
      <c r="BA31" s="291"/>
      <c r="BB31" s="291"/>
      <c r="BC31" s="291"/>
      <c r="BD31" s="292"/>
    </row>
    <row r="32" spans="2:56" ht="12" customHeight="1" x14ac:dyDescent="0.25">
      <c r="B32" s="204"/>
      <c r="C32" s="258"/>
      <c r="D32" s="258"/>
      <c r="E32" s="258"/>
      <c r="F32" s="258"/>
      <c r="G32" s="258"/>
      <c r="H32" s="258"/>
      <c r="I32" s="258"/>
      <c r="J32" s="258"/>
      <c r="K32" s="258"/>
      <c r="L32" s="259"/>
      <c r="M32" s="219"/>
      <c r="N32" s="316"/>
      <c r="O32" s="316"/>
      <c r="P32" s="316"/>
      <c r="Q32" s="316"/>
      <c r="R32" s="316"/>
      <c r="S32" s="316"/>
      <c r="T32" s="316"/>
      <c r="U32" s="316"/>
      <c r="V32" s="316"/>
      <c r="W32" s="317"/>
      <c r="X32" s="221"/>
      <c r="Y32" s="323"/>
      <c r="Z32" s="323"/>
      <c r="AA32" s="323"/>
      <c r="AB32" s="323"/>
      <c r="AC32" s="323"/>
      <c r="AD32" s="323"/>
      <c r="AE32" s="323"/>
      <c r="AF32" s="323"/>
      <c r="AG32" s="323"/>
      <c r="AH32" s="324"/>
      <c r="AI32" s="222"/>
      <c r="AJ32" s="291"/>
      <c r="AK32" s="291"/>
      <c r="AL32" s="291"/>
      <c r="AM32" s="291"/>
      <c r="AN32" s="291"/>
      <c r="AO32" s="291"/>
      <c r="AP32" s="291"/>
      <c r="AQ32" s="291"/>
      <c r="AR32" s="291"/>
      <c r="AS32" s="329"/>
      <c r="AT32" s="222"/>
      <c r="AU32" s="291"/>
      <c r="AV32" s="291"/>
      <c r="AW32" s="291"/>
      <c r="AX32" s="291"/>
      <c r="AY32" s="291"/>
      <c r="AZ32" s="291"/>
      <c r="BA32" s="291"/>
      <c r="BB32" s="291"/>
      <c r="BC32" s="291"/>
      <c r="BD32" s="292"/>
    </row>
    <row r="33" spans="2:56" ht="12" customHeight="1" x14ac:dyDescent="0.25">
      <c r="B33" s="260"/>
      <c r="C33" s="261"/>
      <c r="D33" s="261"/>
      <c r="E33" s="261"/>
      <c r="F33" s="261"/>
      <c r="G33" s="261"/>
      <c r="H33" s="261"/>
      <c r="I33" s="261"/>
      <c r="J33" s="261"/>
      <c r="K33" s="261"/>
      <c r="L33" s="262"/>
      <c r="M33" s="318"/>
      <c r="N33" s="319"/>
      <c r="O33" s="319"/>
      <c r="P33" s="319"/>
      <c r="Q33" s="319"/>
      <c r="R33" s="319"/>
      <c r="S33" s="319"/>
      <c r="T33" s="319"/>
      <c r="U33" s="319"/>
      <c r="V33" s="319"/>
      <c r="W33" s="320"/>
      <c r="X33" s="325"/>
      <c r="Y33" s="326"/>
      <c r="Z33" s="326"/>
      <c r="AA33" s="326"/>
      <c r="AB33" s="326"/>
      <c r="AC33" s="326"/>
      <c r="AD33" s="326"/>
      <c r="AE33" s="326"/>
      <c r="AF33" s="326"/>
      <c r="AG33" s="326"/>
      <c r="AH33" s="327"/>
      <c r="AI33" s="178"/>
      <c r="AJ33" s="293"/>
      <c r="AK33" s="293"/>
      <c r="AL33" s="293"/>
      <c r="AM33" s="293"/>
      <c r="AN33" s="293"/>
      <c r="AO33" s="293"/>
      <c r="AP33" s="293"/>
      <c r="AQ33" s="293"/>
      <c r="AR33" s="293"/>
      <c r="AS33" s="330"/>
      <c r="AT33" s="178"/>
      <c r="AU33" s="293"/>
      <c r="AV33" s="293"/>
      <c r="AW33" s="293"/>
      <c r="AX33" s="293"/>
      <c r="AY33" s="293"/>
      <c r="AZ33" s="293"/>
      <c r="BA33" s="293"/>
      <c r="BB33" s="293"/>
      <c r="BC33" s="293"/>
      <c r="BD33" s="294"/>
    </row>
    <row r="34" spans="2:56" ht="12" customHeight="1" x14ac:dyDescent="0.25">
      <c r="B34" s="210" t="s">
        <v>242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49"/>
      <c r="M34" s="213" t="s">
        <v>243</v>
      </c>
      <c r="N34" s="312"/>
      <c r="O34" s="312"/>
      <c r="P34" s="312"/>
      <c r="Q34" s="312"/>
      <c r="R34" s="312"/>
      <c r="S34" s="312"/>
      <c r="T34" s="312"/>
      <c r="U34" s="312"/>
      <c r="V34" s="312"/>
      <c r="W34" s="313"/>
      <c r="X34" s="214" t="s">
        <v>244</v>
      </c>
      <c r="Y34" s="309"/>
      <c r="Z34" s="309"/>
      <c r="AA34" s="309"/>
      <c r="AB34" s="309"/>
      <c r="AC34" s="309"/>
      <c r="AD34" s="309"/>
      <c r="AE34" s="309"/>
      <c r="AF34" s="309"/>
      <c r="AG34" s="309"/>
      <c r="AH34" s="310"/>
      <c r="AI34" s="180" t="s">
        <v>245</v>
      </c>
      <c r="AJ34" s="254"/>
      <c r="AK34" s="254"/>
      <c r="AL34" s="254"/>
      <c r="AM34" s="254"/>
      <c r="AN34" s="254"/>
      <c r="AO34" s="254"/>
      <c r="AP34" s="254"/>
      <c r="AQ34" s="254"/>
      <c r="AR34" s="254"/>
      <c r="AS34" s="311"/>
      <c r="AT34" s="180" t="s">
        <v>246</v>
      </c>
      <c r="AU34" s="254"/>
      <c r="AV34" s="254"/>
      <c r="AW34" s="254"/>
      <c r="AX34" s="254"/>
      <c r="AY34" s="254"/>
      <c r="AZ34" s="254"/>
      <c r="BA34" s="254"/>
      <c r="BB34" s="254"/>
      <c r="BC34" s="254"/>
      <c r="BD34" s="255"/>
    </row>
    <row r="35" spans="2:56" ht="12" customHeight="1" x14ac:dyDescent="0.25">
      <c r="B35" s="186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194"/>
      <c r="N35" s="263"/>
      <c r="O35" s="263"/>
      <c r="P35" s="263"/>
      <c r="Q35" s="263"/>
      <c r="R35" s="263"/>
      <c r="S35" s="263"/>
      <c r="T35" s="263"/>
      <c r="U35" s="263"/>
      <c r="V35" s="263"/>
      <c r="W35" s="264"/>
      <c r="X35" s="197"/>
      <c r="Y35" s="321"/>
      <c r="Z35" s="321"/>
      <c r="AA35" s="321"/>
      <c r="AB35" s="321"/>
      <c r="AC35" s="321"/>
      <c r="AD35" s="321"/>
      <c r="AE35" s="321"/>
      <c r="AF35" s="321"/>
      <c r="AG35" s="321"/>
      <c r="AH35" s="322"/>
      <c r="AI35" s="203"/>
      <c r="AJ35" s="289"/>
      <c r="AK35" s="289"/>
      <c r="AL35" s="289"/>
      <c r="AM35" s="289"/>
      <c r="AN35" s="289"/>
      <c r="AO35" s="289"/>
      <c r="AP35" s="289"/>
      <c r="AQ35" s="289"/>
      <c r="AR35" s="289"/>
      <c r="AS35" s="328"/>
      <c r="AT35" s="203"/>
      <c r="AU35" s="289"/>
      <c r="AV35" s="289"/>
      <c r="AW35" s="289"/>
      <c r="AX35" s="289"/>
      <c r="AY35" s="289"/>
      <c r="AZ35" s="289"/>
      <c r="BA35" s="289"/>
      <c r="BB35" s="289"/>
      <c r="BC35" s="289"/>
      <c r="BD35" s="290"/>
    </row>
    <row r="36" spans="2:56" ht="12" customHeight="1" x14ac:dyDescent="0.25">
      <c r="B36" s="204"/>
      <c r="C36" s="258"/>
      <c r="D36" s="258"/>
      <c r="E36" s="258"/>
      <c r="F36" s="258"/>
      <c r="G36" s="258"/>
      <c r="H36" s="258"/>
      <c r="I36" s="258"/>
      <c r="J36" s="258"/>
      <c r="K36" s="258"/>
      <c r="L36" s="259"/>
      <c r="M36" s="224"/>
      <c r="N36" s="151"/>
      <c r="O36" s="151"/>
      <c r="P36" s="151"/>
      <c r="Q36" s="151"/>
      <c r="R36" s="151"/>
      <c r="S36" s="151"/>
      <c r="T36" s="151"/>
      <c r="U36" s="151"/>
      <c r="V36" s="151"/>
      <c r="W36" s="265"/>
      <c r="X36" s="221"/>
      <c r="Y36" s="323"/>
      <c r="Z36" s="323"/>
      <c r="AA36" s="323"/>
      <c r="AB36" s="323"/>
      <c r="AC36" s="323"/>
      <c r="AD36" s="323"/>
      <c r="AE36" s="323"/>
      <c r="AF36" s="323"/>
      <c r="AG36" s="323"/>
      <c r="AH36" s="324"/>
      <c r="AI36" s="222"/>
      <c r="AJ36" s="291"/>
      <c r="AK36" s="291"/>
      <c r="AL36" s="291"/>
      <c r="AM36" s="291"/>
      <c r="AN36" s="291"/>
      <c r="AO36" s="291"/>
      <c r="AP36" s="291"/>
      <c r="AQ36" s="291"/>
      <c r="AR36" s="291"/>
      <c r="AS36" s="329"/>
      <c r="AT36" s="222"/>
      <c r="AU36" s="291"/>
      <c r="AV36" s="291"/>
      <c r="AW36" s="291"/>
      <c r="AX36" s="291"/>
      <c r="AY36" s="291"/>
      <c r="AZ36" s="291"/>
      <c r="BA36" s="291"/>
      <c r="BB36" s="291"/>
      <c r="BC36" s="291"/>
      <c r="BD36" s="292"/>
    </row>
    <row r="37" spans="2:56" ht="12" customHeight="1" x14ac:dyDescent="0.25">
      <c r="B37" s="204"/>
      <c r="C37" s="258"/>
      <c r="D37" s="258"/>
      <c r="E37" s="258"/>
      <c r="F37" s="258"/>
      <c r="G37" s="258"/>
      <c r="H37" s="258"/>
      <c r="I37" s="258"/>
      <c r="J37" s="258"/>
      <c r="K37" s="258"/>
      <c r="L37" s="259"/>
      <c r="M37" s="224"/>
      <c r="N37" s="151"/>
      <c r="O37" s="151"/>
      <c r="P37" s="151"/>
      <c r="Q37" s="151"/>
      <c r="R37" s="151"/>
      <c r="S37" s="151"/>
      <c r="T37" s="151"/>
      <c r="U37" s="151"/>
      <c r="V37" s="151"/>
      <c r="W37" s="265"/>
      <c r="X37" s="221"/>
      <c r="Y37" s="323"/>
      <c r="Z37" s="323"/>
      <c r="AA37" s="323"/>
      <c r="AB37" s="323"/>
      <c r="AC37" s="323"/>
      <c r="AD37" s="323"/>
      <c r="AE37" s="323"/>
      <c r="AF37" s="323"/>
      <c r="AG37" s="323"/>
      <c r="AH37" s="324"/>
      <c r="AI37" s="222"/>
      <c r="AJ37" s="291"/>
      <c r="AK37" s="291"/>
      <c r="AL37" s="291"/>
      <c r="AM37" s="291"/>
      <c r="AN37" s="291"/>
      <c r="AO37" s="291"/>
      <c r="AP37" s="291"/>
      <c r="AQ37" s="291"/>
      <c r="AR37" s="291"/>
      <c r="AS37" s="329"/>
      <c r="AT37" s="222"/>
      <c r="AU37" s="291"/>
      <c r="AV37" s="291"/>
      <c r="AW37" s="291"/>
      <c r="AX37" s="291"/>
      <c r="AY37" s="291"/>
      <c r="AZ37" s="291"/>
      <c r="BA37" s="291"/>
      <c r="BB37" s="291"/>
      <c r="BC37" s="291"/>
      <c r="BD37" s="292"/>
    </row>
    <row r="38" spans="2:56" ht="12" customHeight="1" x14ac:dyDescent="0.25">
      <c r="B38" s="204"/>
      <c r="C38" s="258"/>
      <c r="D38" s="258"/>
      <c r="E38" s="258"/>
      <c r="F38" s="258"/>
      <c r="G38" s="258"/>
      <c r="H38" s="258"/>
      <c r="I38" s="258"/>
      <c r="J38" s="258"/>
      <c r="K38" s="258"/>
      <c r="L38" s="259"/>
      <c r="M38" s="224"/>
      <c r="N38" s="151"/>
      <c r="O38" s="151"/>
      <c r="P38" s="151"/>
      <c r="Q38" s="151"/>
      <c r="R38" s="151"/>
      <c r="S38" s="151"/>
      <c r="T38" s="151"/>
      <c r="U38" s="151"/>
      <c r="V38" s="151"/>
      <c r="W38" s="265"/>
      <c r="X38" s="221"/>
      <c r="Y38" s="323"/>
      <c r="Z38" s="323"/>
      <c r="AA38" s="323"/>
      <c r="AB38" s="323"/>
      <c r="AC38" s="323"/>
      <c r="AD38" s="323"/>
      <c r="AE38" s="323"/>
      <c r="AF38" s="323"/>
      <c r="AG38" s="323"/>
      <c r="AH38" s="324"/>
      <c r="AI38" s="222"/>
      <c r="AJ38" s="291"/>
      <c r="AK38" s="291"/>
      <c r="AL38" s="291"/>
      <c r="AM38" s="291"/>
      <c r="AN38" s="291"/>
      <c r="AO38" s="291"/>
      <c r="AP38" s="291"/>
      <c r="AQ38" s="291"/>
      <c r="AR38" s="291"/>
      <c r="AS38" s="329"/>
      <c r="AT38" s="222"/>
      <c r="AU38" s="291"/>
      <c r="AV38" s="291"/>
      <c r="AW38" s="291"/>
      <c r="AX38" s="291"/>
      <c r="AY38" s="291"/>
      <c r="AZ38" s="291"/>
      <c r="BA38" s="291"/>
      <c r="BB38" s="291"/>
      <c r="BC38" s="291"/>
      <c r="BD38" s="292"/>
    </row>
    <row r="39" spans="2:56" ht="12" customHeight="1" x14ac:dyDescent="0.25">
      <c r="B39" s="204"/>
      <c r="C39" s="258"/>
      <c r="D39" s="258"/>
      <c r="E39" s="258"/>
      <c r="F39" s="258"/>
      <c r="G39" s="258"/>
      <c r="H39" s="258"/>
      <c r="I39" s="258"/>
      <c r="J39" s="258"/>
      <c r="K39" s="258"/>
      <c r="L39" s="259"/>
      <c r="M39" s="224"/>
      <c r="N39" s="151"/>
      <c r="O39" s="151"/>
      <c r="P39" s="151"/>
      <c r="Q39" s="151"/>
      <c r="R39" s="151"/>
      <c r="S39" s="151"/>
      <c r="T39" s="151"/>
      <c r="U39" s="151"/>
      <c r="V39" s="151"/>
      <c r="W39" s="265"/>
      <c r="X39" s="221"/>
      <c r="Y39" s="323"/>
      <c r="Z39" s="323"/>
      <c r="AA39" s="323"/>
      <c r="AB39" s="323"/>
      <c r="AC39" s="323"/>
      <c r="AD39" s="323"/>
      <c r="AE39" s="323"/>
      <c r="AF39" s="323"/>
      <c r="AG39" s="323"/>
      <c r="AH39" s="324"/>
      <c r="AI39" s="222"/>
      <c r="AJ39" s="291"/>
      <c r="AK39" s="291"/>
      <c r="AL39" s="291"/>
      <c r="AM39" s="291"/>
      <c r="AN39" s="291"/>
      <c r="AO39" s="291"/>
      <c r="AP39" s="291"/>
      <c r="AQ39" s="291"/>
      <c r="AR39" s="291"/>
      <c r="AS39" s="329"/>
      <c r="AT39" s="222"/>
      <c r="AU39" s="291"/>
      <c r="AV39" s="291"/>
      <c r="AW39" s="291"/>
      <c r="AX39" s="291"/>
      <c r="AY39" s="291"/>
      <c r="AZ39" s="291"/>
      <c r="BA39" s="291"/>
      <c r="BB39" s="291"/>
      <c r="BC39" s="291"/>
      <c r="BD39" s="292"/>
    </row>
    <row r="40" spans="2:56" ht="12" customHeight="1" x14ac:dyDescent="0.25">
      <c r="B40" s="204"/>
      <c r="C40" s="258"/>
      <c r="D40" s="258"/>
      <c r="E40" s="258"/>
      <c r="F40" s="258"/>
      <c r="G40" s="258"/>
      <c r="H40" s="258"/>
      <c r="I40" s="258"/>
      <c r="J40" s="258"/>
      <c r="K40" s="258"/>
      <c r="L40" s="259"/>
      <c r="M40" s="224"/>
      <c r="N40" s="151"/>
      <c r="O40" s="151"/>
      <c r="P40" s="151"/>
      <c r="Q40" s="151"/>
      <c r="R40" s="151"/>
      <c r="S40" s="151"/>
      <c r="T40" s="151"/>
      <c r="U40" s="151"/>
      <c r="V40" s="151"/>
      <c r="W40" s="265"/>
      <c r="X40" s="221"/>
      <c r="Y40" s="323"/>
      <c r="Z40" s="323"/>
      <c r="AA40" s="323"/>
      <c r="AB40" s="323"/>
      <c r="AC40" s="323"/>
      <c r="AD40" s="323"/>
      <c r="AE40" s="323"/>
      <c r="AF40" s="323"/>
      <c r="AG40" s="323"/>
      <c r="AH40" s="324"/>
      <c r="AI40" s="222"/>
      <c r="AJ40" s="291"/>
      <c r="AK40" s="291"/>
      <c r="AL40" s="291"/>
      <c r="AM40" s="291"/>
      <c r="AN40" s="291"/>
      <c r="AO40" s="291"/>
      <c r="AP40" s="291"/>
      <c r="AQ40" s="291"/>
      <c r="AR40" s="291"/>
      <c r="AS40" s="329"/>
      <c r="AT40" s="222"/>
      <c r="AU40" s="291"/>
      <c r="AV40" s="291"/>
      <c r="AW40" s="291"/>
      <c r="AX40" s="291"/>
      <c r="AY40" s="291"/>
      <c r="AZ40" s="291"/>
      <c r="BA40" s="291"/>
      <c r="BB40" s="291"/>
      <c r="BC40" s="291"/>
      <c r="BD40" s="292"/>
    </row>
    <row r="41" spans="2:56" ht="12" customHeight="1" x14ac:dyDescent="0.25">
      <c r="B41" s="260"/>
      <c r="C41" s="261"/>
      <c r="D41" s="261"/>
      <c r="E41" s="261"/>
      <c r="F41" s="261"/>
      <c r="G41" s="261"/>
      <c r="H41" s="261"/>
      <c r="I41" s="261"/>
      <c r="J41" s="261"/>
      <c r="K41" s="261"/>
      <c r="L41" s="262"/>
      <c r="M41" s="266"/>
      <c r="N41" s="267"/>
      <c r="O41" s="267"/>
      <c r="P41" s="267"/>
      <c r="Q41" s="267"/>
      <c r="R41" s="267"/>
      <c r="S41" s="267"/>
      <c r="T41" s="267"/>
      <c r="U41" s="267"/>
      <c r="V41" s="267"/>
      <c r="W41" s="268"/>
      <c r="X41" s="325"/>
      <c r="Y41" s="326"/>
      <c r="Z41" s="326"/>
      <c r="AA41" s="326"/>
      <c r="AB41" s="326"/>
      <c r="AC41" s="326"/>
      <c r="AD41" s="326"/>
      <c r="AE41" s="326"/>
      <c r="AF41" s="326"/>
      <c r="AG41" s="326"/>
      <c r="AH41" s="327"/>
      <c r="AI41" s="178"/>
      <c r="AJ41" s="293"/>
      <c r="AK41" s="293"/>
      <c r="AL41" s="293"/>
      <c r="AM41" s="293"/>
      <c r="AN41" s="293"/>
      <c r="AO41" s="293"/>
      <c r="AP41" s="293"/>
      <c r="AQ41" s="293"/>
      <c r="AR41" s="293"/>
      <c r="AS41" s="330"/>
      <c r="AT41" s="178"/>
      <c r="AU41" s="293"/>
      <c r="AV41" s="293"/>
      <c r="AW41" s="293"/>
      <c r="AX41" s="293"/>
      <c r="AY41" s="293"/>
      <c r="AZ41" s="293"/>
      <c r="BA41" s="293"/>
      <c r="BB41" s="293"/>
      <c r="BC41" s="293"/>
      <c r="BD41" s="294"/>
    </row>
    <row r="42" spans="2:56" ht="12" customHeight="1" x14ac:dyDescent="0.25">
      <c r="B42" s="210" t="s">
        <v>247</v>
      </c>
      <c r="C42" s="207"/>
      <c r="D42" s="207"/>
      <c r="E42" s="207"/>
      <c r="F42" s="207"/>
      <c r="G42" s="207"/>
      <c r="H42" s="207"/>
      <c r="I42" s="207"/>
      <c r="J42" s="207"/>
      <c r="K42" s="207"/>
      <c r="L42" s="249"/>
      <c r="M42" s="213" t="s">
        <v>248</v>
      </c>
      <c r="N42" s="312"/>
      <c r="O42" s="312"/>
      <c r="P42" s="312"/>
      <c r="Q42" s="312"/>
      <c r="R42" s="312"/>
      <c r="S42" s="312"/>
      <c r="T42" s="312"/>
      <c r="U42" s="312"/>
      <c r="V42" s="312"/>
      <c r="W42" s="313"/>
      <c r="X42" s="214" t="s">
        <v>353</v>
      </c>
      <c r="Y42" s="309"/>
      <c r="Z42" s="309"/>
      <c r="AA42" s="309"/>
      <c r="AB42" s="309"/>
      <c r="AC42" s="309"/>
      <c r="AD42" s="309"/>
      <c r="AE42" s="309"/>
      <c r="AF42" s="309"/>
      <c r="AG42" s="309"/>
      <c r="AH42" s="310"/>
      <c r="AI42" s="180" t="s">
        <v>249</v>
      </c>
      <c r="AJ42" s="254"/>
      <c r="AK42" s="254"/>
      <c r="AL42" s="254"/>
      <c r="AM42" s="254"/>
      <c r="AN42" s="254"/>
      <c r="AO42" s="254"/>
      <c r="AP42" s="254"/>
      <c r="AQ42" s="254"/>
      <c r="AR42" s="254"/>
      <c r="AS42" s="311"/>
      <c r="AT42" s="180" t="s">
        <v>250</v>
      </c>
      <c r="AU42" s="254"/>
      <c r="AV42" s="254"/>
      <c r="AW42" s="254"/>
      <c r="AX42" s="254"/>
      <c r="AY42" s="254"/>
      <c r="AZ42" s="254"/>
      <c r="BA42" s="254"/>
      <c r="BB42" s="254"/>
      <c r="BC42" s="254"/>
      <c r="BD42" s="255"/>
    </row>
    <row r="43" spans="2:56" ht="12" customHeight="1" x14ac:dyDescent="0.25">
      <c r="B43" s="186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194"/>
      <c r="N43" s="263"/>
      <c r="O43" s="263"/>
      <c r="P43" s="263"/>
      <c r="Q43" s="263"/>
      <c r="R43" s="263"/>
      <c r="S43" s="263"/>
      <c r="T43" s="263"/>
      <c r="U43" s="263"/>
      <c r="V43" s="263"/>
      <c r="W43" s="264"/>
      <c r="X43" s="197"/>
      <c r="Y43" s="321"/>
      <c r="Z43" s="321"/>
      <c r="AA43" s="321"/>
      <c r="AB43" s="321"/>
      <c r="AC43" s="321"/>
      <c r="AD43" s="321"/>
      <c r="AE43" s="321"/>
      <c r="AF43" s="321"/>
      <c r="AG43" s="321"/>
      <c r="AH43" s="322"/>
      <c r="AI43" s="203"/>
      <c r="AJ43" s="289"/>
      <c r="AK43" s="289"/>
      <c r="AL43" s="289"/>
      <c r="AM43" s="289"/>
      <c r="AN43" s="289"/>
      <c r="AO43" s="289"/>
      <c r="AP43" s="289"/>
      <c r="AQ43" s="289"/>
      <c r="AR43" s="289"/>
      <c r="AS43" s="328"/>
      <c r="AT43" s="203"/>
      <c r="AU43" s="289"/>
      <c r="AV43" s="289"/>
      <c r="AW43" s="289"/>
      <c r="AX43" s="289"/>
      <c r="AY43" s="289"/>
      <c r="AZ43" s="289"/>
      <c r="BA43" s="289"/>
      <c r="BB43" s="289"/>
      <c r="BC43" s="289"/>
      <c r="BD43" s="290"/>
    </row>
    <row r="44" spans="2:56" ht="12" customHeight="1" x14ac:dyDescent="0.25">
      <c r="B44" s="204"/>
      <c r="C44" s="258"/>
      <c r="D44" s="258"/>
      <c r="E44" s="258"/>
      <c r="F44" s="258"/>
      <c r="G44" s="258"/>
      <c r="H44" s="258"/>
      <c r="I44" s="258"/>
      <c r="J44" s="258"/>
      <c r="K44" s="258"/>
      <c r="L44" s="259"/>
      <c r="M44" s="224"/>
      <c r="N44" s="151"/>
      <c r="O44" s="151"/>
      <c r="P44" s="151"/>
      <c r="Q44" s="151"/>
      <c r="R44" s="151"/>
      <c r="S44" s="151"/>
      <c r="T44" s="151"/>
      <c r="U44" s="151"/>
      <c r="V44" s="151"/>
      <c r="W44" s="265"/>
      <c r="X44" s="221"/>
      <c r="Y44" s="323"/>
      <c r="Z44" s="323"/>
      <c r="AA44" s="323"/>
      <c r="AB44" s="323"/>
      <c r="AC44" s="323"/>
      <c r="AD44" s="323"/>
      <c r="AE44" s="323"/>
      <c r="AF44" s="323"/>
      <c r="AG44" s="323"/>
      <c r="AH44" s="324"/>
      <c r="AI44" s="222"/>
      <c r="AJ44" s="291"/>
      <c r="AK44" s="291"/>
      <c r="AL44" s="291"/>
      <c r="AM44" s="291"/>
      <c r="AN44" s="291"/>
      <c r="AO44" s="291"/>
      <c r="AP44" s="291"/>
      <c r="AQ44" s="291"/>
      <c r="AR44" s="291"/>
      <c r="AS44" s="329"/>
      <c r="AT44" s="222"/>
      <c r="AU44" s="291"/>
      <c r="AV44" s="291"/>
      <c r="AW44" s="291"/>
      <c r="AX44" s="291"/>
      <c r="AY44" s="291"/>
      <c r="AZ44" s="291"/>
      <c r="BA44" s="291"/>
      <c r="BB44" s="291"/>
      <c r="BC44" s="291"/>
      <c r="BD44" s="292"/>
    </row>
    <row r="45" spans="2:56" ht="12" customHeight="1" x14ac:dyDescent="0.25">
      <c r="B45" s="204"/>
      <c r="C45" s="258"/>
      <c r="D45" s="258"/>
      <c r="E45" s="258"/>
      <c r="F45" s="258"/>
      <c r="G45" s="258"/>
      <c r="H45" s="258"/>
      <c r="I45" s="258"/>
      <c r="J45" s="258"/>
      <c r="K45" s="258"/>
      <c r="L45" s="259"/>
      <c r="M45" s="224"/>
      <c r="N45" s="151"/>
      <c r="O45" s="151"/>
      <c r="P45" s="151"/>
      <c r="Q45" s="151"/>
      <c r="R45" s="151"/>
      <c r="S45" s="151"/>
      <c r="T45" s="151"/>
      <c r="U45" s="151"/>
      <c r="V45" s="151"/>
      <c r="W45" s="265"/>
      <c r="X45" s="221"/>
      <c r="Y45" s="323"/>
      <c r="Z45" s="323"/>
      <c r="AA45" s="323"/>
      <c r="AB45" s="323"/>
      <c r="AC45" s="323"/>
      <c r="AD45" s="323"/>
      <c r="AE45" s="323"/>
      <c r="AF45" s="323"/>
      <c r="AG45" s="323"/>
      <c r="AH45" s="324"/>
      <c r="AI45" s="222"/>
      <c r="AJ45" s="291"/>
      <c r="AK45" s="291"/>
      <c r="AL45" s="291"/>
      <c r="AM45" s="291"/>
      <c r="AN45" s="291"/>
      <c r="AO45" s="291"/>
      <c r="AP45" s="291"/>
      <c r="AQ45" s="291"/>
      <c r="AR45" s="291"/>
      <c r="AS45" s="329"/>
      <c r="AT45" s="222"/>
      <c r="AU45" s="291"/>
      <c r="AV45" s="291"/>
      <c r="AW45" s="291"/>
      <c r="AX45" s="291"/>
      <c r="AY45" s="291"/>
      <c r="AZ45" s="291"/>
      <c r="BA45" s="291"/>
      <c r="BB45" s="291"/>
      <c r="BC45" s="291"/>
      <c r="BD45" s="292"/>
    </row>
    <row r="46" spans="2:56" ht="12" customHeight="1" x14ac:dyDescent="0.25">
      <c r="B46" s="204"/>
      <c r="C46" s="258"/>
      <c r="D46" s="258"/>
      <c r="E46" s="258"/>
      <c r="F46" s="258"/>
      <c r="G46" s="258"/>
      <c r="H46" s="258"/>
      <c r="I46" s="258"/>
      <c r="J46" s="258"/>
      <c r="K46" s="258"/>
      <c r="L46" s="259"/>
      <c r="M46" s="224"/>
      <c r="N46" s="151"/>
      <c r="O46" s="151"/>
      <c r="P46" s="151"/>
      <c r="Q46" s="151"/>
      <c r="R46" s="151"/>
      <c r="S46" s="151"/>
      <c r="T46" s="151"/>
      <c r="U46" s="151"/>
      <c r="V46" s="151"/>
      <c r="W46" s="265"/>
      <c r="X46" s="221"/>
      <c r="Y46" s="323"/>
      <c r="Z46" s="323"/>
      <c r="AA46" s="323"/>
      <c r="AB46" s="323"/>
      <c r="AC46" s="323"/>
      <c r="AD46" s="323"/>
      <c r="AE46" s="323"/>
      <c r="AF46" s="323"/>
      <c r="AG46" s="323"/>
      <c r="AH46" s="324"/>
      <c r="AI46" s="222"/>
      <c r="AJ46" s="291"/>
      <c r="AK46" s="291"/>
      <c r="AL46" s="291"/>
      <c r="AM46" s="291"/>
      <c r="AN46" s="291"/>
      <c r="AO46" s="291"/>
      <c r="AP46" s="291"/>
      <c r="AQ46" s="291"/>
      <c r="AR46" s="291"/>
      <c r="AS46" s="329"/>
      <c r="AT46" s="222"/>
      <c r="AU46" s="291"/>
      <c r="AV46" s="291"/>
      <c r="AW46" s="291"/>
      <c r="AX46" s="291"/>
      <c r="AY46" s="291"/>
      <c r="AZ46" s="291"/>
      <c r="BA46" s="291"/>
      <c r="BB46" s="291"/>
      <c r="BC46" s="291"/>
      <c r="BD46" s="292"/>
    </row>
    <row r="47" spans="2:56" ht="12" customHeight="1" x14ac:dyDescent="0.25">
      <c r="B47" s="204"/>
      <c r="C47" s="258"/>
      <c r="D47" s="258"/>
      <c r="E47" s="258"/>
      <c r="F47" s="258"/>
      <c r="G47" s="258"/>
      <c r="H47" s="258"/>
      <c r="I47" s="258"/>
      <c r="J47" s="258"/>
      <c r="K47" s="258"/>
      <c r="L47" s="259"/>
      <c r="M47" s="224"/>
      <c r="N47" s="151"/>
      <c r="O47" s="151"/>
      <c r="P47" s="151"/>
      <c r="Q47" s="151"/>
      <c r="R47" s="151"/>
      <c r="S47" s="151"/>
      <c r="T47" s="151"/>
      <c r="U47" s="151"/>
      <c r="V47" s="151"/>
      <c r="W47" s="265"/>
      <c r="X47" s="221"/>
      <c r="Y47" s="323"/>
      <c r="Z47" s="323"/>
      <c r="AA47" s="323"/>
      <c r="AB47" s="323"/>
      <c r="AC47" s="323"/>
      <c r="AD47" s="323"/>
      <c r="AE47" s="323"/>
      <c r="AF47" s="323"/>
      <c r="AG47" s="323"/>
      <c r="AH47" s="324"/>
      <c r="AI47" s="222"/>
      <c r="AJ47" s="291"/>
      <c r="AK47" s="291"/>
      <c r="AL47" s="291"/>
      <c r="AM47" s="291"/>
      <c r="AN47" s="291"/>
      <c r="AO47" s="291"/>
      <c r="AP47" s="291"/>
      <c r="AQ47" s="291"/>
      <c r="AR47" s="291"/>
      <c r="AS47" s="329"/>
      <c r="AT47" s="222"/>
      <c r="AU47" s="291"/>
      <c r="AV47" s="291"/>
      <c r="AW47" s="291"/>
      <c r="AX47" s="291"/>
      <c r="AY47" s="291"/>
      <c r="AZ47" s="291"/>
      <c r="BA47" s="291"/>
      <c r="BB47" s="291"/>
      <c r="BC47" s="291"/>
      <c r="BD47" s="292"/>
    </row>
    <row r="48" spans="2:56" ht="12" customHeight="1" x14ac:dyDescent="0.25">
      <c r="B48" s="204"/>
      <c r="C48" s="258"/>
      <c r="D48" s="258"/>
      <c r="E48" s="258"/>
      <c r="F48" s="258"/>
      <c r="G48" s="258"/>
      <c r="H48" s="258"/>
      <c r="I48" s="258"/>
      <c r="J48" s="258"/>
      <c r="K48" s="258"/>
      <c r="L48" s="259"/>
      <c r="M48" s="224"/>
      <c r="N48" s="151"/>
      <c r="O48" s="151"/>
      <c r="P48" s="151"/>
      <c r="Q48" s="151"/>
      <c r="R48" s="151"/>
      <c r="S48" s="151"/>
      <c r="T48" s="151"/>
      <c r="U48" s="151"/>
      <c r="V48" s="151"/>
      <c r="W48" s="265"/>
      <c r="X48" s="221"/>
      <c r="Y48" s="323"/>
      <c r="Z48" s="323"/>
      <c r="AA48" s="323"/>
      <c r="AB48" s="323"/>
      <c r="AC48" s="323"/>
      <c r="AD48" s="323"/>
      <c r="AE48" s="323"/>
      <c r="AF48" s="323"/>
      <c r="AG48" s="323"/>
      <c r="AH48" s="324"/>
      <c r="AI48" s="222"/>
      <c r="AJ48" s="291"/>
      <c r="AK48" s="291"/>
      <c r="AL48" s="291"/>
      <c r="AM48" s="291"/>
      <c r="AN48" s="291"/>
      <c r="AO48" s="291"/>
      <c r="AP48" s="291"/>
      <c r="AQ48" s="291"/>
      <c r="AR48" s="291"/>
      <c r="AS48" s="329"/>
      <c r="AT48" s="222"/>
      <c r="AU48" s="291"/>
      <c r="AV48" s="291"/>
      <c r="AW48" s="291"/>
      <c r="AX48" s="291"/>
      <c r="AY48" s="291"/>
      <c r="AZ48" s="291"/>
      <c r="BA48" s="291"/>
      <c r="BB48" s="291"/>
      <c r="BC48" s="291"/>
      <c r="BD48" s="292"/>
    </row>
    <row r="49" spans="2:56" ht="12" customHeight="1" x14ac:dyDescent="0.25">
      <c r="B49" s="260"/>
      <c r="C49" s="261"/>
      <c r="D49" s="261"/>
      <c r="E49" s="261"/>
      <c r="F49" s="261"/>
      <c r="G49" s="261"/>
      <c r="H49" s="261"/>
      <c r="I49" s="261"/>
      <c r="J49" s="261"/>
      <c r="K49" s="261"/>
      <c r="L49" s="262"/>
      <c r="M49" s="266"/>
      <c r="N49" s="267"/>
      <c r="O49" s="267"/>
      <c r="P49" s="267"/>
      <c r="Q49" s="267"/>
      <c r="R49" s="267"/>
      <c r="S49" s="267"/>
      <c r="T49" s="267"/>
      <c r="U49" s="267"/>
      <c r="V49" s="267"/>
      <c r="W49" s="268"/>
      <c r="X49" s="325"/>
      <c r="Y49" s="326"/>
      <c r="Z49" s="326"/>
      <c r="AA49" s="326"/>
      <c r="AB49" s="326"/>
      <c r="AC49" s="326"/>
      <c r="AD49" s="326"/>
      <c r="AE49" s="326"/>
      <c r="AF49" s="326"/>
      <c r="AG49" s="326"/>
      <c r="AH49" s="327"/>
      <c r="AI49" s="178"/>
      <c r="AJ49" s="293"/>
      <c r="AK49" s="293"/>
      <c r="AL49" s="293"/>
      <c r="AM49" s="293"/>
      <c r="AN49" s="293"/>
      <c r="AO49" s="293"/>
      <c r="AP49" s="293"/>
      <c r="AQ49" s="293"/>
      <c r="AR49" s="293"/>
      <c r="AS49" s="330"/>
      <c r="AT49" s="178"/>
      <c r="AU49" s="293"/>
      <c r="AV49" s="293"/>
      <c r="AW49" s="293"/>
      <c r="AX49" s="293"/>
      <c r="AY49" s="293"/>
      <c r="AZ49" s="293"/>
      <c r="BA49" s="293"/>
      <c r="BB49" s="293"/>
      <c r="BC49" s="293"/>
      <c r="BD49" s="294"/>
    </row>
    <row r="50" spans="2:56" ht="12" customHeight="1" x14ac:dyDescent="0.25">
      <c r="B50" s="210" t="s">
        <v>354</v>
      </c>
      <c r="C50" s="207"/>
      <c r="D50" s="207"/>
      <c r="E50" s="207"/>
      <c r="F50" s="207"/>
      <c r="G50" s="207"/>
      <c r="H50" s="207"/>
      <c r="I50" s="207"/>
      <c r="J50" s="207"/>
      <c r="K50" s="207"/>
      <c r="L50" s="249"/>
      <c r="M50" s="226" t="s">
        <v>251</v>
      </c>
      <c r="N50" s="252"/>
      <c r="O50" s="252"/>
      <c r="P50" s="252"/>
      <c r="Q50" s="252"/>
      <c r="R50" s="252"/>
      <c r="S50" s="252"/>
      <c r="T50" s="252"/>
      <c r="U50" s="252"/>
      <c r="V50" s="252"/>
      <c r="W50" s="253"/>
      <c r="X50" s="214" t="s">
        <v>252</v>
      </c>
      <c r="Y50" s="309"/>
      <c r="Z50" s="309"/>
      <c r="AA50" s="309"/>
      <c r="AB50" s="309"/>
      <c r="AC50" s="309"/>
      <c r="AD50" s="309"/>
      <c r="AE50" s="309"/>
      <c r="AF50" s="309"/>
      <c r="AG50" s="309"/>
      <c r="AH50" s="310"/>
      <c r="AI50" s="180" t="s">
        <v>253</v>
      </c>
      <c r="AJ50" s="254"/>
      <c r="AK50" s="254"/>
      <c r="AL50" s="254"/>
      <c r="AM50" s="254"/>
      <c r="AN50" s="254"/>
      <c r="AO50" s="254"/>
      <c r="AP50" s="254"/>
      <c r="AQ50" s="254"/>
      <c r="AR50" s="254"/>
      <c r="AS50" s="311"/>
      <c r="AT50" s="180" t="s">
        <v>254</v>
      </c>
      <c r="AU50" s="254"/>
      <c r="AV50" s="254"/>
      <c r="AW50" s="254"/>
      <c r="AX50" s="254"/>
      <c r="AY50" s="254"/>
      <c r="AZ50" s="254"/>
      <c r="BA50" s="254"/>
      <c r="BB50" s="254"/>
      <c r="BC50" s="254"/>
      <c r="BD50" s="255"/>
    </row>
    <row r="51" spans="2:56" ht="12" customHeight="1" x14ac:dyDescent="0.25">
      <c r="B51" s="186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194"/>
      <c r="N51" s="263"/>
      <c r="O51" s="263"/>
      <c r="P51" s="263"/>
      <c r="Q51" s="263"/>
      <c r="R51" s="263"/>
      <c r="S51" s="263"/>
      <c r="T51" s="263"/>
      <c r="U51" s="263"/>
      <c r="V51" s="263"/>
      <c r="W51" s="264"/>
      <c r="X51" s="197"/>
      <c r="Y51" s="321"/>
      <c r="Z51" s="321"/>
      <c r="AA51" s="321"/>
      <c r="AB51" s="321"/>
      <c r="AC51" s="321"/>
      <c r="AD51" s="321"/>
      <c r="AE51" s="321"/>
      <c r="AF51" s="321"/>
      <c r="AG51" s="321"/>
      <c r="AH51" s="322"/>
      <c r="AI51" s="203"/>
      <c r="AJ51" s="289"/>
      <c r="AK51" s="289"/>
      <c r="AL51" s="289"/>
      <c r="AM51" s="289"/>
      <c r="AN51" s="289"/>
      <c r="AO51" s="289"/>
      <c r="AP51" s="289"/>
      <c r="AQ51" s="289"/>
      <c r="AR51" s="289"/>
      <c r="AS51" s="328"/>
      <c r="AT51" s="203"/>
      <c r="AU51" s="289"/>
      <c r="AV51" s="289"/>
      <c r="AW51" s="289"/>
      <c r="AX51" s="289"/>
      <c r="AY51" s="289"/>
      <c r="AZ51" s="289"/>
      <c r="BA51" s="289"/>
      <c r="BB51" s="289"/>
      <c r="BC51" s="289"/>
      <c r="BD51" s="290"/>
    </row>
    <row r="52" spans="2:56" ht="12" customHeight="1" x14ac:dyDescent="0.25">
      <c r="B52" s="204"/>
      <c r="C52" s="258"/>
      <c r="D52" s="258"/>
      <c r="E52" s="258"/>
      <c r="F52" s="258"/>
      <c r="G52" s="258"/>
      <c r="H52" s="258"/>
      <c r="I52" s="258"/>
      <c r="J52" s="258"/>
      <c r="K52" s="258"/>
      <c r="L52" s="259"/>
      <c r="M52" s="224"/>
      <c r="N52" s="151"/>
      <c r="O52" s="151"/>
      <c r="P52" s="151"/>
      <c r="Q52" s="151"/>
      <c r="R52" s="151"/>
      <c r="S52" s="151"/>
      <c r="T52" s="151"/>
      <c r="U52" s="151"/>
      <c r="V52" s="151"/>
      <c r="W52" s="265"/>
      <c r="X52" s="221"/>
      <c r="Y52" s="323"/>
      <c r="Z52" s="323"/>
      <c r="AA52" s="323"/>
      <c r="AB52" s="323"/>
      <c r="AC52" s="323"/>
      <c r="AD52" s="323"/>
      <c r="AE52" s="323"/>
      <c r="AF52" s="323"/>
      <c r="AG52" s="323"/>
      <c r="AH52" s="324"/>
      <c r="AI52" s="222"/>
      <c r="AJ52" s="291"/>
      <c r="AK52" s="291"/>
      <c r="AL52" s="291"/>
      <c r="AM52" s="291"/>
      <c r="AN52" s="291"/>
      <c r="AO52" s="291"/>
      <c r="AP52" s="291"/>
      <c r="AQ52" s="291"/>
      <c r="AR52" s="291"/>
      <c r="AS52" s="329"/>
      <c r="AT52" s="222"/>
      <c r="AU52" s="291"/>
      <c r="AV52" s="291"/>
      <c r="AW52" s="291"/>
      <c r="AX52" s="291"/>
      <c r="AY52" s="291"/>
      <c r="AZ52" s="291"/>
      <c r="BA52" s="291"/>
      <c r="BB52" s="291"/>
      <c r="BC52" s="291"/>
      <c r="BD52" s="292"/>
    </row>
    <row r="53" spans="2:56" ht="12" customHeight="1" x14ac:dyDescent="0.25">
      <c r="B53" s="204"/>
      <c r="C53" s="258"/>
      <c r="D53" s="258"/>
      <c r="E53" s="258"/>
      <c r="F53" s="258"/>
      <c r="G53" s="258"/>
      <c r="H53" s="258"/>
      <c r="I53" s="258"/>
      <c r="J53" s="258"/>
      <c r="K53" s="258"/>
      <c r="L53" s="259"/>
      <c r="M53" s="224"/>
      <c r="N53" s="151"/>
      <c r="O53" s="151"/>
      <c r="P53" s="151"/>
      <c r="Q53" s="151"/>
      <c r="R53" s="151"/>
      <c r="S53" s="151"/>
      <c r="T53" s="151"/>
      <c r="U53" s="151"/>
      <c r="V53" s="151"/>
      <c r="W53" s="265"/>
      <c r="X53" s="221"/>
      <c r="Y53" s="323"/>
      <c r="Z53" s="323"/>
      <c r="AA53" s="323"/>
      <c r="AB53" s="323"/>
      <c r="AC53" s="323"/>
      <c r="AD53" s="323"/>
      <c r="AE53" s="323"/>
      <c r="AF53" s="323"/>
      <c r="AG53" s="323"/>
      <c r="AH53" s="324"/>
      <c r="AI53" s="222"/>
      <c r="AJ53" s="291"/>
      <c r="AK53" s="291"/>
      <c r="AL53" s="291"/>
      <c r="AM53" s="291"/>
      <c r="AN53" s="291"/>
      <c r="AO53" s="291"/>
      <c r="AP53" s="291"/>
      <c r="AQ53" s="291"/>
      <c r="AR53" s="291"/>
      <c r="AS53" s="329"/>
      <c r="AT53" s="222"/>
      <c r="AU53" s="291"/>
      <c r="AV53" s="291"/>
      <c r="AW53" s="291"/>
      <c r="AX53" s="291"/>
      <c r="AY53" s="291"/>
      <c r="AZ53" s="291"/>
      <c r="BA53" s="291"/>
      <c r="BB53" s="291"/>
      <c r="BC53" s="291"/>
      <c r="BD53" s="292"/>
    </row>
    <row r="54" spans="2:56" ht="12" customHeight="1" x14ac:dyDescent="0.25">
      <c r="B54" s="204"/>
      <c r="C54" s="258"/>
      <c r="D54" s="258"/>
      <c r="E54" s="258"/>
      <c r="F54" s="258"/>
      <c r="G54" s="258"/>
      <c r="H54" s="258"/>
      <c r="I54" s="258"/>
      <c r="J54" s="258"/>
      <c r="K54" s="258"/>
      <c r="L54" s="259"/>
      <c r="M54" s="224"/>
      <c r="N54" s="151"/>
      <c r="O54" s="151"/>
      <c r="P54" s="151"/>
      <c r="Q54" s="151"/>
      <c r="R54" s="151"/>
      <c r="S54" s="151"/>
      <c r="T54" s="151"/>
      <c r="U54" s="151"/>
      <c r="V54" s="151"/>
      <c r="W54" s="265"/>
      <c r="X54" s="221"/>
      <c r="Y54" s="323"/>
      <c r="Z54" s="323"/>
      <c r="AA54" s="323"/>
      <c r="AB54" s="323"/>
      <c r="AC54" s="323"/>
      <c r="AD54" s="323"/>
      <c r="AE54" s="323"/>
      <c r="AF54" s="323"/>
      <c r="AG54" s="323"/>
      <c r="AH54" s="324"/>
      <c r="AI54" s="222"/>
      <c r="AJ54" s="291"/>
      <c r="AK54" s="291"/>
      <c r="AL54" s="291"/>
      <c r="AM54" s="291"/>
      <c r="AN54" s="291"/>
      <c r="AO54" s="291"/>
      <c r="AP54" s="291"/>
      <c r="AQ54" s="291"/>
      <c r="AR54" s="291"/>
      <c r="AS54" s="329"/>
      <c r="AT54" s="222"/>
      <c r="AU54" s="291"/>
      <c r="AV54" s="291"/>
      <c r="AW54" s="291"/>
      <c r="AX54" s="291"/>
      <c r="AY54" s="291"/>
      <c r="AZ54" s="291"/>
      <c r="BA54" s="291"/>
      <c r="BB54" s="291"/>
      <c r="BC54" s="291"/>
      <c r="BD54" s="292"/>
    </row>
    <row r="55" spans="2:56" ht="12" customHeight="1" x14ac:dyDescent="0.25">
      <c r="B55" s="204"/>
      <c r="C55" s="258"/>
      <c r="D55" s="258"/>
      <c r="E55" s="258"/>
      <c r="F55" s="258"/>
      <c r="G55" s="258"/>
      <c r="H55" s="258"/>
      <c r="I55" s="258"/>
      <c r="J55" s="258"/>
      <c r="K55" s="258"/>
      <c r="L55" s="259"/>
      <c r="M55" s="224"/>
      <c r="N55" s="151"/>
      <c r="O55" s="151"/>
      <c r="P55" s="151"/>
      <c r="Q55" s="151"/>
      <c r="R55" s="151"/>
      <c r="S55" s="151"/>
      <c r="T55" s="151"/>
      <c r="U55" s="151"/>
      <c r="V55" s="151"/>
      <c r="W55" s="265"/>
      <c r="X55" s="221"/>
      <c r="Y55" s="323"/>
      <c r="Z55" s="323"/>
      <c r="AA55" s="323"/>
      <c r="AB55" s="323"/>
      <c r="AC55" s="323"/>
      <c r="AD55" s="323"/>
      <c r="AE55" s="323"/>
      <c r="AF55" s="323"/>
      <c r="AG55" s="323"/>
      <c r="AH55" s="324"/>
      <c r="AI55" s="222"/>
      <c r="AJ55" s="291"/>
      <c r="AK55" s="291"/>
      <c r="AL55" s="291"/>
      <c r="AM55" s="291"/>
      <c r="AN55" s="291"/>
      <c r="AO55" s="291"/>
      <c r="AP55" s="291"/>
      <c r="AQ55" s="291"/>
      <c r="AR55" s="291"/>
      <c r="AS55" s="329"/>
      <c r="AT55" s="222"/>
      <c r="AU55" s="291"/>
      <c r="AV55" s="291"/>
      <c r="AW55" s="291"/>
      <c r="AX55" s="291"/>
      <c r="AY55" s="291"/>
      <c r="AZ55" s="291"/>
      <c r="BA55" s="291"/>
      <c r="BB55" s="291"/>
      <c r="BC55" s="291"/>
      <c r="BD55" s="292"/>
    </row>
    <row r="56" spans="2:56" ht="12" customHeight="1" x14ac:dyDescent="0.25">
      <c r="B56" s="204"/>
      <c r="C56" s="258"/>
      <c r="D56" s="258"/>
      <c r="E56" s="258"/>
      <c r="F56" s="258"/>
      <c r="G56" s="258"/>
      <c r="H56" s="258"/>
      <c r="I56" s="258"/>
      <c r="J56" s="258"/>
      <c r="K56" s="258"/>
      <c r="L56" s="259"/>
      <c r="M56" s="224"/>
      <c r="N56" s="151"/>
      <c r="O56" s="151"/>
      <c r="P56" s="151"/>
      <c r="Q56" s="151"/>
      <c r="R56" s="151"/>
      <c r="S56" s="151"/>
      <c r="T56" s="151"/>
      <c r="U56" s="151"/>
      <c r="V56" s="151"/>
      <c r="W56" s="265"/>
      <c r="X56" s="221"/>
      <c r="Y56" s="323"/>
      <c r="Z56" s="323"/>
      <c r="AA56" s="323"/>
      <c r="AB56" s="323"/>
      <c r="AC56" s="323"/>
      <c r="AD56" s="323"/>
      <c r="AE56" s="323"/>
      <c r="AF56" s="323"/>
      <c r="AG56" s="323"/>
      <c r="AH56" s="324"/>
      <c r="AI56" s="222"/>
      <c r="AJ56" s="291"/>
      <c r="AK56" s="291"/>
      <c r="AL56" s="291"/>
      <c r="AM56" s="291"/>
      <c r="AN56" s="291"/>
      <c r="AO56" s="291"/>
      <c r="AP56" s="291"/>
      <c r="AQ56" s="291"/>
      <c r="AR56" s="291"/>
      <c r="AS56" s="329"/>
      <c r="AT56" s="222"/>
      <c r="AU56" s="291"/>
      <c r="AV56" s="291"/>
      <c r="AW56" s="291"/>
      <c r="AX56" s="291"/>
      <c r="AY56" s="291"/>
      <c r="AZ56" s="291"/>
      <c r="BA56" s="291"/>
      <c r="BB56" s="291"/>
      <c r="BC56" s="291"/>
      <c r="BD56" s="292"/>
    </row>
    <row r="57" spans="2:56" ht="12" customHeight="1" x14ac:dyDescent="0.25">
      <c r="B57" s="260"/>
      <c r="C57" s="261"/>
      <c r="D57" s="261"/>
      <c r="E57" s="261"/>
      <c r="F57" s="261"/>
      <c r="G57" s="261"/>
      <c r="H57" s="261"/>
      <c r="I57" s="261"/>
      <c r="J57" s="261"/>
      <c r="K57" s="261"/>
      <c r="L57" s="262"/>
      <c r="M57" s="266"/>
      <c r="N57" s="267"/>
      <c r="O57" s="267"/>
      <c r="P57" s="267"/>
      <c r="Q57" s="267"/>
      <c r="R57" s="267"/>
      <c r="S57" s="267"/>
      <c r="T57" s="267"/>
      <c r="U57" s="267"/>
      <c r="V57" s="267"/>
      <c r="W57" s="268"/>
      <c r="X57" s="325"/>
      <c r="Y57" s="326"/>
      <c r="Z57" s="326"/>
      <c r="AA57" s="326"/>
      <c r="AB57" s="326"/>
      <c r="AC57" s="326"/>
      <c r="AD57" s="326"/>
      <c r="AE57" s="326"/>
      <c r="AF57" s="326"/>
      <c r="AG57" s="326"/>
      <c r="AH57" s="327"/>
      <c r="AI57" s="178"/>
      <c r="AJ57" s="293"/>
      <c r="AK57" s="293"/>
      <c r="AL57" s="293"/>
      <c r="AM57" s="293"/>
      <c r="AN57" s="293"/>
      <c r="AO57" s="293"/>
      <c r="AP57" s="293"/>
      <c r="AQ57" s="293"/>
      <c r="AR57" s="293"/>
      <c r="AS57" s="330"/>
      <c r="AT57" s="178"/>
      <c r="AU57" s="293"/>
      <c r="AV57" s="293"/>
      <c r="AW57" s="293"/>
      <c r="AX57" s="293"/>
      <c r="AY57" s="293"/>
      <c r="AZ57" s="293"/>
      <c r="BA57" s="293"/>
      <c r="BB57" s="293"/>
      <c r="BC57" s="293"/>
      <c r="BD57" s="294"/>
    </row>
    <row r="58" spans="2:56" ht="12" customHeight="1" x14ac:dyDescent="0.25">
      <c r="B58" s="210" t="s">
        <v>255</v>
      </c>
      <c r="C58" s="207"/>
      <c r="D58" s="207"/>
      <c r="E58" s="207"/>
      <c r="F58" s="207"/>
      <c r="G58" s="207"/>
      <c r="H58" s="207"/>
      <c r="I58" s="207"/>
      <c r="J58" s="207"/>
      <c r="K58" s="207"/>
      <c r="L58" s="249"/>
      <c r="M58" s="213" t="s">
        <v>256</v>
      </c>
      <c r="N58" s="312"/>
      <c r="O58" s="312"/>
      <c r="P58" s="312"/>
      <c r="Q58" s="312"/>
      <c r="R58" s="312"/>
      <c r="S58" s="312"/>
      <c r="T58" s="312"/>
      <c r="U58" s="312"/>
      <c r="V58" s="312"/>
      <c r="W58" s="313"/>
      <c r="X58" s="214" t="s">
        <v>257</v>
      </c>
      <c r="Y58" s="309"/>
      <c r="Z58" s="309"/>
      <c r="AA58" s="309"/>
      <c r="AB58" s="309"/>
      <c r="AC58" s="309"/>
      <c r="AD58" s="309"/>
      <c r="AE58" s="309"/>
      <c r="AF58" s="309"/>
      <c r="AG58" s="309"/>
      <c r="AH58" s="310"/>
      <c r="AI58" s="180" t="s">
        <v>258</v>
      </c>
      <c r="AJ58" s="254"/>
      <c r="AK58" s="254"/>
      <c r="AL58" s="254"/>
      <c r="AM58" s="254"/>
      <c r="AN58" s="254"/>
      <c r="AO58" s="254"/>
      <c r="AP58" s="254"/>
      <c r="AQ58" s="254"/>
      <c r="AR58" s="254"/>
      <c r="AS58" s="311"/>
      <c r="AT58" s="180" t="s">
        <v>259</v>
      </c>
      <c r="AU58" s="254"/>
      <c r="AV58" s="254"/>
      <c r="AW58" s="254"/>
      <c r="AX58" s="254"/>
      <c r="AY58" s="254"/>
      <c r="AZ58" s="254"/>
      <c r="BA58" s="254"/>
      <c r="BB58" s="254"/>
      <c r="BC58" s="254"/>
      <c r="BD58" s="255"/>
    </row>
    <row r="59" spans="2:56" ht="12" customHeight="1" x14ac:dyDescent="0.25">
      <c r="B59" s="186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12"/>
      <c r="N59" s="314"/>
      <c r="O59" s="314"/>
      <c r="P59" s="314"/>
      <c r="Q59" s="314"/>
      <c r="R59" s="314"/>
      <c r="S59" s="314"/>
      <c r="T59" s="314"/>
      <c r="U59" s="314"/>
      <c r="V59" s="314"/>
      <c r="W59" s="315"/>
      <c r="X59" s="197"/>
      <c r="Y59" s="321"/>
      <c r="Z59" s="321"/>
      <c r="AA59" s="321"/>
      <c r="AB59" s="321"/>
      <c r="AC59" s="321"/>
      <c r="AD59" s="321"/>
      <c r="AE59" s="321"/>
      <c r="AF59" s="321"/>
      <c r="AG59" s="321"/>
      <c r="AH59" s="322"/>
      <c r="AI59" s="203"/>
      <c r="AJ59" s="289"/>
      <c r="AK59" s="289"/>
      <c r="AL59" s="289"/>
      <c r="AM59" s="289"/>
      <c r="AN59" s="289"/>
      <c r="AO59" s="289"/>
      <c r="AP59" s="289"/>
      <c r="AQ59" s="289"/>
      <c r="AR59" s="289"/>
      <c r="AS59" s="328"/>
      <c r="AT59" s="203"/>
      <c r="AU59" s="289"/>
      <c r="AV59" s="289"/>
      <c r="AW59" s="289"/>
      <c r="AX59" s="289"/>
      <c r="AY59" s="289"/>
      <c r="AZ59" s="289"/>
      <c r="BA59" s="289"/>
      <c r="BB59" s="289"/>
      <c r="BC59" s="289"/>
      <c r="BD59" s="290"/>
    </row>
    <row r="60" spans="2:56" ht="12" customHeight="1" x14ac:dyDescent="0.25">
      <c r="B60" s="204" t="s">
        <v>369</v>
      </c>
      <c r="C60" s="258"/>
      <c r="D60" s="258"/>
      <c r="E60" s="258"/>
      <c r="F60" s="258"/>
      <c r="G60" s="258"/>
      <c r="H60" s="258"/>
      <c r="I60" s="258"/>
      <c r="J60" s="258"/>
      <c r="K60" s="258"/>
      <c r="L60" s="259"/>
      <c r="M60" s="219"/>
      <c r="N60" s="316"/>
      <c r="O60" s="316"/>
      <c r="P60" s="316"/>
      <c r="Q60" s="316"/>
      <c r="R60" s="316"/>
      <c r="S60" s="316"/>
      <c r="T60" s="316"/>
      <c r="U60" s="316"/>
      <c r="V60" s="316"/>
      <c r="W60" s="317"/>
      <c r="X60" s="221"/>
      <c r="Y60" s="323"/>
      <c r="Z60" s="323"/>
      <c r="AA60" s="323"/>
      <c r="AB60" s="323"/>
      <c r="AC60" s="323"/>
      <c r="AD60" s="323"/>
      <c r="AE60" s="323"/>
      <c r="AF60" s="323"/>
      <c r="AG60" s="323"/>
      <c r="AH60" s="324"/>
      <c r="AI60" s="222"/>
      <c r="AJ60" s="291"/>
      <c r="AK60" s="291"/>
      <c r="AL60" s="291"/>
      <c r="AM60" s="291"/>
      <c r="AN60" s="291"/>
      <c r="AO60" s="291"/>
      <c r="AP60" s="291"/>
      <c r="AQ60" s="291"/>
      <c r="AR60" s="291"/>
      <c r="AS60" s="329"/>
      <c r="AT60" s="222"/>
      <c r="AU60" s="291"/>
      <c r="AV60" s="291"/>
      <c r="AW60" s="291"/>
      <c r="AX60" s="291"/>
      <c r="AY60" s="291"/>
      <c r="AZ60" s="291"/>
      <c r="BA60" s="291"/>
      <c r="BB60" s="291"/>
      <c r="BC60" s="291"/>
      <c r="BD60" s="292"/>
    </row>
    <row r="61" spans="2:56" ht="12" customHeight="1" x14ac:dyDescent="0.25">
      <c r="B61" s="204"/>
      <c r="C61" s="258"/>
      <c r="D61" s="258"/>
      <c r="E61" s="258"/>
      <c r="F61" s="258"/>
      <c r="G61" s="258"/>
      <c r="H61" s="258"/>
      <c r="I61" s="258"/>
      <c r="J61" s="258"/>
      <c r="K61" s="258"/>
      <c r="L61" s="259"/>
      <c r="M61" s="219"/>
      <c r="N61" s="316"/>
      <c r="O61" s="316"/>
      <c r="P61" s="316"/>
      <c r="Q61" s="316"/>
      <c r="R61" s="316"/>
      <c r="S61" s="316"/>
      <c r="T61" s="316"/>
      <c r="U61" s="316"/>
      <c r="V61" s="316"/>
      <c r="W61" s="317"/>
      <c r="X61" s="221"/>
      <c r="Y61" s="323"/>
      <c r="Z61" s="323"/>
      <c r="AA61" s="323"/>
      <c r="AB61" s="323"/>
      <c r="AC61" s="323"/>
      <c r="AD61" s="323"/>
      <c r="AE61" s="323"/>
      <c r="AF61" s="323"/>
      <c r="AG61" s="323"/>
      <c r="AH61" s="324"/>
      <c r="AI61" s="222"/>
      <c r="AJ61" s="291"/>
      <c r="AK61" s="291"/>
      <c r="AL61" s="291"/>
      <c r="AM61" s="291"/>
      <c r="AN61" s="291"/>
      <c r="AO61" s="291"/>
      <c r="AP61" s="291"/>
      <c r="AQ61" s="291"/>
      <c r="AR61" s="291"/>
      <c r="AS61" s="329"/>
      <c r="AT61" s="222"/>
      <c r="AU61" s="291"/>
      <c r="AV61" s="291"/>
      <c r="AW61" s="291"/>
      <c r="AX61" s="291"/>
      <c r="AY61" s="291"/>
      <c r="AZ61" s="291"/>
      <c r="BA61" s="291"/>
      <c r="BB61" s="291"/>
      <c r="BC61" s="291"/>
      <c r="BD61" s="292"/>
    </row>
    <row r="62" spans="2:56" ht="12" customHeight="1" x14ac:dyDescent="0.25">
      <c r="B62" s="204"/>
      <c r="C62" s="258"/>
      <c r="D62" s="258"/>
      <c r="E62" s="258"/>
      <c r="F62" s="258"/>
      <c r="G62" s="258"/>
      <c r="H62" s="258"/>
      <c r="I62" s="258"/>
      <c r="J62" s="258"/>
      <c r="K62" s="258"/>
      <c r="L62" s="259"/>
      <c r="M62" s="219"/>
      <c r="N62" s="316"/>
      <c r="O62" s="316"/>
      <c r="P62" s="316"/>
      <c r="Q62" s="316"/>
      <c r="R62" s="316"/>
      <c r="S62" s="316"/>
      <c r="T62" s="316"/>
      <c r="U62" s="316"/>
      <c r="V62" s="316"/>
      <c r="W62" s="317"/>
      <c r="X62" s="221"/>
      <c r="Y62" s="323"/>
      <c r="Z62" s="323"/>
      <c r="AA62" s="323"/>
      <c r="AB62" s="323"/>
      <c r="AC62" s="323"/>
      <c r="AD62" s="323"/>
      <c r="AE62" s="323"/>
      <c r="AF62" s="323"/>
      <c r="AG62" s="323"/>
      <c r="AH62" s="324"/>
      <c r="AI62" s="222"/>
      <c r="AJ62" s="291"/>
      <c r="AK62" s="291"/>
      <c r="AL62" s="291"/>
      <c r="AM62" s="291"/>
      <c r="AN62" s="291"/>
      <c r="AO62" s="291"/>
      <c r="AP62" s="291"/>
      <c r="AQ62" s="291"/>
      <c r="AR62" s="291"/>
      <c r="AS62" s="329"/>
      <c r="AT62" s="222"/>
      <c r="AU62" s="291"/>
      <c r="AV62" s="291"/>
      <c r="AW62" s="291"/>
      <c r="AX62" s="291"/>
      <c r="AY62" s="291"/>
      <c r="AZ62" s="291"/>
      <c r="BA62" s="291"/>
      <c r="BB62" s="291"/>
      <c r="BC62" s="291"/>
      <c r="BD62" s="292"/>
    </row>
    <row r="63" spans="2:56" ht="12" customHeight="1" x14ac:dyDescent="0.25">
      <c r="B63" s="204"/>
      <c r="C63" s="258"/>
      <c r="D63" s="258"/>
      <c r="E63" s="258"/>
      <c r="F63" s="258"/>
      <c r="G63" s="258"/>
      <c r="H63" s="258"/>
      <c r="I63" s="258"/>
      <c r="J63" s="258"/>
      <c r="K63" s="258"/>
      <c r="L63" s="259"/>
      <c r="M63" s="219"/>
      <c r="N63" s="316"/>
      <c r="O63" s="316"/>
      <c r="P63" s="316"/>
      <c r="Q63" s="316"/>
      <c r="R63" s="316"/>
      <c r="S63" s="316"/>
      <c r="T63" s="316"/>
      <c r="U63" s="316"/>
      <c r="V63" s="316"/>
      <c r="W63" s="317"/>
      <c r="X63" s="221"/>
      <c r="Y63" s="323"/>
      <c r="Z63" s="323"/>
      <c r="AA63" s="323"/>
      <c r="AB63" s="323"/>
      <c r="AC63" s="323"/>
      <c r="AD63" s="323"/>
      <c r="AE63" s="323"/>
      <c r="AF63" s="323"/>
      <c r="AG63" s="323"/>
      <c r="AH63" s="324"/>
      <c r="AI63" s="222"/>
      <c r="AJ63" s="291"/>
      <c r="AK63" s="291"/>
      <c r="AL63" s="291"/>
      <c r="AM63" s="291"/>
      <c r="AN63" s="291"/>
      <c r="AO63" s="291"/>
      <c r="AP63" s="291"/>
      <c r="AQ63" s="291"/>
      <c r="AR63" s="291"/>
      <c r="AS63" s="329"/>
      <c r="AT63" s="222"/>
      <c r="AU63" s="291"/>
      <c r="AV63" s="291"/>
      <c r="AW63" s="291"/>
      <c r="AX63" s="291"/>
      <c r="AY63" s="291"/>
      <c r="AZ63" s="291"/>
      <c r="BA63" s="291"/>
      <c r="BB63" s="291"/>
      <c r="BC63" s="291"/>
      <c r="BD63" s="292"/>
    </row>
    <row r="64" spans="2:56" ht="12" customHeight="1" x14ac:dyDescent="0.25">
      <c r="B64" s="204"/>
      <c r="C64" s="258"/>
      <c r="D64" s="258"/>
      <c r="E64" s="258"/>
      <c r="F64" s="258"/>
      <c r="G64" s="258"/>
      <c r="H64" s="258"/>
      <c r="I64" s="258"/>
      <c r="J64" s="258"/>
      <c r="K64" s="258"/>
      <c r="L64" s="259"/>
      <c r="M64" s="219"/>
      <c r="N64" s="316"/>
      <c r="O64" s="316"/>
      <c r="P64" s="316"/>
      <c r="Q64" s="316"/>
      <c r="R64" s="316"/>
      <c r="S64" s="316"/>
      <c r="T64" s="316"/>
      <c r="U64" s="316"/>
      <c r="V64" s="316"/>
      <c r="W64" s="317"/>
      <c r="X64" s="221"/>
      <c r="Y64" s="323"/>
      <c r="Z64" s="323"/>
      <c r="AA64" s="323"/>
      <c r="AB64" s="323"/>
      <c r="AC64" s="323"/>
      <c r="AD64" s="323"/>
      <c r="AE64" s="323"/>
      <c r="AF64" s="323"/>
      <c r="AG64" s="323"/>
      <c r="AH64" s="324"/>
      <c r="AI64" s="222"/>
      <c r="AJ64" s="291"/>
      <c r="AK64" s="291"/>
      <c r="AL64" s="291"/>
      <c r="AM64" s="291"/>
      <c r="AN64" s="291"/>
      <c r="AO64" s="291"/>
      <c r="AP64" s="291"/>
      <c r="AQ64" s="291"/>
      <c r="AR64" s="291"/>
      <c r="AS64" s="329"/>
      <c r="AT64" s="222"/>
      <c r="AU64" s="291"/>
      <c r="AV64" s="291"/>
      <c r="AW64" s="291"/>
      <c r="AX64" s="291"/>
      <c r="AY64" s="291"/>
      <c r="AZ64" s="291"/>
      <c r="BA64" s="291"/>
      <c r="BB64" s="291"/>
      <c r="BC64" s="291"/>
      <c r="BD64" s="292"/>
    </row>
    <row r="65" spans="2:56" ht="12" customHeight="1" x14ac:dyDescent="0.25">
      <c r="B65" s="340"/>
      <c r="C65" s="341"/>
      <c r="D65" s="341"/>
      <c r="E65" s="341"/>
      <c r="F65" s="341"/>
      <c r="G65" s="341"/>
      <c r="H65" s="341"/>
      <c r="I65" s="341"/>
      <c r="J65" s="341"/>
      <c r="K65" s="341"/>
      <c r="L65" s="342"/>
      <c r="M65" s="343"/>
      <c r="N65" s="344"/>
      <c r="O65" s="344"/>
      <c r="P65" s="344"/>
      <c r="Q65" s="344"/>
      <c r="R65" s="344"/>
      <c r="S65" s="344"/>
      <c r="T65" s="344"/>
      <c r="U65" s="344"/>
      <c r="V65" s="344"/>
      <c r="W65" s="345"/>
      <c r="X65" s="346"/>
      <c r="Y65" s="347"/>
      <c r="Z65" s="347"/>
      <c r="AA65" s="347"/>
      <c r="AB65" s="347"/>
      <c r="AC65" s="347"/>
      <c r="AD65" s="347"/>
      <c r="AE65" s="347"/>
      <c r="AF65" s="347"/>
      <c r="AG65" s="347"/>
      <c r="AH65" s="348"/>
      <c r="AI65" s="349"/>
      <c r="AJ65" s="350"/>
      <c r="AK65" s="350"/>
      <c r="AL65" s="350"/>
      <c r="AM65" s="350"/>
      <c r="AN65" s="350"/>
      <c r="AO65" s="350"/>
      <c r="AP65" s="350"/>
      <c r="AQ65" s="350"/>
      <c r="AR65" s="350"/>
      <c r="AS65" s="351"/>
      <c r="AT65" s="349"/>
      <c r="AU65" s="350"/>
      <c r="AV65" s="350"/>
      <c r="AW65" s="350"/>
      <c r="AX65" s="350"/>
      <c r="AY65" s="350"/>
      <c r="AZ65" s="350"/>
      <c r="BA65" s="350"/>
      <c r="BB65" s="350"/>
      <c r="BC65" s="350"/>
      <c r="BD65" s="352"/>
    </row>
    <row r="66" spans="2:56" ht="12" customHeight="1" x14ac:dyDescent="0.25">
      <c r="B66" s="331">
        <f>白班过程记录!B52</f>
        <v>0</v>
      </c>
      <c r="C66" s="332"/>
      <c r="D66" s="2" t="s">
        <v>19</v>
      </c>
      <c r="E66" s="333" t="s">
        <v>20</v>
      </c>
      <c r="F66" s="336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9"/>
    </row>
    <row r="67" spans="2:56" ht="12" customHeight="1" x14ac:dyDescent="0.25">
      <c r="B67" s="338"/>
      <c r="C67" s="289"/>
      <c r="D67" s="328"/>
      <c r="E67" s="334"/>
      <c r="F67" s="224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2"/>
    </row>
    <row r="68" spans="2:56" ht="12" customHeight="1" thickBot="1" x14ac:dyDescent="0.3">
      <c r="B68" s="159"/>
      <c r="C68" s="160"/>
      <c r="D68" s="339"/>
      <c r="E68" s="335"/>
      <c r="F68" s="337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</sheetData>
  <mergeCells count="85"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  <mergeCell ref="B51:L57"/>
    <mergeCell ref="M51:W57"/>
    <mergeCell ref="X51:AH57"/>
    <mergeCell ref="AI51:AS57"/>
    <mergeCell ref="AT51:BD57"/>
    <mergeCell ref="B43:L49"/>
    <mergeCell ref="M43:W49"/>
    <mergeCell ref="X43:AH49"/>
    <mergeCell ref="AI43:AS49"/>
    <mergeCell ref="AT43:BD49"/>
    <mergeCell ref="B50:L50"/>
    <mergeCell ref="M50:W50"/>
    <mergeCell ref="X50:AH50"/>
    <mergeCell ref="AI50:AS50"/>
    <mergeCell ref="AT50:BD50"/>
    <mergeCell ref="B35:L41"/>
    <mergeCell ref="M35:W41"/>
    <mergeCell ref="X35:AH41"/>
    <mergeCell ref="AI35:AS41"/>
    <mergeCell ref="AT35:BD41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34:L34"/>
    <mergeCell ref="M34:W34"/>
    <mergeCell ref="X34:AH34"/>
    <mergeCell ref="AI34:AS34"/>
    <mergeCell ref="AT34:BD34"/>
    <mergeCell ref="B26:L26"/>
    <mergeCell ref="M26:W26"/>
    <mergeCell ref="X26:AH26"/>
    <mergeCell ref="AI26:AS26"/>
    <mergeCell ref="AT26:BD26"/>
    <mergeCell ref="B19:L25"/>
    <mergeCell ref="M19:W25"/>
    <mergeCell ref="X19:AH25"/>
    <mergeCell ref="AI19:AS25"/>
    <mergeCell ref="AT19:BD25"/>
    <mergeCell ref="B11:L17"/>
    <mergeCell ref="M11:W17"/>
    <mergeCell ref="X11:AH17"/>
    <mergeCell ref="AI11:AS17"/>
    <mergeCell ref="AT11:BD17"/>
    <mergeCell ref="B18:L18"/>
    <mergeCell ref="M18:W18"/>
    <mergeCell ref="X18:AH18"/>
    <mergeCell ref="AI18:AS18"/>
    <mergeCell ref="AT18:BD18"/>
    <mergeCell ref="B3:L9"/>
    <mergeCell ref="M3:W9"/>
    <mergeCell ref="X3:AH9"/>
    <mergeCell ref="AI3:AS9"/>
    <mergeCell ref="AT3:BD9"/>
    <mergeCell ref="B10:L10"/>
    <mergeCell ref="M10:W10"/>
    <mergeCell ref="X10:AH10"/>
    <mergeCell ref="AI10:AS10"/>
    <mergeCell ref="AT10:BD10"/>
    <mergeCell ref="B2:L2"/>
    <mergeCell ref="M2:W2"/>
    <mergeCell ref="X2:AH2"/>
    <mergeCell ref="B1:BD1"/>
    <mergeCell ref="AI2:AS2"/>
    <mergeCell ref="AT2:BD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3" t="s">
        <v>330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5"/>
      <c r="T2" s="61"/>
    </row>
    <row r="3" spans="2:20" ht="14" x14ac:dyDescent="0.25">
      <c r="B3" s="356" t="s">
        <v>369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8"/>
      <c r="T3" s="61"/>
    </row>
    <row r="4" spans="2:20" x14ac:dyDescent="0.25">
      <c r="B4" s="359" t="s">
        <v>331</v>
      </c>
      <c r="C4" s="41" t="s">
        <v>280</v>
      </c>
      <c r="D4" s="56" t="s">
        <v>332</v>
      </c>
      <c r="E4" s="56" t="s">
        <v>275</v>
      </c>
      <c r="F4" s="56" t="s">
        <v>276</v>
      </c>
      <c r="G4" s="41" t="s">
        <v>333</v>
      </c>
      <c r="H4" s="41" t="s">
        <v>334</v>
      </c>
      <c r="I4" s="41" t="s">
        <v>335</v>
      </c>
      <c r="J4" s="41" t="s">
        <v>336</v>
      </c>
      <c r="K4" s="56" t="s">
        <v>337</v>
      </c>
      <c r="L4" s="56" t="s">
        <v>338</v>
      </c>
      <c r="M4" s="41" t="s">
        <v>339</v>
      </c>
      <c r="N4" s="41" t="s">
        <v>340</v>
      </c>
      <c r="O4" s="41" t="s">
        <v>341</v>
      </c>
      <c r="P4" s="41" t="s">
        <v>342</v>
      </c>
      <c r="Q4" s="41" t="s">
        <v>343</v>
      </c>
      <c r="R4" s="41" t="s">
        <v>350</v>
      </c>
      <c r="S4" s="41" t="s">
        <v>349</v>
      </c>
      <c r="T4" s="41" t="s">
        <v>351</v>
      </c>
    </row>
    <row r="5" spans="2:20" x14ac:dyDescent="0.25">
      <c r="B5" s="359"/>
      <c r="C5" s="41" t="s">
        <v>281</v>
      </c>
      <c r="D5" s="57" t="s">
        <v>344</v>
      </c>
      <c r="E5" s="41" t="s">
        <v>345</v>
      </c>
      <c r="F5" s="41" t="s">
        <v>346</v>
      </c>
      <c r="G5" s="41" t="s">
        <v>346</v>
      </c>
      <c r="H5" s="41" t="s">
        <v>346</v>
      </c>
      <c r="I5" s="41" t="s">
        <v>346</v>
      </c>
      <c r="J5" s="41" t="s">
        <v>346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0" t="s">
        <v>369</v>
      </c>
      <c r="C6" s="360"/>
      <c r="D6" s="58">
        <v>92.69</v>
      </c>
      <c r="E6" s="58">
        <v>6.11</v>
      </c>
      <c r="F6" s="58">
        <v>450</v>
      </c>
      <c r="G6" s="361">
        <f>F6+F7+F8</f>
        <v>0</v>
      </c>
      <c r="H6" s="59">
        <f t="shared" ref="H6:H11" si="0">F6*D6/100</f>
        <v>0</v>
      </c>
      <c r="I6" s="362">
        <f>H6+H7+H8</f>
        <v>0</v>
      </c>
      <c r="J6" s="362">
        <f>I6</f>
        <v>0</v>
      </c>
      <c r="K6" s="362">
        <v>0</v>
      </c>
      <c r="L6" s="362">
        <v>419.55241666666666</v>
      </c>
      <c r="M6" s="362">
        <f>K6*L6/1000</f>
        <v>0</v>
      </c>
      <c r="N6" s="362">
        <f>M6</f>
        <v>0</v>
      </c>
      <c r="O6" s="362" t="e">
        <f>I6/M6*1.2/10</f>
        <v>#DIV/0!</v>
      </c>
      <c r="P6" s="60" t="s">
        <v>347</v>
      </c>
      <c r="Q6" s="362" t="e">
        <f>(I6+I9)/(K6+K9)/AVERAGE(L6:L11)*1.2*100</f>
        <v>#DIV/0!</v>
      </c>
      <c r="R6" s="362">
        <v>959.65608</v>
      </c>
      <c r="S6" s="362">
        <v>1058.9</v>
      </c>
      <c r="T6" s="362" t="e">
        <f>SUM(K6:K11)*AVERAGE(L6:L11)/SUM(I6:I11)*1000</f>
        <v>#DIV/0!</v>
      </c>
    </row>
    <row r="7" spans="2:20" x14ac:dyDescent="0.25">
      <c r="B7" s="360"/>
      <c r="C7" s="360"/>
      <c r="D7" s="58">
        <v>91.4</v>
      </c>
      <c r="E7" s="58">
        <v>7.61</v>
      </c>
      <c r="F7" s="58">
        <v>279.1</v>
      </c>
      <c r="G7" s="361"/>
      <c r="H7" s="59">
        <f t="shared" si="0"/>
        <v>0</v>
      </c>
      <c r="I7" s="362"/>
      <c r="J7" s="362"/>
      <c r="K7" s="362"/>
      <c r="L7" s="362"/>
      <c r="M7" s="362"/>
      <c r="N7" s="362"/>
      <c r="O7" s="362"/>
      <c r="P7" s="60" t="s">
        <v>347</v>
      </c>
      <c r="Q7" s="362"/>
      <c r="R7" s="362"/>
      <c r="S7" s="362"/>
      <c r="T7" s="362"/>
    </row>
    <row r="8" spans="2:20" x14ac:dyDescent="0.25">
      <c r="B8" s="360"/>
      <c r="C8" s="360"/>
      <c r="D8" s="58">
        <v>87.16</v>
      </c>
      <c r="E8" s="58">
        <v>6.19</v>
      </c>
      <c r="F8" s="58">
        <v>329.8</v>
      </c>
      <c r="G8" s="361"/>
      <c r="H8" s="59">
        <f t="shared" si="0"/>
        <v>0</v>
      </c>
      <c r="I8" s="362"/>
      <c r="J8" s="362"/>
      <c r="K8" s="362"/>
      <c r="L8" s="362"/>
      <c r="M8" s="362"/>
      <c r="N8" s="362"/>
      <c r="O8" s="362"/>
      <c r="P8" s="60" t="s">
        <v>348</v>
      </c>
      <c r="Q8" s="362"/>
      <c r="R8" s="362"/>
      <c r="S8" s="362"/>
      <c r="T8" s="362"/>
    </row>
    <row r="9" spans="2:20" x14ac:dyDescent="0.25">
      <c r="B9" s="360"/>
      <c r="C9" s="360"/>
      <c r="D9" s="58"/>
      <c r="E9" s="58"/>
      <c r="F9" s="58"/>
      <c r="G9" s="361">
        <f>F9+F10+F11</f>
        <v>0</v>
      </c>
      <c r="H9" s="59">
        <f t="shared" si="0"/>
        <v>0</v>
      </c>
      <c r="I9" s="362">
        <f>H9+H10+H11</f>
        <v>0</v>
      </c>
      <c r="J9" s="362">
        <f>J6+I9</f>
        <v>0</v>
      </c>
      <c r="K9" s="362">
        <v>0</v>
      </c>
      <c r="L9" s="362">
        <v>417.3644</v>
      </c>
      <c r="M9" s="362">
        <f>K9*L9/1000</f>
        <v>0</v>
      </c>
      <c r="N9" s="362">
        <f>M9+N6</f>
        <v>0</v>
      </c>
      <c r="O9" s="362" t="e">
        <f>I9/M9*1.2/10</f>
        <v>#DIV/0!</v>
      </c>
      <c r="P9" s="60" t="s">
        <v>347</v>
      </c>
      <c r="Q9" s="362"/>
      <c r="R9" s="362"/>
      <c r="S9" s="362"/>
      <c r="T9" s="362"/>
    </row>
    <row r="10" spans="2:20" x14ac:dyDescent="0.25">
      <c r="B10" s="360"/>
      <c r="C10" s="360"/>
      <c r="D10" s="58"/>
      <c r="E10" s="58"/>
      <c r="F10" s="58"/>
      <c r="G10" s="361"/>
      <c r="H10" s="59">
        <f t="shared" si="0"/>
        <v>0</v>
      </c>
      <c r="I10" s="362"/>
      <c r="J10" s="362"/>
      <c r="K10" s="362"/>
      <c r="L10" s="362"/>
      <c r="M10" s="362"/>
      <c r="N10" s="362"/>
      <c r="O10" s="362"/>
      <c r="P10" s="60" t="s">
        <v>347</v>
      </c>
      <c r="Q10" s="362"/>
      <c r="R10" s="362"/>
      <c r="S10" s="362"/>
      <c r="T10" s="362"/>
    </row>
    <row r="11" spans="2:20" x14ac:dyDescent="0.25">
      <c r="B11" s="360"/>
      <c r="C11" s="360"/>
      <c r="D11" s="58"/>
      <c r="E11" s="58"/>
      <c r="F11" s="58"/>
      <c r="G11" s="361"/>
      <c r="H11" s="59">
        <f t="shared" si="0"/>
        <v>0</v>
      </c>
      <c r="I11" s="362"/>
      <c r="J11" s="362"/>
      <c r="K11" s="362"/>
      <c r="L11" s="362"/>
      <c r="M11" s="362"/>
      <c r="N11" s="362"/>
      <c r="O11" s="362"/>
      <c r="P11" s="60" t="s">
        <v>348</v>
      </c>
      <c r="Q11" s="362"/>
      <c r="R11" s="362"/>
      <c r="S11" s="362"/>
      <c r="T11" s="362"/>
    </row>
  </sheetData>
  <mergeCells count="25">
    <mergeCell ref="K6:K8"/>
    <mergeCell ref="L6:L8"/>
    <mergeCell ref="M6:M8"/>
    <mergeCell ref="T6:T11"/>
    <mergeCell ref="S6:S11"/>
    <mergeCell ref="R6:R11"/>
    <mergeCell ref="N9:N11"/>
    <mergeCell ref="O9:O11"/>
    <mergeCell ref="N6:N8"/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zoomScaleNormal="100" workbookViewId="0">
      <selection activeCell="M11" sqref="M11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80" t="s">
        <v>329</v>
      </c>
      <c r="C2" s="381"/>
      <c r="D2" s="381"/>
      <c r="E2" s="381"/>
      <c r="F2" s="381"/>
      <c r="G2" s="381"/>
      <c r="H2" s="381"/>
      <c r="I2" s="381"/>
      <c r="J2" s="382"/>
    </row>
    <row r="3" spans="2:10" ht="20.15" customHeight="1" x14ac:dyDescent="0.25">
      <c r="B3" s="35"/>
      <c r="C3" s="36"/>
      <c r="D3" s="36"/>
      <c r="E3" s="36"/>
      <c r="F3" s="36"/>
      <c r="G3" s="37"/>
      <c r="H3" s="383"/>
      <c r="I3" s="383"/>
      <c r="J3" s="384"/>
    </row>
    <row r="4" spans="2:10" ht="21" x14ac:dyDescent="0.25">
      <c r="B4" s="385" t="s">
        <v>280</v>
      </c>
      <c r="C4" s="386"/>
      <c r="D4" s="387"/>
      <c r="E4" s="38" t="s">
        <v>281</v>
      </c>
      <c r="F4" s="38" t="s">
        <v>282</v>
      </c>
      <c r="G4" s="38" t="s">
        <v>283</v>
      </c>
      <c r="H4" s="388" t="s">
        <v>284</v>
      </c>
      <c r="I4" s="387"/>
      <c r="J4" s="39" t="s">
        <v>285</v>
      </c>
    </row>
    <row r="5" spans="2:10" x14ac:dyDescent="0.25">
      <c r="B5" s="40" t="s">
        <v>286</v>
      </c>
      <c r="C5" s="359" t="s">
        <v>287</v>
      </c>
      <c r="D5" s="359"/>
      <c r="E5" s="41" t="s">
        <v>271</v>
      </c>
      <c r="F5" s="42">
        <v>90</v>
      </c>
      <c r="G5" s="43">
        <v>0</v>
      </c>
      <c r="H5" s="44">
        <f>(G5-F5)/F5*100</f>
        <v>-100</v>
      </c>
      <c r="I5" s="45" t="s">
        <v>271</v>
      </c>
      <c r="J5" s="46"/>
    </row>
    <row r="6" spans="2:10" x14ac:dyDescent="0.25">
      <c r="B6" s="364" t="s">
        <v>288</v>
      </c>
      <c r="C6" s="359" t="s">
        <v>289</v>
      </c>
      <c r="D6" s="359"/>
      <c r="E6" s="41" t="s">
        <v>268</v>
      </c>
      <c r="F6" s="42" t="s">
        <v>290</v>
      </c>
      <c r="G6" s="43">
        <v>0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78"/>
      <c r="C7" s="359" t="s">
        <v>291</v>
      </c>
      <c r="D7" s="359"/>
      <c r="E7" s="41" t="s">
        <v>268</v>
      </c>
      <c r="F7" s="42" t="s">
        <v>361</v>
      </c>
      <c r="G7" s="43">
        <v>486.59192572405726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79"/>
      <c r="C8" s="359" t="s">
        <v>292</v>
      </c>
      <c r="D8" s="359"/>
      <c r="E8" s="41" t="s">
        <v>268</v>
      </c>
      <c r="F8" s="42" t="s">
        <v>362</v>
      </c>
      <c r="G8" s="43">
        <v>191.1967337298587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4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418.4584083333333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78"/>
      <c r="C10" s="359" t="s">
        <v>298</v>
      </c>
      <c r="D10" s="41" t="s">
        <v>299</v>
      </c>
      <c r="E10" s="48" t="s">
        <v>4</v>
      </c>
      <c r="F10" s="42" t="s">
        <v>300</v>
      </c>
      <c r="G10" s="43">
        <v>0.5282231833333334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78"/>
      <c r="C11" s="359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78"/>
      <c r="C12" s="359"/>
      <c r="D12" s="41" t="s">
        <v>304</v>
      </c>
      <c r="E12" s="41" t="s">
        <v>273</v>
      </c>
      <c r="F12" s="42" t="s">
        <v>305</v>
      </c>
      <c r="G12" s="43">
        <v>0.7331821875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78"/>
      <c r="C13" s="359"/>
      <c r="D13" s="41" t="s">
        <v>306</v>
      </c>
      <c r="E13" s="41" t="s">
        <v>274</v>
      </c>
      <c r="F13" s="42" t="s">
        <v>307</v>
      </c>
      <c r="G13" s="43">
        <v>91.06360458333333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78"/>
      <c r="C14" s="359"/>
      <c r="D14" s="41" t="s">
        <v>308</v>
      </c>
      <c r="E14" s="41" t="s">
        <v>274</v>
      </c>
      <c r="F14" s="42" t="s">
        <v>368</v>
      </c>
      <c r="G14" s="43">
        <v>139.48055416666665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78"/>
      <c r="C15" s="359"/>
      <c r="D15" s="41" t="s">
        <v>309</v>
      </c>
      <c r="E15" s="41" t="s">
        <v>274</v>
      </c>
      <c r="F15" s="42" t="s">
        <v>363</v>
      </c>
      <c r="G15" s="43">
        <v>163.18449583333333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78"/>
      <c r="C16" s="359" t="s">
        <v>310</v>
      </c>
      <c r="D16" s="41" t="s">
        <v>364</v>
      </c>
      <c r="E16" s="41" t="s">
        <v>274</v>
      </c>
      <c r="F16" s="42" t="s">
        <v>365</v>
      </c>
      <c r="G16" s="43">
        <v>56.476054166666664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78"/>
      <c r="C17" s="359"/>
      <c r="D17" s="41" t="s">
        <v>366</v>
      </c>
      <c r="E17" s="41" t="s">
        <v>274</v>
      </c>
      <c r="F17" s="42" t="s">
        <v>311</v>
      </c>
      <c r="G17" s="43">
        <v>19.476666363636365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78"/>
      <c r="C18" s="359"/>
      <c r="D18" s="41" t="s">
        <v>312</v>
      </c>
      <c r="E18" s="41" t="s">
        <v>274</v>
      </c>
      <c r="F18" s="42" t="s">
        <v>367</v>
      </c>
      <c r="G18" s="43">
        <v>51.08295916666666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78"/>
      <c r="C19" s="359"/>
      <c r="D19" s="41" t="s">
        <v>313</v>
      </c>
      <c r="E19" s="41" t="s">
        <v>274</v>
      </c>
      <c r="F19" s="42" t="s">
        <v>314</v>
      </c>
      <c r="G19" s="43">
        <v>19.62604333333333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78"/>
      <c r="C20" s="359" t="s">
        <v>315</v>
      </c>
      <c r="D20" s="41" t="s">
        <v>83</v>
      </c>
      <c r="E20" s="41" t="s">
        <v>271</v>
      </c>
      <c r="F20" s="49" t="s">
        <v>76</v>
      </c>
      <c r="G20" s="43">
        <v>33.125</v>
      </c>
      <c r="H20" s="50" t="s">
        <v>316</v>
      </c>
      <c r="I20" s="48" t="s">
        <v>4</v>
      </c>
      <c r="J20" s="46"/>
    </row>
    <row r="21" spans="2:10" x14ac:dyDescent="0.25">
      <c r="B21" s="378"/>
      <c r="C21" s="359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78"/>
      <c r="C22" s="359"/>
      <c r="D22" s="41" t="s">
        <v>317</v>
      </c>
      <c r="E22" s="48" t="s">
        <v>4</v>
      </c>
      <c r="F22" s="49" t="s">
        <v>76</v>
      </c>
      <c r="G22" s="43">
        <v>6.655</v>
      </c>
      <c r="H22" s="50" t="s">
        <v>316</v>
      </c>
      <c r="I22" s="48" t="s">
        <v>4</v>
      </c>
      <c r="J22" s="46"/>
    </row>
    <row r="23" spans="2:10" x14ac:dyDescent="0.25">
      <c r="B23" s="378"/>
      <c r="C23" s="359"/>
      <c r="D23" s="41" t="s">
        <v>159</v>
      </c>
      <c r="E23" s="41" t="s">
        <v>296</v>
      </c>
      <c r="F23" s="49" t="s">
        <v>76</v>
      </c>
      <c r="G23" s="43">
        <v>20.11</v>
      </c>
      <c r="H23" s="50" t="s">
        <v>316</v>
      </c>
      <c r="I23" s="48" t="s">
        <v>4</v>
      </c>
      <c r="J23" s="46"/>
    </row>
    <row r="24" spans="2:10" x14ac:dyDescent="0.25">
      <c r="B24" s="379"/>
      <c r="C24" s="359"/>
      <c r="D24" s="41" t="s">
        <v>160</v>
      </c>
      <c r="E24" s="41" t="s">
        <v>296</v>
      </c>
      <c r="F24" s="49" t="s">
        <v>76</v>
      </c>
      <c r="G24" s="43">
        <v>8.04</v>
      </c>
      <c r="H24" s="50" t="s">
        <v>316</v>
      </c>
      <c r="I24" s="48" t="s">
        <v>4</v>
      </c>
      <c r="J24" s="46"/>
    </row>
    <row r="25" spans="2:10" x14ac:dyDescent="0.25">
      <c r="B25" s="363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0.7244459911096485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63"/>
      <c r="C26" s="359" t="s">
        <v>323</v>
      </c>
      <c r="D26" s="41" t="s">
        <v>10</v>
      </c>
      <c r="E26" s="41" t="s">
        <v>271</v>
      </c>
      <c r="F26" s="42">
        <v>7</v>
      </c>
      <c r="G26" s="43"/>
      <c r="H26" s="44">
        <f>(G26-F26)</f>
        <v>-7</v>
      </c>
      <c r="I26" s="48" t="s">
        <v>271</v>
      </c>
      <c r="J26" s="46"/>
    </row>
    <row r="27" spans="2:10" x14ac:dyDescent="0.25">
      <c r="B27" s="363"/>
      <c r="C27" s="359"/>
      <c r="D27" s="41" t="s">
        <v>324</v>
      </c>
      <c r="E27" s="41" t="s">
        <v>271</v>
      </c>
      <c r="F27" s="42">
        <v>15</v>
      </c>
      <c r="G27" s="43"/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63"/>
      <c r="C28" s="359"/>
      <c r="D28" s="41" t="s">
        <v>325</v>
      </c>
      <c r="E28" s="41" t="s">
        <v>271</v>
      </c>
      <c r="F28" s="42">
        <v>4</v>
      </c>
      <c r="G28" s="43">
        <v>5.7</v>
      </c>
      <c r="H28" s="44">
        <f t="shared" si="0"/>
        <v>-4</v>
      </c>
      <c r="I28" s="48" t="s">
        <v>271</v>
      </c>
      <c r="J28" s="46"/>
    </row>
    <row r="29" spans="2:10" x14ac:dyDescent="0.25">
      <c r="B29" s="363"/>
      <c r="C29" s="359"/>
      <c r="D29" s="41" t="s">
        <v>159</v>
      </c>
      <c r="E29" s="41" t="s">
        <v>271</v>
      </c>
      <c r="F29" s="42">
        <v>7</v>
      </c>
      <c r="G29" s="43"/>
      <c r="H29" s="44">
        <f t="shared" si="0"/>
        <v>-7</v>
      </c>
      <c r="I29" s="48" t="s">
        <v>271</v>
      </c>
      <c r="J29" s="46"/>
    </row>
    <row r="30" spans="2:10" x14ac:dyDescent="0.25">
      <c r="B30" s="363"/>
      <c r="C30" s="359"/>
      <c r="D30" s="41" t="s">
        <v>160</v>
      </c>
      <c r="E30" s="41" t="s">
        <v>271</v>
      </c>
      <c r="F30" s="42">
        <v>7</v>
      </c>
      <c r="G30" s="43"/>
      <c r="H30" s="44">
        <f t="shared" si="0"/>
        <v>-7</v>
      </c>
      <c r="I30" s="48" t="s">
        <v>271</v>
      </c>
      <c r="J30" s="46"/>
    </row>
    <row r="31" spans="2:10" x14ac:dyDescent="0.25">
      <c r="B31" s="363"/>
      <c r="C31" s="359"/>
      <c r="D31" s="41" t="s">
        <v>326</v>
      </c>
      <c r="E31" s="41" t="s">
        <v>327</v>
      </c>
      <c r="F31" s="42">
        <v>10</v>
      </c>
      <c r="G31" s="43"/>
      <c r="H31" s="44">
        <f t="shared" si="0"/>
        <v>-10</v>
      </c>
      <c r="I31" s="48" t="s">
        <v>271</v>
      </c>
      <c r="J31" s="46"/>
    </row>
    <row r="32" spans="2:10" ht="14.5" thickBot="1" x14ac:dyDescent="0.3">
      <c r="B32" s="364"/>
      <c r="C32" s="365"/>
      <c r="D32" s="51" t="s">
        <v>275</v>
      </c>
      <c r="E32" s="51" t="s">
        <v>271</v>
      </c>
      <c r="F32" s="52">
        <v>50</v>
      </c>
      <c r="G32" s="53"/>
      <c r="H32" s="44">
        <f>(G32-F32)</f>
        <v>-50</v>
      </c>
      <c r="I32" s="48" t="s">
        <v>271</v>
      </c>
      <c r="J32" s="54"/>
    </row>
    <row r="33" spans="2:10" x14ac:dyDescent="0.25">
      <c r="B33" s="366" t="s">
        <v>328</v>
      </c>
      <c r="C33" s="369"/>
      <c r="D33" s="370"/>
      <c r="E33" s="370"/>
      <c r="F33" s="370"/>
      <c r="G33" s="370"/>
      <c r="H33" s="370"/>
      <c r="I33" s="370"/>
      <c r="J33" s="371"/>
    </row>
    <row r="34" spans="2:10" x14ac:dyDescent="0.25">
      <c r="B34" s="367"/>
      <c r="C34" s="372"/>
      <c r="D34" s="373"/>
      <c r="E34" s="373"/>
      <c r="F34" s="373"/>
      <c r="G34" s="373"/>
      <c r="H34" s="373"/>
      <c r="I34" s="373"/>
      <c r="J34" s="374"/>
    </row>
    <row r="35" spans="2:10" ht="14.5" thickBot="1" x14ac:dyDescent="0.3">
      <c r="B35" s="368"/>
      <c r="C35" s="375"/>
      <c r="D35" s="376"/>
      <c r="E35" s="376"/>
      <c r="F35" s="376"/>
      <c r="G35" s="376"/>
      <c r="H35" s="376"/>
      <c r="I35" s="376"/>
      <c r="J35" s="377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2026-06-08T06:08:17Z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