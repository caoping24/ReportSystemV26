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bookViews>
    <workbookView xWindow="7365" yWindow="-14670" windowWidth="19200" windowHeight="11175"/>
  </bookViews>
  <sheets>
    <sheet name="月报表" sheetId="1" r:id="rId1"/>
  </sheet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<sst xmlns="http://schemas.openxmlformats.org/spreadsheetml/2006/main" count="129" uniqueCount="72">
  <si>
    <t xml:space="preserve">/</t>
    <phoneticPr fontId="1" type="noConversion"/>
  </si>
  <si>
    <t xml:space="preserve">%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</si>
  <si>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</si>
  <si>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</si>
  <si>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</si>
  <si>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</si>
  <si>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</si>
  <si>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</si>
  <si>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</si>
  <si>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</si>
  <si>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</si>
  <si>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</si>
  <si>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kg/t</t>
    <phoneticPr fontId="1" type="noConversion"/>
  </si>
  <si>
    <t xml:space="preserve">≤1427</t>
    <phoneticPr fontId="1" type="noConversion"/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</si>
  <si>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</si>
  <si>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</si>
  <si>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</si>
  <si>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</si>
  <si>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</si>
  <si>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</si>
  <si>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</si>
  <si>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</si>
  <si>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</si>
  <si>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</si>
  <si>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</si>
  <si>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</si>
  <si>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</si>
  <si>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</si>
  <si>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Mpa</t>
    <phoneticPr fontId="1" type="noConversion"/>
  </si>
  <si>
    <t xml:space="preserve">0.75±0.05</t>
  </si>
  <si>
    <t xml:space="preserve">羟基加热温度</t>
    <phoneticPr fontId="1" type="noConversion"/>
  </si>
  <si>
    <t xml:space="preserve">℃</t>
    <phoneticPr fontId="1" type="noConversion"/>
  </si>
  <si>
    <t xml:space="preserve">90±2</t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</si>
  <si>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</si>
  <si>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</si>
  <si>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</si>
  <si>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≤20</t>
    <phoneticPr fontId="1" type="noConversion"/>
  </si>
  <si>
    <t xml:space="preserve">降膜蒸发温度</t>
  </si>
  <si>
    <t xml:space="preserve">二次结晶温度</t>
  </si>
  <si>
    <t xml:space="preserve">≤20</t>
  </si>
  <si>
    <t xml:space="preserve">反应液组成</t>
    <phoneticPr fontId="1" type="noConversion"/>
  </si>
  <si>
    <t xml:space="preserve">二乙腈含量</t>
    <phoneticPr fontId="1" type="noConversion"/>
  </si>
  <si>
    <t xml:space="preserve">/</t>
  </si>
  <si>
    <t xml:space="preserve">--</t>
    <phoneticPr fontId="1" type="noConversion"/>
  </si>
  <si>
    <t xml:space="preserve">羟基乙腈残余</t>
    <phoneticPr fontId="1" type="noConversion"/>
  </si>
  <si>
    <t xml:space="preserve">pH值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</si>
  <si>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</si>
  <si>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</si>
  <si>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</si>
  <si>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</si>
  <si>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</si>
  <si>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</si>
  <si>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</si>
  <si>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</si>
  <si>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羟基乙腈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</si>
  <si>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</si>
  <si>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</si>
  <si>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</si>
  <si>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</si>
  <si>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水分</t>
    <phoneticPr fontId="1" type="noConversion"/>
  </si>
  <si>
    <t xml:space="preserve">五、其他</t>
    <phoneticPr fontId="1" type="noConversion"/>
  </si>
  <si>
    <t xml:space="preserve">二乙睛中试车间月报</t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</si>
  <si>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</si>
  <si>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</si>
  <si>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</si>
  <si>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</si>
  <si>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</si>
  <si>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一次结晶温度</t>
    <phoneticPr fontId="1" type="noConversion"/>
  </si>
  <si>
    <t xml:space="preserve">50±5</t>
    <phoneticPr fontId="1" type="noConversion"/>
  </si>
  <si>
    <t xml:space="preserve">140±2</t>
    <phoneticPr fontId="1" type="noConversion"/>
  </si>
  <si>
    <t xml:space="preserve">2026-07-01</t>
  </si>
  <si>
    <t xml:space="preserve">2026年26周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</si>
</sst>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 val="single"/>
      <sz val="11"/>
      <color theme="10"/>
      <name val="等线"/>
      <family val="2"/>
      <scheme val="minor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176" fontId="5" fillId="0" borderId="10" xfId="0" quotePrefix="1" applyNumberFormat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176" fontId="7" fillId="0" borderId="17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topLeftCell="A7" zoomScaleNormal="100" workbookViewId="0">
      <selection activeCell="L15" sqref="L15"/>
    </sheetView>
  </sheetViews>
  <sheetFormatPr defaultRowHeight="14" x14ac:dyDescent="0.3"/>
  <cols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11.75" customWidth="1"/>
    <col min="16" max="16" width="11.58203125" customWidth="1"/>
  </cols>
  <sheetData>
    <row r="1" spans="2:10" ht="14.5" thickBot="1" x14ac:dyDescent="0.35"/>
    <row r="2" spans="2:10" ht="20.15" customHeight="1" x14ac:dyDescent="0.3">
      <c r="B2" s="26" t="s">
        <v>61</v>
      </c>
      <c r="C2" s="27"/>
      <c r="D2" s="27"/>
      <c r="E2" s="27"/>
      <c r="F2" s="27"/>
      <c r="G2" s="27"/>
      <c r="H2" s="27"/>
      <c r="I2" s="27"/>
      <c r="J2" s="28"/>
    </row>
    <row r="3" spans="2:10" ht="20.15" customHeight="1" x14ac:dyDescent="0.3">
      <c r="B3" s="1"/>
      <c r="C3" s="2"/>
      <c r="D3" s="2"/>
      <c r="E3" s="2"/>
      <c r="F3" s="2"/>
      <c r="G3" s="3" t="s">
        <v>70</v>
      </c>
      <c r="H3" s="29" t="s">
        <v>71</v>
      </c>
      <c r="I3" s="29"/>
      <c r="J3" s="30"/>
    </row>
    <row r="4" spans="2:10" ht="21" x14ac:dyDescent="0.3">
      <c r="B4" s="31" t="s">
        <v>2</v>
      </c>
      <c r="C4" s="32"/>
      <c r="D4" s="33"/>
      <c r="E4" s="4" t="s">
        <v>3</v>
      </c>
      <c r="F4" s="4" t="s">
        <v>4</v>
      </c>
      <c r="G4" s="4" t="s">
        <v>5</v>
      </c>
      <c r="H4" s="34" t="s">
        <v>6</v>
      </c>
      <c r="I4" s="33"/>
      <c r="J4" s="5" t="s">
        <v>7</v>
      </c>
    </row>
    <row r="5" spans="2:10" x14ac:dyDescent="0.3">
      <c r="B5" s="6" t="s">
        <v>8</v>
      </c>
      <c r="C5" s="25" t="s">
        <v>9</v>
      </c>
      <c r="D5" s="25"/>
      <c r="E5" s="7" t="s">
        <v>1</v>
      </c>
      <c r="F5" s="8">
        <v>90</v>
      </c>
      <c r="G5" s="9">
        <v>0</v>
      </c>
      <c r="H5" s="10">
        <f>(G5-F5)/F5*100</f>
        <v>-100</v>
      </c>
      <c r="I5" s="11" t="s">
        <v>1</v>
      </c>
      <c r="J5" s="12"/>
    </row>
    <row r="6" spans="2:10" x14ac:dyDescent="0.3">
      <c r="B6" s="22" t="s">
        <v>10</v>
      </c>
      <c r="C6" s="25" t="s">
        <v>11</v>
      </c>
      <c r="D6" s="25"/>
      <c r="E6" s="7" t="s">
        <v>12</v>
      </c>
      <c r="F6" s="8" t="s">
        <v>13</v>
      </c>
      <c r="G6" s="9">
        <v>0</v>
      </c>
      <c r="H6" s="13" t="str">
        <f>IF($G6="","",IF(AND($G6&gt;=0,$G6&lt;=1427),"合格","不合格"))</f>
        <v/>
      </c>
      <c r="I6" s="14" t="s">
        <v>0</v>
      </c>
      <c r="J6" s="12"/>
    </row>
    <row r="7" spans="2:10" x14ac:dyDescent="0.3">
      <c r="B7" s="23"/>
      <c r="C7" s="25" t="s">
        <v>14</v>
      </c>
      <c r="D7" s="25"/>
      <c r="E7" s="7" t="s">
        <v>12</v>
      </c>
      <c r="F7" s="8" t="s">
        <v>62</v>
      </c>
      <c r="G7" s="9">
        <v>248.45025644049528</v>
      </c>
      <c r="H7" s="13" t="str">
        <f>IF($G7="","",IF(AND($G7&gt;=0,$G7&lt;=220),"合格","不合格"))</f>
        <v/>
      </c>
      <c r="I7" s="14" t="s">
        <v>0</v>
      </c>
      <c r="J7" s="12"/>
    </row>
    <row r="8" spans="2:10" x14ac:dyDescent="0.3">
      <c r="B8" s="24"/>
      <c r="C8" s="25" t="s">
        <v>15</v>
      </c>
      <c r="D8" s="25"/>
      <c r="E8" s="7" t="s">
        <v>12</v>
      </c>
      <c r="F8" s="8" t="s">
        <v>63</v>
      </c>
      <c r="G8" s="9">
        <v>100.05085076463597</v>
      </c>
      <c r="H8" s="13" t="str">
        <f>IF($G8="","",IF(AND($G8&gt;=0,$G8&lt;=200),"合格","不合格"))</f>
        <v/>
      </c>
      <c r="I8" s="14" t="s">
        <v>0</v>
      </c>
      <c r="J8" s="12"/>
    </row>
    <row r="9" spans="2:10" x14ac:dyDescent="0.3">
      <c r="B9" s="22" t="s">
        <v>16</v>
      </c>
      <c r="C9" s="7" t="s">
        <v>17</v>
      </c>
      <c r="D9" s="7" t="s">
        <v>18</v>
      </c>
      <c r="E9" s="7" t="s">
        <v>19</v>
      </c>
      <c r="F9" s="8" t="s">
        <v>20</v>
      </c>
      <c r="G9" s="9">
        <v>418.1846759920635</v>
      </c>
      <c r="H9" s="13" t="str">
        <f>IF($G9="","",IF(AND($G9&gt;=412,$G9&lt;=422),"合格","不合格"))</f>
        <v/>
      </c>
      <c r="I9" s="14" t="s">
        <v>0</v>
      </c>
      <c r="J9" s="15"/>
    </row>
    <row r="10" spans="2:10" x14ac:dyDescent="0.3">
      <c r="B10" s="23"/>
      <c r="C10" s="25" t="s">
        <v>21</v>
      </c>
      <c r="D10" s="7" t="s">
        <v>22</v>
      </c>
      <c r="E10" s="14" t="s">
        <v>0</v>
      </c>
      <c r="F10" s="8" t="s">
        <v>23</v>
      </c>
      <c r="G10" s="9">
        <v>0.5282155845238096</v>
      </c>
      <c r="H10" s="13" t="str">
        <f>IF($G10="","",IF(AND($G10&gt;=0.525,$G10&lt;=0.535),"合格","不合格"))</f>
        <v/>
      </c>
      <c r="I10" s="14" t="s">
        <v>0</v>
      </c>
      <c r="J10" s="15"/>
    </row>
    <row r="11" spans="2:10" x14ac:dyDescent="0.3">
      <c r="B11" s="23"/>
      <c r="C11" s="25"/>
      <c r="D11" s="7" t="s">
        <v>24</v>
      </c>
      <c r="E11" s="7" t="s">
        <v>25</v>
      </c>
      <c r="F11" s="8">
        <v>46.63</v>
      </c>
      <c r="G11" s="9">
        <v>46.652650905808386</v>
      </c>
      <c r="H11" s="13" t="s">
        <v>26</v>
      </c>
      <c r="I11" s="14" t="s">
        <v>0</v>
      </c>
      <c r="J11" s="12"/>
    </row>
    <row r="12" spans="2:10" x14ac:dyDescent="0.3">
      <c r="B12" s="23"/>
      <c r="C12" s="25"/>
      <c r="D12" s="7" t="s">
        <v>27</v>
      </c>
      <c r="E12" s="7" t="s">
        <v>28</v>
      </c>
      <c r="F12" s="8" t="s">
        <v>29</v>
      </c>
      <c r="G12" s="9">
        <v>0.7344614444444445</v>
      </c>
      <c r="H12" s="13" t="str">
        <f>IF($G12="","",IF(AND($G12&gt;=0.7,$G12&lt;=0.8),"合格","不合格"))</f>
        <v/>
      </c>
      <c r="I12" s="14" t="s">
        <v>0</v>
      </c>
      <c r="J12" s="15"/>
    </row>
    <row r="13" spans="2:10" x14ac:dyDescent="0.3">
      <c r="B13" s="23"/>
      <c r="C13" s="25"/>
      <c r="D13" s="7" t="s">
        <v>30</v>
      </c>
      <c r="E13" s="7" t="s">
        <v>31</v>
      </c>
      <c r="F13" s="8" t="s">
        <v>32</v>
      </c>
      <c r="G13" s="9">
        <v>90.97572359126984</v>
      </c>
      <c r="H13" s="13" t="str">
        <f>IF($G13="","",IF(AND($G13&gt;=88,$G13&lt;=92),"合格","不合格"))</f>
        <v/>
      </c>
      <c r="I13" s="14" t="s">
        <v>0</v>
      </c>
      <c r="J13" s="15"/>
    </row>
    <row r="14" spans="2:10" x14ac:dyDescent="0.3">
      <c r="B14" s="23"/>
      <c r="C14" s="25"/>
      <c r="D14" s="7" t="s">
        <v>33</v>
      </c>
      <c r="E14" s="7" t="s">
        <v>31</v>
      </c>
      <c r="F14" s="8" t="s">
        <v>69</v>
      </c>
      <c r="G14" s="9">
        <v>139.49101626984125</v>
      </c>
      <c r="H14" s="13" t="str">
        <f>IF($G14="","",IF(AND($G14&gt;=138,$G14&lt;=142),"合格","不合格"))</f>
        <v/>
      </c>
      <c r="I14" s="14" t="s">
        <v>0</v>
      </c>
      <c r="J14" s="15"/>
    </row>
    <row r="15" spans="2:10" x14ac:dyDescent="0.3">
      <c r="B15" s="23"/>
      <c r="C15" s="25"/>
      <c r="D15" s="7" t="s">
        <v>34</v>
      </c>
      <c r="E15" s="7" t="s">
        <v>31</v>
      </c>
      <c r="F15" s="8" t="s">
        <v>64</v>
      </c>
      <c r="G15" s="9">
        <v>163.05791666666664</v>
      </c>
      <c r="H15" s="13" t="str">
        <f>IF($G15="","",IF(AND($G15&gt;=160,$G15&lt;=164),"合格","不合格"))</f>
        <v/>
      </c>
      <c r="I15" s="14" t="s">
        <v>0</v>
      </c>
      <c r="J15" s="15"/>
    </row>
    <row r="16" spans="2:10" x14ac:dyDescent="0.3">
      <c r="B16" s="23"/>
      <c r="C16" s="25" t="s">
        <v>35</v>
      </c>
      <c r="D16" s="7" t="s">
        <v>65</v>
      </c>
      <c r="E16" s="7" t="s">
        <v>31</v>
      </c>
      <c r="F16" s="8" t="s">
        <v>66</v>
      </c>
      <c r="G16" s="9">
        <v>56.51269055555555</v>
      </c>
      <c r="H16" s="13" t="str">
        <f>IF($G16="","",IF(AND($G16&gt;=52,$G16&lt;=58),"合格","不合格"))</f>
        <v/>
      </c>
      <c r="I16" s="14" t="s">
        <v>0</v>
      </c>
      <c r="J16" s="15"/>
    </row>
    <row r="17" spans="2:10" x14ac:dyDescent="0.3">
      <c r="B17" s="23"/>
      <c r="C17" s="25"/>
      <c r="D17" s="7" t="s">
        <v>67</v>
      </c>
      <c r="E17" s="7" t="s">
        <v>31</v>
      </c>
      <c r="F17" s="8" t="s">
        <v>36</v>
      </c>
      <c r="G17" s="9">
        <v>19.318436421562563</v>
      </c>
      <c r="H17" s="13" t="str">
        <f>IF($G17="","",IF(AND($G17&gt;=0,$G17&lt;=20),"合格","不合格"))</f>
        <v/>
      </c>
      <c r="I17" s="14" t="s">
        <v>0</v>
      </c>
      <c r="J17" s="15"/>
    </row>
    <row r="18" spans="2:10" x14ac:dyDescent="0.3">
      <c r="B18" s="23"/>
      <c r="C18" s="25"/>
      <c r="D18" s="7" t="s">
        <v>37</v>
      </c>
      <c r="E18" s="7" t="s">
        <v>31</v>
      </c>
      <c r="F18" s="8" t="s">
        <v>68</v>
      </c>
      <c r="G18" s="9">
        <v>50.88477577380952</v>
      </c>
      <c r="H18" s="13" t="str">
        <f>IF($G18="","",IF(AND($G18&gt;=45,$G18&lt;=55),"合格","不合格"))</f>
        <v/>
      </c>
      <c r="I18" s="14" t="s">
        <v>0</v>
      </c>
      <c r="J18" s="15"/>
    </row>
    <row r="19" spans="2:10" x14ac:dyDescent="0.3">
      <c r="B19" s="23"/>
      <c r="C19" s="25"/>
      <c r="D19" s="7" t="s">
        <v>38</v>
      </c>
      <c r="E19" s="7" t="s">
        <v>31</v>
      </c>
      <c r="F19" s="8" t="s">
        <v>39</v>
      </c>
      <c r="G19" s="9">
        <v>18.946902338126158</v>
      </c>
      <c r="H19" s="13" t="str">
        <f>IF($G19="","",IF(AND($G19&gt;=0,$G19&lt;=20),"合格","不合格"))</f>
        <v/>
      </c>
      <c r="I19" s="14" t="s">
        <v>0</v>
      </c>
      <c r="J19" s="15"/>
    </row>
    <row r="20" spans="2:10" x14ac:dyDescent="0.3">
      <c r="B20" s="23"/>
      <c r="C20" s="25" t="s">
        <v>40</v>
      </c>
      <c r="D20" s="7" t="s">
        <v>41</v>
      </c>
      <c r="E20" s="7" t="s">
        <v>1</v>
      </c>
      <c r="F20" s="16" t="s">
        <v>42</v>
      </c>
      <c r="G20" s="9">
        <v>33.69117647058823</v>
      </c>
      <c r="H20" s="17" t="s">
        <v>43</v>
      </c>
      <c r="I20" s="14" t="s">
        <v>0</v>
      </c>
      <c r="J20" s="12"/>
    </row>
    <row r="21" spans="2:10" x14ac:dyDescent="0.3">
      <c r="B21" s="23"/>
      <c r="C21" s="25"/>
      <c r="D21" s="7" t="s">
        <v>44</v>
      </c>
      <c r="E21" s="7" t="s">
        <v>1</v>
      </c>
      <c r="F21" s="16" t="s">
        <v>42</v>
      </c>
      <c r="G21" s="9"/>
      <c r="H21" s="17" t="s">
        <v>43</v>
      </c>
      <c r="I21" s="14" t="s">
        <v>0</v>
      </c>
      <c r="J21" s="12"/>
    </row>
    <row r="22" spans="2:10" x14ac:dyDescent="0.3">
      <c r="B22" s="23"/>
      <c r="C22" s="25"/>
      <c r="D22" s="7" t="s">
        <v>45</v>
      </c>
      <c r="E22" s="14" t="s">
        <v>0</v>
      </c>
      <c r="F22" s="16" t="s">
        <v>42</v>
      </c>
      <c r="G22" s="9">
        <v>6.684117647058823</v>
      </c>
      <c r="H22" s="17" t="s">
        <v>43</v>
      </c>
      <c r="I22" s="14" t="s">
        <v>0</v>
      </c>
      <c r="J22" s="12"/>
    </row>
    <row r="23" spans="2:10" x14ac:dyDescent="0.3">
      <c r="B23" s="23"/>
      <c r="C23" s="25"/>
      <c r="D23" s="7" t="s">
        <v>46</v>
      </c>
      <c r="E23" s="7" t="s">
        <v>19</v>
      </c>
      <c r="F23" s="16" t="s">
        <v>42</v>
      </c>
      <c r="G23" s="9">
        <v>19.88</v>
      </c>
      <c r="H23" s="17" t="s">
        <v>43</v>
      </c>
      <c r="I23" s="14" t="s">
        <v>0</v>
      </c>
      <c r="J23" s="12"/>
    </row>
    <row r="24" spans="2:10" x14ac:dyDescent="0.3">
      <c r="B24" s="24"/>
      <c r="C24" s="25"/>
      <c r="D24" s="7" t="s">
        <v>47</v>
      </c>
      <c r="E24" s="7" t="s">
        <v>19</v>
      </c>
      <c r="F24" s="16" t="s">
        <v>42</v>
      </c>
      <c r="G24" s="9">
        <v>7.114545454545454</v>
      </c>
      <c r="H24" s="17" t="s">
        <v>43</v>
      </c>
      <c r="I24" s="14" t="s">
        <v>0</v>
      </c>
      <c r="J24" s="12"/>
    </row>
    <row r="25" spans="2:10" x14ac:dyDescent="0.3">
      <c r="B25" s="35" t="s">
        <v>48</v>
      </c>
      <c r="C25" s="7" t="s">
        <v>49</v>
      </c>
      <c r="D25" s="7" t="s">
        <v>50</v>
      </c>
      <c r="E25" s="7" t="s">
        <v>51</v>
      </c>
      <c r="F25" s="8" t="s">
        <v>52</v>
      </c>
      <c r="G25" s="9">
        <v>0.29201357479252427</v>
      </c>
      <c r="H25" s="13" t="str">
        <f>IF($G25="","",IF(AND($G25&gt;=0,$G25&lt;=0.38),"合格","不合格"))</f>
        <v/>
      </c>
      <c r="I25" s="14" t="s">
        <v>0</v>
      </c>
      <c r="J25" s="15"/>
    </row>
    <row r="26" spans="2:10" x14ac:dyDescent="0.3">
      <c r="B26" s="35"/>
      <c r="C26" s="25" t="s">
        <v>53</v>
      </c>
      <c r="D26" s="7" t="s">
        <v>54</v>
      </c>
      <c r="E26" s="7" t="s">
        <v>1</v>
      </c>
      <c r="F26" s="8">
        <v>7</v>
      </c>
      <c r="G26" s="9">
        <v>5.328024193548387</v>
      </c>
      <c r="H26" s="10">
        <f>(G26-F26)</f>
        <v>-7</v>
      </c>
      <c r="I26" s="14" t="s">
        <v>1</v>
      </c>
      <c r="J26" s="12"/>
    </row>
    <row r="27" spans="2:10" x14ac:dyDescent="0.3">
      <c r="B27" s="35"/>
      <c r="C27" s="25"/>
      <c r="D27" s="7" t="s">
        <v>55</v>
      </c>
      <c r="E27" s="7" t="s">
        <v>1</v>
      </c>
      <c r="F27" s="8">
        <v>15</v>
      </c>
      <c r="G27" s="9">
        <v>9.564314516129032</v>
      </c>
      <c r="H27" s="10">
        <f t="shared" ref="H27:H31" si="0">(G27-F27)</f>
        <v>-15</v>
      </c>
      <c r="I27" s="14" t="s">
        <v>1</v>
      </c>
      <c r="J27" s="12"/>
    </row>
    <row r="28" spans="2:10" x14ac:dyDescent="0.3">
      <c r="B28" s="35"/>
      <c r="C28" s="25"/>
      <c r="D28" s="7" t="s">
        <v>56</v>
      </c>
      <c r="E28" s="7" t="s">
        <v>1</v>
      </c>
      <c r="F28" s="8">
        <v>4</v>
      </c>
      <c r="G28" s="9">
        <v>5.655</v>
      </c>
      <c r="H28" s="10">
        <f t="shared" si="0"/>
        <v>-4</v>
      </c>
      <c r="I28" s="14" t="s">
        <v>1</v>
      </c>
      <c r="J28" s="12"/>
    </row>
    <row r="29" spans="2:10" x14ac:dyDescent="0.3">
      <c r="B29" s="35"/>
      <c r="C29" s="25"/>
      <c r="D29" s="7" t="s">
        <v>46</v>
      </c>
      <c r="E29" s="7" t="s">
        <v>1</v>
      </c>
      <c r="F29" s="8">
        <v>7</v>
      </c>
      <c r="G29" s="9">
        <v>10.592338709677419</v>
      </c>
      <c r="H29" s="10">
        <f t="shared" si="0"/>
        <v>-7</v>
      </c>
      <c r="I29" s="14" t="s">
        <v>1</v>
      </c>
      <c r="J29" s="12"/>
    </row>
    <row r="30" spans="2:10" x14ac:dyDescent="0.3">
      <c r="B30" s="35"/>
      <c r="C30" s="25"/>
      <c r="D30" s="7" t="s">
        <v>47</v>
      </c>
      <c r="E30" s="7" t="s">
        <v>1</v>
      </c>
      <c r="F30" s="8">
        <v>7</v>
      </c>
      <c r="G30" s="9">
        <v>0.23790322580645162</v>
      </c>
      <c r="H30" s="10">
        <f t="shared" si="0"/>
        <v>-7</v>
      </c>
      <c r="I30" s="14" t="s">
        <v>1</v>
      </c>
      <c r="J30" s="12"/>
    </row>
    <row r="31" spans="2:10" x14ac:dyDescent="0.3">
      <c r="B31" s="35"/>
      <c r="C31" s="25"/>
      <c r="D31" s="7" t="s">
        <v>57</v>
      </c>
      <c r="E31" s="7" t="s">
        <v>58</v>
      </c>
      <c r="F31" s="8">
        <v>10</v>
      </c>
      <c r="G31" s="9"/>
      <c r="H31" s="10">
        <f t="shared" si="0"/>
        <v>-10</v>
      </c>
      <c r="I31" s="14" t="s">
        <v>1</v>
      </c>
      <c r="J31" s="12"/>
    </row>
    <row r="32" spans="2:10" ht="14.5" thickBot="1" x14ac:dyDescent="0.35">
      <c r="B32" s="22"/>
      <c r="C32" s="36"/>
      <c r="D32" s="18" t="s">
        <v>59</v>
      </c>
      <c r="E32" s="18" t="s">
        <v>1</v>
      </c>
      <c r="F32" s="19">
        <v>50</v>
      </c>
      <c r="G32" s="20"/>
      <c r="H32" s="10">
        <f>(G32-F32)</f>
        <v>-50</v>
      </c>
      <c r="I32" s="14" t="s">
        <v>1</v>
      </c>
      <c r="J32" s="21"/>
    </row>
    <row r="33" spans="2:10" x14ac:dyDescent="0.3">
      <c r="B33" s="37" t="s">
        <v>60</v>
      </c>
      <c r="C33" s="40"/>
      <c r="D33" s="41"/>
      <c r="E33" s="41"/>
      <c r="F33" s="41"/>
      <c r="G33" s="41"/>
      <c r="H33" s="41"/>
      <c r="I33" s="41"/>
      <c r="J33" s="42"/>
    </row>
    <row r="34" spans="2:10" x14ac:dyDescent="0.3">
      <c r="B34" s="38"/>
      <c r="C34" s="43"/>
      <c r="D34" s="44"/>
      <c r="E34" s="44"/>
      <c r="F34" s="44"/>
      <c r="G34" s="44"/>
      <c r="H34" s="44"/>
      <c r="I34" s="44"/>
      <c r="J34" s="45"/>
    </row>
    <row r="35" spans="2:10" ht="14.5" thickBot="1" x14ac:dyDescent="0.35">
      <c r="B35" s="39"/>
      <c r="C35" s="46"/>
      <c r="D35" s="47"/>
      <c r="E35" s="47"/>
      <c r="F35" s="47"/>
      <c r="G35" s="47"/>
      <c r="H35" s="47"/>
      <c r="I35" s="47"/>
      <c r="J35" s="48"/>
    </row>
  </sheetData>
  <sheetCalcPr fullCalcOnLoad="1"/>
  <mergeCells count="17">
    <mergeCell ref="B25:B32"/>
    <mergeCell ref="C26:C32"/>
    <mergeCell ref="B33:B35"/>
    <mergeCell ref="C33:J35"/>
    <mergeCell ref="B2:J2"/>
    <mergeCell ref="H3:J3"/>
    <mergeCell ref="B4:D4"/>
    <mergeCell ref="H4:I4"/>
    <mergeCell ref="C5:D5"/>
    <mergeCell ref="B6:B8"/>
    <mergeCell ref="C6:D6"/>
    <mergeCell ref="C7:D7"/>
    <mergeCell ref="C8:D8"/>
    <mergeCell ref="B9:B24"/>
    <mergeCell ref="C10:C15"/>
    <mergeCell ref="C16:C19"/>
    <mergeCell ref="C20:C24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月报表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2026-04-22T06:12:18Z</dcterms:created>
  <dc:creator>曹平</dc:creator>
  <cp:lastModifiedBy>平 曹</cp:lastModifiedBy>
  <dcterms:modified xsi:type="dcterms:W3CDTF">2026-06-08T06:08:12Z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