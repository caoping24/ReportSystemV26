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86D62EEF-DF5D-4ACA-A8D2-C0F5B9C0E66E}" xr6:coauthVersionLast="45" xr6:coauthVersionMax="47" xr10:uidLastSave="{00000000-0000-0000-0000-000000000000}"/>
  <bookViews>
    <workbookView xWindow="-23136" yWindow="-96" windowWidth="23232" windowHeight="13992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A4" authorId="0" shapeId="0" xr:uid="{FAEBF1E6-83FE-4FE0-99F8-5117BDB0A46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=日常手写记录表6，白班羟基乙腈单耗，直接读取</t>
        </r>
      </text>
    </comment>
    <comment ref="AB4" authorId="0" shapeId="0" xr:uid="{0DD47B22-3E1F-40E6-B169-9A896CE39AB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=日常手写记录表6，白班液氨单耗，直接读取</t>
        </r>
      </text>
    </comment>
    <comment ref="AC4" authorId="0" shapeId="0" xr:uid="{9B084F89-6899-4546-A820-26BD919614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 shapeId="0" xr:uid="{A5D511AE-4B87-481C-BE84-FE89BB924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 shapeId="0" xr:uid="{232E9A2D-F34E-411C-9419-8F40175FE23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 shapeId="0" xr:uid="{33890905-B6F4-4C29-A269-A4286100D8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 shapeId="0" xr:uid="{9860CB12-3EE7-4661-9F17-6447B9D76F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 shapeId="0" xr:uid="{B3BA41BC-5474-4A3F-8C38-7DC2B0BE33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 shapeId="0" xr:uid="{C7278A5A-AE31-467C-8A23-D608E892B8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 shapeId="0" xr:uid="{17EE65DC-8E5E-4F7D-AB2E-C4A3FB8993F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 shapeId="0" xr:uid="{F5D016F0-8006-4DB9-AE2A-1CECAB842E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5" authorId="0" shapeId="0" xr:uid="{98C7043E-39CD-4536-916D-A9D2B572DB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5" authorId="0" shapeId="0" xr:uid="{B7F5948F-E0CA-4726-826D-D048FEFD58F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5" authorId="0" shapeId="0" xr:uid="{0BEF3A5B-F1A3-42DF-BFA6-5E997096744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=日常手写记录表表3，白班班产与日平均产量的差额数值，直接读取</t>
        </r>
      </text>
    </comment>
    <comment ref="H5" authorId="0" shapeId="0" xr:uid="{EBD2FB4C-6A73-4CD0-85EB-58C517C343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=日常手写记录表3中，白班合计中水分含量的平均值，直接读取</t>
        </r>
      </text>
    </comment>
    <comment ref="I5" authorId="0" shapeId="0" xr:uid="{06327477-3736-44DA-A38A-BD6506CACAF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=日常手写记录表3中，白班合计中未知物含量的平均值，直接读取</t>
        </r>
      </text>
    </comment>
    <comment ref="J5" authorId="0" shapeId="0" xr:uid="{0B390C16-F89A-43EC-BCC7-73D82798C6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=日常手写记录表3中，白班一次结晶物中产量班汇总数据，直接读取</t>
        </r>
      </text>
    </comment>
    <comment ref="K5" authorId="0" shapeId="0" xr:uid="{8612725D-7E3A-40B4-8B4F-8ACA9B7FD41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=日常手写记录表3中，白班一次结晶物中折百产量班汇总数据，直接读取</t>
        </r>
      </text>
    </comment>
    <comment ref="L5" authorId="0" shapeId="0" xr:uid="{5E88A7F5-D41A-4715-8E5B-28C6D256597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 shapeId="0" xr:uid="{0B958F69-4AC2-47C0-9B43-F1CBECE7564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=日常手写记录表3，白班一次结晶物中第一袋二乙腈含量，直接读取</t>
        </r>
      </text>
    </comment>
    <comment ref="N5" authorId="0" shapeId="0" xr:uid="{42FC6A7D-B457-4AD6-A068-DBCA197C963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=日常手写记录表3，白班一次结晶物中第二袋二乙腈含量，直接读取</t>
        </r>
      </text>
    </comment>
    <comment ref="O5" authorId="0" shapeId="0" xr:uid="{FA5D426B-E1AD-49B9-A4B9-F73FF5CF779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=日常手写记录表3，白班一次结晶物中平均水分含量，直接读取</t>
        </r>
      </text>
    </comment>
    <comment ref="P5" authorId="0" shapeId="0" xr:uid="{050B2342-9689-48BA-AE59-9BA242AC045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Q5" authorId="0" shapeId="0" xr:uid="{B165023B-66F5-401A-A6C3-65136D4743D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R5" authorId="0" shapeId="0" xr:uid="{E7E515D6-40BF-4839-BD04-A695A236542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=日常手写记录表3，白班一次结晶物中未知物平均含量，直接读取</t>
        </r>
      </text>
    </comment>
    <comment ref="S5" authorId="0" shapeId="0" xr:uid="{3ECC529E-C70D-4612-B59F-9B034B70C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=日常手写记录表3，白班一次结晶物中第一袋未知物含量，直接读取</t>
        </r>
      </text>
    </comment>
    <comment ref="T5" authorId="0" shapeId="0" xr:uid="{3A5D60BB-F49D-4E94-B71B-C278586958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=日常手写记录表3，白班一次结晶物中第二袋未知物含量，直接读取</t>
        </r>
      </text>
    </comment>
    <comment ref="U5" authorId="0" shapeId="0" xr:uid="{61071EF3-9359-478D-9754-0F18876E6B8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 shapeId="0" xr:uid="{49F5EDEE-D780-4D05-8EB0-DB6658E763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=日常手写记录表3，白班二次结晶物中折百产量班汇总数据，直接读取</t>
        </r>
      </text>
    </comment>
    <comment ref="W5" authorId="0" shapeId="0" xr:uid="{2955C5C4-9D9C-49B7-8688-5DCC62D6E24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 shapeId="0" xr:uid="{2C1CA0D8-EFD7-4BDF-A2C2-5517B74C4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=日常手写记录表3，白班二次结晶物中平均水分含量，直接读取</t>
        </r>
      </text>
    </comment>
    <comment ref="Y5" authorId="0" shapeId="0" xr:uid="{DAAAC423-F69C-4080-83C6-894018EE72B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=日常手写记录表3，白班二次结晶物中未知物平均含量，直接读取</t>
        </r>
      </text>
    </comment>
    <comment ref="Z5" authorId="0" shapeId="0" xr:uid="{605B81B1-D79E-4D33-98D9-C7F9D2D760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 shapeId="0" xr:uid="{C1789228-AF0F-4A03-B42C-6BA7DF9821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9" authorId="0" shapeId="0" xr:uid="{0C140FBA-5759-4EF0-91C7-BE79B3CA9A8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3.3498×白班气氨质量用量（kg）/白班羟基乙腈有效成分质量消耗</t>
        </r>
      </text>
    </comment>
    <comment ref="F9" authorId="0" shapeId="0" xr:uid="{86060BCF-7203-4E7B-8EDB-65326C3692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9" authorId="0" shapeId="0" xr:uid="{D201CF90-97E7-4B81-B0E5-16C2731157D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9" authorId="0" shapeId="0" xr:uid="{4ED963A4-A642-4A88-8E2D-5E1C9804E2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9" authorId="0" shapeId="0" xr:uid="{B4B8BF7B-A724-4E55-B11B-54732F6086B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9" authorId="0" shapeId="0" xr:uid="{82F3C853-3760-4F38-9198-134C58B79A0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9" authorId="0" shapeId="0" xr:uid="{D64DBE80-8F22-4311-A91B-494E19C733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9" authorId="0" shapeId="0" xr:uid="{2514237B-91FC-4FC5-944B-D233813D8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 shapeId="0" xr:uid="{EB1D785C-80CF-4BEC-B39C-B503C09C9D9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9" authorId="0" shapeId="0" xr:uid="{7B9F936C-B59D-4618-ADD5-D61EC757DF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9" authorId="0" shapeId="0" xr:uid="{40ADC562-1185-4C78-A445-5C4CD5A760B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=日常手写记录表2，白班反应液比重的平均值，直接读取</t>
        </r>
      </text>
    </comment>
    <comment ref="V9" authorId="0" shapeId="0" xr:uid="{5E8F0F00-A8B4-4D75-B1E0-18E7A8C014A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9" authorId="0" shapeId="0" xr:uid="{3A542912-3781-4C69-ADC2-46FF022914A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9" authorId="0" shapeId="0" xr:uid="{85BDBD87-475F-496D-BD13-1AA42E02AFB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 shapeId="0" xr:uid="{8C76A376-6097-47C8-931C-9A4ED97794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9" authorId="0" shapeId="0" xr:uid="{6B4C4C24-E320-46F1-8EF3-96734C5E97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 shapeId="0" xr:uid="{3F1BE39F-D991-47E6-A629-AA7A999086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10" authorId="0" shapeId="0" xr:uid="{65BEA44B-BADE-4564-B61A-2644D12A36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10" authorId="0" shapeId="0" xr:uid="{1F792797-28B5-4B14-A70B-D7E76624EDD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 shapeId="0" xr:uid="{A7FEA520-1565-4EA9-863A-57A6F68F0A5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 shapeId="0" xr:uid="{70EBF73D-8F6D-433A-B79E-EE6D699977E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 shapeId="0" xr:uid="{B3019134-5C74-4AA6-835D-881A3A21135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=日常手写记录表2，白班羟基乙腈残余化分的平均值，直接读取</t>
        </r>
      </text>
    </comment>
    <comment ref="Y10" authorId="0" shapeId="0" xr:uid="{CE5677F7-249E-40D3-AC2B-9B2D4D094F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 shapeId="0" xr:uid="{9B2FD811-D3C4-42E6-AAC5-DD3941B499E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10" authorId="0" shapeId="0" xr:uid="{3964208D-8364-4BA7-A85C-A792EBF2D71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 shapeId="0" xr:uid="{A8DA1EEE-FE31-4F07-83F2-BE1CACA84CB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 shapeId="0" xr:uid="{C8E596E0-0F64-4BAE-A969-897E7984693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 shapeId="0" xr:uid="{CC1A44E8-0698-4C5E-812D-DC973C92407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=日常手写记录表1，白班COD平均值，直接读取</t>
        </r>
      </text>
    </comment>
    <comment ref="AI10" authorId="0" shapeId="0" xr:uid="{F6762778-A7E8-4FB3-9A6A-4BE8D79EBA9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=日常手写记录表1，白班总腈平均值，直接读取</t>
        </r>
      </text>
    </comment>
    <comment ref="AJ10" authorId="0" shapeId="0" xr:uid="{468EBFA2-FD8A-44F1-A76A-477A69064F0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=日常手写记录表1，白班氨氮平均值，直接读取</t>
        </r>
      </text>
    </comment>
    <comment ref="D15" authorId="0" shapeId="0" xr:uid="{36188467-8B5A-4D84-899E-1B307CBE4F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=日常手写记录表1，白班甲醛平均值，直接读取</t>
        </r>
      </text>
    </comment>
    <comment ref="E15" authorId="0" shapeId="0" xr:uid="{4095E1AF-66A8-4BBF-9058-9A2E4A8A6E4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=日常手写记录表1，白班pH平均值，直接读取</t>
        </r>
      </text>
    </comment>
    <comment ref="F15" authorId="0" shapeId="0" xr:uid="{FE5C3D0C-9AB5-4744-80B7-E805F310B4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15" authorId="0" shapeId="0" xr:uid="{D971534F-3079-4A0D-B46E-884FA67703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15" authorId="0" shapeId="0" xr:uid="{605FE1ED-E5F7-4885-89CA-77E75C23618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 shapeId="0" xr:uid="{FA8C0C43-3AFB-48B4-A3A2-2496B6228E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15" authorId="0" shapeId="0" xr:uid="{8BEFD6FE-1E2C-4DC9-B972-9A55891A7D0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15" authorId="0" shapeId="0" xr:uid="{A41E722D-FF9B-4EF6-85B1-087C47B1303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=日常手写记录表3，白班一次结晶物中二乙腈化分含量的平均值，直接读取</t>
        </r>
      </text>
    </comment>
    <comment ref="L15" authorId="0" shapeId="0" xr:uid="{75C875FB-2003-4D5A-A06F-4BCA613A4C1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=日常手写记录表3，白班一次结晶物中水分含量的平均值，直接读取</t>
        </r>
      </text>
    </comment>
    <comment ref="M15" authorId="0" shapeId="0" xr:uid="{B5D2CD1D-74C3-460A-9AC6-5D6FFE3996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=日常手写记录表3，白班一次结晶物中二乙腈+水含量的平均值，直接读取</t>
        </r>
      </text>
    </comment>
    <comment ref="N15" authorId="0" shapeId="0" xr:uid="{C3D17A00-C431-446C-B0D0-27E3CF627DA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 shapeId="0" xr:uid="{5005DAB8-85D5-4DB6-A5D7-A6291ADA76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15" authorId="0" shapeId="0" xr:uid="{2C7674B7-9BA4-46D8-BF93-E8C007623A8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15" authorId="0" shapeId="0" xr:uid="{8CD5FA1F-0E40-4757-B8A1-1BDE25B3C6D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15" authorId="0" shapeId="0" xr:uid="{D54D52C8-6C26-45AB-A3AE-8F10E99B072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15" authorId="0" shapeId="0" xr:uid="{9FAE03B9-0618-43BD-9BC9-5C98F15ADA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=日常手写记录表3，白班二次结晶物种二乙腈化分含量的平均值，直接读取</t>
        </r>
      </text>
    </comment>
    <comment ref="T15" authorId="0" shapeId="0" xr:uid="{C0524334-BFDB-4E47-A659-A1DF9C6C99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=日常手写记录表3，白班二次结晶物中水分含量的平均值，直接读取</t>
        </r>
      </text>
    </comment>
    <comment ref="U15" authorId="0" shapeId="0" xr:uid="{CE618222-514C-4C02-8D58-99ECDCF31A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=日常手写记录表3，白班二次结晶物中二乙腈+水含量的平均值，直接读取</t>
        </r>
      </text>
    </comment>
    <comment ref="V15" authorId="0" shapeId="0" xr:uid="{2A2B90A1-659B-43AF-BA86-D61C0BDA1F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 shapeId="0" xr:uid="{D1DABE52-C8AA-4AD6-817C-264D343319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 shapeId="0" xr:uid="{837ECD96-17F3-491D-AC2F-82B1CC79978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15" authorId="0" shapeId="0" xr:uid="{FAC37188-3544-4AB1-8402-19A33110BE3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15" authorId="0" shapeId="0" xr:uid="{E5063E0D-332A-46D3-B202-C11B216A455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 shapeId="0" xr:uid="{74BFCCDF-89B5-44A5-A3B1-84CB1A323D6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15" authorId="0" shapeId="0" xr:uid="{35E75DBE-C77E-4724-9FEA-7167DAD1C74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15" authorId="0" shapeId="0" xr:uid="{4F4B1667-E948-41D0-B733-98AD70AE571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15" authorId="0" shapeId="0" xr:uid="{96614272-0A38-49AC-BAB3-0C6E995884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15" authorId="0" shapeId="0" xr:uid="{069A3C9E-A221-4559-BD3B-AF812D8A4D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15" authorId="0" shapeId="0" xr:uid="{7B8ADFC3-0940-473E-811A-6518D7AB880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 shapeId="0" xr:uid="{40502A8A-DA6C-445D-A4FA-B364BFBE7D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 shapeId="0" xr:uid="{062A4DBB-89FF-4345-A618-64139E9620A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 shapeId="0" xr:uid="{C872434D-3B9E-44AF-9F0E-6593F94A44DC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15" authorId="0" shapeId="0" xr:uid="{1C1FA8FA-1FE1-4A57-BC8E-5392C6913595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19" authorId="0" shapeId="0" xr:uid="{C32B0F91-F6A1-4321-AC1A-4EA83DCAB1C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 shapeId="0" xr:uid="{B9E0A6B7-8109-4029-AE92-B7E25B93359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 shapeId="0" xr:uid="{17E15E65-146E-447E-835F-404AF01C7C8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 shapeId="0" xr:uid="{0867EE9D-5D20-44B4-BA83-A12E685B7CE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 shapeId="0" xr:uid="{BE61F539-A916-42E7-A789-68BD6941288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 shapeId="0" xr:uid="{6B7148D5-59F6-494D-9A0B-4D68DB989A8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 shapeId="0" xr:uid="{4290C5CD-4E4D-4BEF-93DE-24F950EC4E7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 shapeId="0" xr:uid="{F8474BD5-979C-4DF5-9F1B-B6FAC38AFE9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 shapeId="0" xr:uid="{878EA20E-C46A-4E80-B6DF-BCA8A36967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 shapeId="0" xr:uid="{FA7ADE8F-087E-426F-8007-120FCB542B2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 shapeId="0" xr:uid="{1EDDD76F-8667-4530-BB60-657BC7BA9DA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 shapeId="0" xr:uid="{04F42AA3-5E86-41DB-8000-D590969A33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 shapeId="0" xr:uid="{F62025E2-9D3D-4387-BA62-3083D81E25F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 shapeId="0" xr:uid="{D16348DE-34BD-4F84-A2B0-267FCB3F68E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 shapeId="0" xr:uid="{A9190920-FE95-4AD2-A58C-DACA32DC437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=日常手写记录表6，夜班羟基乙腈单耗，直接读取</t>
        </r>
      </text>
    </comment>
    <comment ref="AB25" authorId="0" shapeId="0" xr:uid="{74A962C8-1743-41EB-B7FE-4C7DA438849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=日常手写记录表6，夜班液氨单耗，直接读取</t>
        </r>
      </text>
    </comment>
    <comment ref="AC25" authorId="0" shapeId="0" xr:uid="{048C40B6-7EDE-49F9-B6DD-E2E435203FC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 shapeId="0" xr:uid="{E246EF87-88A5-4E7A-83D2-60AB9E5E027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 shapeId="0" xr:uid="{80F75B1C-F9C8-4B9A-BBE3-A148AC4ADE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 shapeId="0" xr:uid="{B7B50C15-C654-4438-ACD5-AE02B61E0E5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 shapeId="0" xr:uid="{93FA166C-56B1-47C6-875F-9F2E1931706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 shapeId="0" xr:uid="{382CF4C3-5DFE-41A6-A7D1-8A4F93CB1F9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 shapeId="0" xr:uid="{174DC1C8-9F19-4491-A00D-655E928E22C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 shapeId="0" xr:uid="{3B0D965F-C98E-45EC-8072-5CE92F512E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 shapeId="0" xr:uid="{0FE8E38C-1393-4EFB-8CDF-B360E507162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26" authorId="0" shapeId="0" xr:uid="{2D1CF343-7441-4207-B297-D47026D199D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26" authorId="0" shapeId="0" xr:uid="{8BB11C6E-F191-4460-89D6-09C246A9FC6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26" authorId="0" shapeId="0" xr:uid="{6D8204A5-BAF2-4B88-AD6B-7D099207DF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=日常手写记录表表3，夜班班产与日平均产量的差额数值，直接读取</t>
        </r>
      </text>
    </comment>
    <comment ref="H26" authorId="0" shapeId="0" xr:uid="{318B2F0C-21D7-4D1B-9A94-E5DD3D460CF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=日常手写记录表3中，夜班合计中水分含量的平均值，直接读取</t>
        </r>
      </text>
    </comment>
    <comment ref="I26" authorId="0" shapeId="0" xr:uid="{D979A0B2-76EB-4624-BE04-227721B083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=日常手写记录表3中，夜班合计中未知物含量的平均值，直接读取</t>
        </r>
      </text>
    </comment>
    <comment ref="J26" authorId="0" shapeId="0" xr:uid="{199DC7D8-EB87-4573-BD76-30339957D9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=日常手写记录表3中，夜班一次结晶物中产量班汇总数据，直接读取</t>
        </r>
      </text>
    </comment>
    <comment ref="K26" authorId="0" shapeId="0" xr:uid="{45E0F431-79F6-4FFA-B5B1-B7C5626DBDE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=日常手写记录表3中，夜班一次结晶物中折百产量班汇总数据，直接读取</t>
        </r>
      </text>
    </comment>
    <comment ref="L26" authorId="0" shapeId="0" xr:uid="{381411D0-919B-4A14-BB04-639A479A533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 shapeId="0" xr:uid="{1680B4DF-9B26-411C-85AF-2B5B5794C99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=日常手写记录表3，夜班一次结晶物中第一袋二乙腈含量，直接读取</t>
        </r>
      </text>
    </comment>
    <comment ref="N26" authorId="0" shapeId="0" xr:uid="{B3B1A0CE-6169-4804-9B9E-E7B20F33FB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=日常手写记录表3，夜班一次结晶物中第二袋二乙腈含量，直接读取</t>
        </r>
      </text>
    </comment>
    <comment ref="O26" authorId="0" shapeId="0" xr:uid="{36405236-E625-410D-B23C-794105DBE2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=日常手写记录表3，夜班一次结晶物中平均水分含量，直接读取</t>
        </r>
      </text>
    </comment>
    <comment ref="P26" authorId="0" shapeId="0" xr:uid="{509C5639-A311-4FDA-8664-FBB9EBF2C6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Q26" authorId="0" shapeId="0" xr:uid="{22F52E30-C146-463D-BF30-9B750A8FA0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R26" authorId="0" shapeId="0" xr:uid="{E7A9FD8A-B168-46B6-AAE8-CDA38761AB5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=日常手写记录表3，夜班一次结晶物中未知物平均含量，直接读取</t>
        </r>
      </text>
    </comment>
    <comment ref="S26" authorId="0" shapeId="0" xr:uid="{51B98A37-CCFA-413C-A1FA-40AA85904F9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=日常手写记录表3，夜班一次结晶物中第一袋未知物含量，直接读取</t>
        </r>
      </text>
    </comment>
    <comment ref="T26" authorId="0" shapeId="0" xr:uid="{E0DB0140-A01B-4282-88B8-F9D7765EF0D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=日常手写记录表3，夜班一次结晶物中第二袋未知物含量，直接读取</t>
        </r>
      </text>
    </comment>
    <comment ref="U26" authorId="0" shapeId="0" xr:uid="{6065E9B3-A89C-45B3-B6B2-478C1DA02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 shapeId="0" xr:uid="{2EE53153-2116-429D-AE8C-AC8B6250ECC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=日常手写记录表3，夜班二次结晶物中折百产量班汇总数据，直接读取</t>
        </r>
      </text>
    </comment>
    <comment ref="W26" authorId="0" shapeId="0" xr:uid="{D83908F6-7A06-4DED-8102-369C45EDD6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 shapeId="0" xr:uid="{43503D8C-0CF4-4DBF-B439-A073C8D1558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=日常手写记录表3，夜班二次结晶物中平均水分含量，直接读取</t>
        </r>
      </text>
    </comment>
    <comment ref="Y26" authorId="0" shapeId="0" xr:uid="{EC3E402D-0192-4DA0-B0BD-279ECC37AD1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=日常手写记录表3，夜班二次结晶物中未知物平均含量，直接读取</t>
        </r>
      </text>
    </comment>
    <comment ref="Z26" authorId="0" shapeId="0" xr:uid="{15953D70-BAAB-4C30-863E-0FF697D16BB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 shapeId="0" xr:uid="{C3E7A19C-7364-4C74-BD9A-07E72633331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30" authorId="0" shapeId="0" xr:uid="{50C7BB34-B610-4AD7-9161-0646EC55CC1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3.3498×夜班气氨质量用量（kg）/夜班羟基乙腈有效成分质量消耗</t>
        </r>
      </text>
    </comment>
    <comment ref="F30" authorId="0" shapeId="0" xr:uid="{9A1AB56A-5C63-48E8-B6BA-C8C410CF092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30" authorId="0" shapeId="0" xr:uid="{0BEA203F-1EB9-471B-BDDE-F866628EB2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30" authorId="0" shapeId="0" xr:uid="{4F369641-0D5B-4CF7-AA6F-4E40BB532E5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30" authorId="0" shapeId="0" xr:uid="{79E3E66D-C87A-4C67-8DDC-700F77F7C03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30" authorId="0" shapeId="0" xr:uid="{3848A9EE-1C6F-4B1A-8AB8-E3CBCD1D885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30" authorId="0" shapeId="0" xr:uid="{DBBD9A25-5612-489C-8423-7CDE77684B5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30" authorId="0" shapeId="0" xr:uid="{0E1C7B6B-06F9-48F8-B5A6-F95BC347D1E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 shapeId="0" xr:uid="{7B463CBA-F482-4C46-8921-CB5C1FE692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30" authorId="0" shapeId="0" xr:uid="{48C13C87-FA21-4A0E-A64D-F455ED0CDA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30" authorId="0" shapeId="0" xr:uid="{4A3AC4EC-2C17-4A8B-9D13-FF3961986E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=日常手写记录表2，夜班反应液比重的平均值，直接读取</t>
        </r>
      </text>
    </comment>
    <comment ref="V30" authorId="0" shapeId="0" xr:uid="{8543B672-B612-4697-AD5A-FA57565B5E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30" authorId="0" shapeId="0" xr:uid="{C6AD20E8-C16F-45BC-867F-1606A3ED9D2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30" authorId="0" shapeId="0" xr:uid="{75DFA8EC-14EE-4A33-B34B-EC67622DB13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 shapeId="0" xr:uid="{088A05CB-1D67-4864-B882-ED38D722906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30" authorId="0" shapeId="0" xr:uid="{B70E7B78-20FB-45B2-A645-BD0BDCDB803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 shapeId="0" xr:uid="{1CE87B1B-F5DB-4241-AFDF-D04BB09C19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31" authorId="0" shapeId="0" xr:uid="{9EB8B491-D549-4F32-BDCC-63E70F880BB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31" authorId="0" shapeId="0" xr:uid="{1D303EEA-3FB4-4A36-8221-37F9BBC75D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 shapeId="0" xr:uid="{15F4230C-F18D-4740-9C80-3C6F983CB9A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 shapeId="0" xr:uid="{891ED46B-7A02-4A47-93F2-FCE5E4CB8C4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 shapeId="0" xr:uid="{4A8BA433-67D4-431B-8D04-B5B836D820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=日常手写记录表2，夜班羟基乙腈残余化分的平均值，直接读取</t>
        </r>
      </text>
    </comment>
    <comment ref="Y31" authorId="0" shapeId="0" xr:uid="{4170C941-DCD9-4F3F-B31A-65D533B902D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 shapeId="0" xr:uid="{477A57DC-D323-4735-9CBA-F946F31ACD0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31" authorId="0" shapeId="0" xr:uid="{780DD5EA-814E-4171-922F-1FA9DB425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 shapeId="0" xr:uid="{73789B64-2287-43C5-8AA7-0B3AB924FE7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 shapeId="0" xr:uid="{20C8B4DC-FD49-42C2-BF51-5019B7DD3B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 shapeId="0" xr:uid="{AEC3C720-535A-4FC1-949B-5A09918CA9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=日常手写记录表1，夜班COD平均值，直接读取</t>
        </r>
      </text>
    </comment>
    <comment ref="AI31" authorId="0" shapeId="0" xr:uid="{286912EE-4C52-4ACF-ACAB-99839696838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=日常手写记录表1，夜班总腈平均值，直接读取</t>
        </r>
      </text>
    </comment>
    <comment ref="AJ31" authorId="0" shapeId="0" xr:uid="{BE6ACA47-F0F1-4ABB-A2A6-254B10F228F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=日常手写记录表1，夜班氨氮平均值，直接读取</t>
        </r>
      </text>
    </comment>
    <comment ref="D36" authorId="0" shapeId="0" xr:uid="{853D7602-9BD5-44C4-B2C0-3296D867809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=日常手写记录表1，夜班甲醛平均值，直接读取</t>
        </r>
      </text>
    </comment>
    <comment ref="E36" authorId="0" shapeId="0" xr:uid="{0D7FE257-8D89-47D6-8110-74E3BA979A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=日常手写记录表1，夜班pH平均值，直接读取</t>
        </r>
      </text>
    </comment>
    <comment ref="F36" authorId="0" shapeId="0" xr:uid="{4A425B5B-4D37-49F9-AB15-A7ACFFE120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36" authorId="0" shapeId="0" xr:uid="{5B9CA2B2-7C34-4283-B236-4280994A7FB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36" authorId="0" shapeId="0" xr:uid="{55754EF9-3C65-4A78-A4CE-A53E0941F94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 shapeId="0" xr:uid="{61CE94F1-6371-4698-B136-4A5F1FCE4B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36" authorId="0" shapeId="0" xr:uid="{B6208E34-C771-4948-A4E9-33120EBBBF9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36" authorId="0" shapeId="0" xr:uid="{0097EAA5-6056-475A-8240-D985A81808F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=日常手写记录表3，夜班一次结晶物中二乙腈化分含量的平均值，直接读取</t>
        </r>
      </text>
    </comment>
    <comment ref="L36" authorId="0" shapeId="0" xr:uid="{BB0A5860-6AFE-4C2A-A88C-0A024FBF11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=日常手写记录表3，夜班一次结晶物中水分含量的平均值，直接读取</t>
        </r>
      </text>
    </comment>
    <comment ref="M36" authorId="0" shapeId="0" xr:uid="{B573BAEA-414B-4CE8-951A-D36536C9CC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=日常手写记录表3，夜班一次结晶物中二乙腈+水含量的平均值，直接读取</t>
        </r>
      </text>
    </comment>
    <comment ref="N36" authorId="0" shapeId="0" xr:uid="{07B471DC-35A4-4890-BDC4-90492886DD9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 shapeId="0" xr:uid="{B8E9195E-19EE-4396-BFE0-3C72B278DD2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36" authorId="0" shapeId="0" xr:uid="{671289F0-15C5-4605-A72F-1C8902C2BB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36" authorId="0" shapeId="0" xr:uid="{2F07540C-B647-4269-A721-B44440867D8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36" authorId="0" shapeId="0" xr:uid="{724FEFED-2CAF-41F6-8DFD-33004D9058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36" authorId="0" shapeId="0" xr:uid="{6D78CC66-3D2B-4838-ADB7-2158843254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=日常手写记录表3，夜班二次结晶物种二乙腈化分含量的平均值，直接读取</t>
        </r>
      </text>
    </comment>
    <comment ref="T36" authorId="0" shapeId="0" xr:uid="{F319332D-6F3C-4D26-BED7-F5A89FA4C44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=日常手写记录表3，夜班二次结晶物中水分含量的平均值，直接读取</t>
        </r>
      </text>
    </comment>
    <comment ref="U36" authorId="0" shapeId="0" xr:uid="{141D59AD-F837-46C0-9DAC-AFE145A9A0F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=日常手写记录表3，夜班二次结晶物中二乙腈+水含量的平均值，直接读取</t>
        </r>
      </text>
    </comment>
    <comment ref="V36" authorId="0" shapeId="0" xr:uid="{6ABA38CE-05C7-4DD5-A2DB-DD51AF37C7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 shapeId="0" xr:uid="{AD3834E4-C8C8-4CCC-A1B4-5CE7803C465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 shapeId="0" xr:uid="{B53943A9-6602-4321-8B38-4FF65933BF0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36" authorId="0" shapeId="0" xr:uid="{479CBA47-7605-47E6-BEA0-A093578EA1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36" authorId="0" shapeId="0" xr:uid="{D0F1337F-588F-4E0F-8DEA-1198A16DF8D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 shapeId="0" xr:uid="{E4491852-53D3-4249-99C9-346F83ADF93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36" authorId="0" shapeId="0" xr:uid="{03908C0E-E605-4484-9B56-9E672421B1C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36" authorId="0" shapeId="0" xr:uid="{ED5092A8-3566-4632-823C-4B15F75865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36" authorId="0" shapeId="0" xr:uid="{843A66CD-3EB3-4002-9871-874C5B85650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36" authorId="0" shapeId="0" xr:uid="{DD1F4388-B8A3-4935-A3AB-890EA28CD41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36" authorId="0" shapeId="0" xr:uid="{8381BF42-8D2E-4625-908C-899EB828CE2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 shapeId="0" xr:uid="{4836E57E-86D1-4E01-9F8D-0AF6CB3CA1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 shapeId="0" xr:uid="{EC621A39-B502-4108-99FA-B45082F587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 shapeId="0" xr:uid="{CF1BEB01-ABED-4F8F-96CD-5E7797CA9B8B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36" authorId="0" shapeId="0" xr:uid="{5D9DE22A-B266-480C-B982-65ADCE257916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40" authorId="0" shapeId="0" xr:uid="{F87DF26E-7A29-49DA-A524-2A6BC9A870D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 shapeId="0" xr:uid="{0C62DEF3-8644-4795-8253-F869027A49B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 shapeId="0" xr:uid="{C78B822F-6637-42FC-A96A-AF7E6FFB637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 shapeId="0" xr:uid="{F95BEE64-F602-41A1-AF7F-EE8B8EE0E6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 shapeId="0" xr:uid="{0190DFD9-33CD-427D-A719-F7AEEC79841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 shapeId="0" xr:uid="{27FA4C31-AD3D-47BE-B8F2-C3BCF7A3F53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 shapeId="0" xr:uid="{233846EF-B491-4D5C-9D78-F670F8414A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 shapeId="0" xr:uid="{BB0F97C2-C3FE-46E3-A447-2E802650BDD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 shapeId="0" xr:uid="{5A2F1FDC-2B44-481D-B971-013BB551FA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 shapeId="0" xr:uid="{3D280CD2-93C7-48E3-ADCA-ADD7D7311D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 shapeId="0" xr:uid="{0A391243-F650-48F0-A547-0784EB541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 shapeId="0" xr:uid="{75AA3EBB-C029-48D9-8004-852D9302666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 shapeId="0" xr:uid="{24773EEE-A77A-4312-96DD-7D47B3E24C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 shapeId="0" xr:uid="{A174F463-2E45-453B-BCE3-112A9766F6B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<sst xmlns="http://schemas.openxmlformats.org/spreadsheetml/2006/main" count="1506" uniqueCount="462">
  <si>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</si>
  <si>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</si>
  <si>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</si>
  <si>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</si>
  <si>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</si>
  <si>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</si>
  <si>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</si>
  <si>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</si>
  <si>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</si>
  <si>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</si>
  <si>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</si>
  <si>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</si>
  <si>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</si>
  <si>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</si>
  <si>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</si>
  <si>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</si>
  <si>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</si>
  <si>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</si>
  <si>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</si>
  <si>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</si>
  <si>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</si>
  <si>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</si>
  <si>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</si>
  <si>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</si>
  <si>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</si>
  <si>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</si>
  <si>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</si>
  <si>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</si>
  <si>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</si>
  <si>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</si>
  <si>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</si>
  <si>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</si>
  <si>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</si>
  <si>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</si>
  <si>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</si>
  <si>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</si>
  <si>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</si>
  <si>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</si>
  <si>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</si>
  <si>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</si>
  <si>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</si>
  <si>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</si>
  <si>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</si>
  <si>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</si>
  <si>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</si>
  <si>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</si>
  <si>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</si>
  <si>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</si>
  <si>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</si>
  <si>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</si>
  <si>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</si>
  <si>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</si>
  <si>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</si>
  <si>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</si>
  <si>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</si>
  <si>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</si>
  <si>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</si>
  <si>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</si>
  <si>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</si>
  <si>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</si>
  <si>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</si>
  <si>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</si>
  <si>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</si>
  <si>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</si>
  <si>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</si>
  <si>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</si>
  <si>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</si>
  <si>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</si>
  <si>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</si>
  <si>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</si>
  <si>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</si>
  <si>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</si>
  <si>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</si>
  <si>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</si>
  <si>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</si>
  <si>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</si>
  <si>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</si>
  <si>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</si>
  <si>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</si>
  <si>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t>瞬时流量
（kg/h）</t>
    <phoneticPr fontId="1" type="noConversion"/>
  </si>
  <si>
    <t>累计量
(kg)</t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</si>
  <si>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</si>
  <si>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</si>
  <si>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</si>
  <si>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</si>
  <si>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</si>
  <si>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</si>
  <si>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</si>
  <si>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</si>
  <si>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</si>
  <si>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</si>
  <si>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</si>
  <si>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</si>
  <si>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</si>
  <si>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</si>
  <si>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</si>
  <si>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</si>
  <si>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</si>
  <si>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</si>
  <si>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</si>
  <si>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</si>
  <si>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</si>
  <si>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</si>
  <si>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</si>
  <si>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</si>
  <si>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</si>
  <si>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</si>
  <si>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</si>
  <si>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</si>
  <si>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</si>
  <si>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</si>
  <si>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</si>
  <si>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</si>
  <si>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</si>
  <si>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</si>
  <si>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</si>
  <si>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</si>
  <si>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</si>
  <si>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</si>
  <si>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</si>
  <si>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</si>
  <si>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</si>
  <si>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</si>
  <si>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</si>
  <si>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</si>
  <si>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</si>
  <si>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</si>
  <si>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</si>
  <si>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</si>
  <si>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</si>
  <si>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</si>
  <si>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</si>
  <si>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</si>
  <si>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</si>
  <si>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</si>
  <si>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</si>
  <si>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</si>
  <si>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</si>
  <si>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</si>
  <si>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</si>
  <si>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</si>
  <si>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</si>
  <si>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</si>
  <si>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</si>
  <si>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</si>
  <si>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</si>
  <si>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</si>
  <si>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</si>
  <si>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</si>
  <si>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</si>
  <si>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</si>
  <si>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</si>
  <si>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</si>
  <si>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</si>
  <si>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</si>
  <si>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</si>
  <si>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</si>
  <si>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</si>
  <si>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</si>
  <si>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</si>
  <si>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</si>
  <si>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</si>
  <si>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</si>
  <si>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</si>
  <si>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</si>
  <si>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</si>
  <si>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</si>
  <si>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</si>
  <si>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</si>
  <si>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</si>
  <si>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</si>
  <si>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</si>
  <si>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</si>
  <si>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</si>
  <si>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</si>
  <si>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</si>
  <si>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</si>
  <si>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</si>
  <si>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</si>
  <si>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</si>
  <si>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</si>
  <si>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</si>
  <si>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</si>
  <si>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</si>
  <si>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</si>
  <si>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</si>
  <si>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</si>
  <si>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</si>
  <si>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</si>
  <si>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</si>
  <si>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</si>
  <si>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</si>
  <si>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</si>
  <si>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</si>
  <si>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</si>
  <si>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</si>
  <si>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</si>
  <si>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</si>
  <si>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</si>
  <si>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</si>
  <si>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</si>
  <si>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</si>
  <si>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</si>
  <si>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</si>
  <si>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</si>
  <si>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</si>
  <si>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</si>
  <si>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</si>
  <si>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</si>
  <si>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</si>
  <si>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</si>
  <si>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</si>
  <si>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</si>
  <si>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</si>
  <si>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</si>
  <si>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</si>
  <si>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</si>
  <si>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</si>
  <si>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</si>
  <si>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</si>
  <si>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</si>
  <si>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</si>
  <si>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</si>
  <si>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</si>
  <si>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</si>
  <si>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</si>
  <si>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</si>
  <si>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</si>
  <si>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</si>
  <si>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</si>
  <si>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</si>
  <si>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</si>
  <si>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</si>
  <si>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</si>
  <si>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</si>
  <si>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</si>
  <si>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</si>
  <si>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</si>
  <si>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</si>
  <si>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</si>
  <si>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</si>
  <si>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</si>
  <si>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</si>
  <si>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</si>
  <si>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</si>
  <si>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</si>
  <si>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</si>
  <si>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</si>
  <si>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</si>
  <si>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</si>
  <si>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</si>
  <si>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</si>
  <si>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</si>
  <si>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</si>
  <si>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</si>
  <si>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</si>
  <si>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</si>
  <si>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</si>
  <si>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</si>
  <si>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</si>
  <si>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</si>
  <si>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</si>
  <si>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</si>
  <si>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</si>
  <si>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</si>
  <si>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</si>
  <si>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</si>
  <si>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</si>
  <si>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</si>
  <si>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</si>
  <si>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</si>
  <si>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</si>
  <si>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</si>
  <si>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</si>
  <si>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</si>
  <si>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</si>
  <si>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</si>
  <si>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</si>
  <si>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</si>
  <si>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</si>
  <si>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</si>
  <si>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</si>
  <si>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</si>
  <si>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</si>
  <si>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</si>
  <si>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</si>
  <si>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</si>
  <si>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</si>
  <si>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</si>
  <si>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</si>
  <si>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</si>
  <si>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</si>
  <si>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</si>
  <si>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</si>
  <si>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</si>
  <si>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</si>
  <si>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</si>
  <si>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</si>
  <si>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</si>
  <si>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9.65</t>
    <phoneticPr fontId="1" type="noConversion"/>
  </si>
  <si>
    <t>87.8</t>
    <phoneticPr fontId="1" type="noConversion"/>
  </si>
  <si>
    <t>17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</si>
  <si>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</si>
  <si>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</si>
  <si>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</si>
  <si>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</si>
  <si>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</si>
  <si>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</si>
  <si>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</si>
  <si>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</si>
  <si>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</si>
  <si>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</si>
  <si>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</si>
  <si>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</si>
  <si>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</si>
  <si>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</si>
  <si>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</si>
  <si>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</si>
  <si>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</si>
  <si>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</si>
  <si>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</si>
  <si>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</si>
  <si>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</si>
  <si>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</si>
  <si>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</si>
  <si>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</si>
  <si>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</si>
  <si>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</si>
  <si>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</si>
  <si>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</si>
  <si>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</si>
  <si>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</si>
  <si>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</si>
  <si>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</si>
  <si>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</si>
  <si>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</si>
  <si>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</si>
  <si>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</si>
  <si>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</si>
  <si>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</si>
  <si>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</si>
  <si>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</si>
  <si>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1.035</t>
    <phoneticPr fontId="1" type="noConversion"/>
  </si>
  <si>
    <t>33.1</t>
    <phoneticPr fontId="1" type="noConversion"/>
  </si>
  <si>
    <t>0.515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</si>
  <si>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</si>
  <si>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</si>
  <si>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</si>
  <si>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</si>
  <si>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</si>
  <si>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</si>
  <si>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</si>
  <si>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</si>
  <si>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</si>
  <si>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</si>
  <si>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</si>
  <si>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</si>
  <si>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</si>
  <si>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</si>
  <si>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</si>
  <si>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</si>
  <si>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</si>
  <si>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</si>
  <si>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</si>
  <si>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</si>
  <si>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</si>
  <si>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</si>
  <si>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</si>
  <si>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</si>
  <si>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</si>
  <si>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</si>
  <si>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</si>
  <si>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</si>
  <si>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</si>
  <si>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</si>
  <si>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</si>
  <si>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</si>
  <si>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</si>
  <si>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</si>
  <si>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</si>
  <si>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</si>
  <si>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</si>
  <si>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</si>
  <si>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2025
1201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</si>
  <si>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</si>
  <si>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</si>
  <si>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</si>
  <si>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</si>
  <si>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</si>
  <si>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</si>
  <si>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</si>
  <si>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</si>
  <si>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</si>
  <si>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</si>
  <si>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</si>
  <si>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</si>
  <si>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</si>
  <si>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</si>
  <si>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</si>
  <si>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</si>
  <si>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</si>
  <si>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</si>
  <si>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</si>
  <si>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</si>
  <si>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</si>
  <si>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</si>
  <si>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</si>
  <si>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</si>
  <si>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</si>
  <si>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</si>
  <si>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</si>
  <si>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</si>
  <si>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</si>
  <si>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</si>
  <si>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</si>
  <si>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</si>
  <si>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文件编号：                                                                                                班组＆日---生产过程运行质量考评表</t>
    <phoneticPr fontId="1" type="noConversion"/>
  </si>
  <si>
    <t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</si>
  <si>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>日期：2026年2月8日                                                                          编号：</t>
    </r>
    <r>
      <rPr>
        <sz val="12"/>
        <rFont val="Times New Roman"/>
        <family val="1"/>
      </rPr>
      <t>HB/ZS26-01</t>
    </r>
    <phoneticPr fontId="1" type="noConversion"/>
  </si>
  <si>
    <t>一、核心工艺指标</t>
    <phoneticPr fontId="1" type="noConversion"/>
  </si>
  <si>
    <t>班次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</si>
  <si>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</si>
  <si>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</si>
  <si>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</si>
  <si>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</si>
  <si>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</si>
  <si>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全天</t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</si>
  <si>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</si>
  <si>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</si>
  <si>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</si>
  <si>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</si>
  <si>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</si>
  <si>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</si>
  <si>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</si>
  <si>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</si>
  <si>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</si>
  <si>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</si>
  <si>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≥90%</t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</si>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</sst>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  <col min="16170" max="16384" width="9" style="7"/>
  </cols>
  <sheetData>
    <row r="1" spans="2:47" ht="5.0999999999999996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0000000000000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0000000000000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22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29</v>
      </c>
      <c r="AF6" s="15">
        <v>30</v>
      </c>
      <c r="AG6" s="15">
        <v>31</v>
      </c>
      <c r="AH6" s="15">
        <v>32</v>
      </c>
      <c r="AI6" s="15">
        <v>33</v>
      </c>
      <c r="AJ6" s="15">
        <v>34</v>
      </c>
      <c r="AK6" s="15">
        <v>35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/>
      <c r="D7" s="36"/>
      <c r="E7" s="36"/>
      <c r="F7" s="36"/>
      <c r="G7" s="36"/>
      <c r="H7" s="78"/>
      <c r="I7" s="5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89"/>
      <c r="Y7" s="89" t="s">
        <v>84</v>
      </c>
      <c r="Z7" s="36"/>
      <c r="AA7" s="36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36"/>
      <c r="AM7" s="27"/>
      <c r="AN7" s="63"/>
      <c r="AO7" s="54"/>
      <c r="AP7" s="25"/>
      <c r="AQ7" s="25"/>
      <c r="AR7" s="23"/>
    </row>
    <row r="8" spans="2:47" ht="13.5" customHeight="1" x14ac:dyDescent="0.15">
      <c r="B8" s="38">
        <v>0.41666666666666669</v>
      </c>
      <c r="C8" s="36"/>
      <c r="D8" s="36"/>
      <c r="E8" s="36"/>
      <c r="F8" s="36"/>
      <c r="G8" s="36"/>
      <c r="H8" s="78"/>
      <c r="I8" s="5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89"/>
      <c r="Y8" s="89" t="s">
        <v>84</v>
      </c>
      <c r="Z8" s="36"/>
      <c r="AA8" s="36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36"/>
      <c r="AM8" s="27"/>
      <c r="AN8" s="63"/>
      <c r="AO8" s="54"/>
      <c r="AP8" s="25"/>
      <c r="AQ8" s="25"/>
      <c r="AR8" s="23"/>
    </row>
    <row r="9" spans="2:47" ht="13.5" customHeight="1" x14ac:dyDescent="0.15">
      <c r="B9" s="38">
        <v>0.45833333333333298</v>
      </c>
      <c r="C9" s="36"/>
      <c r="D9" s="36"/>
      <c r="E9" s="36"/>
      <c r="F9" s="36"/>
      <c r="G9" s="36"/>
      <c r="H9" s="78"/>
      <c r="I9" s="5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89"/>
      <c r="Y9" s="89" t="s">
        <v>84</v>
      </c>
      <c r="Z9" s="36"/>
      <c r="AA9" s="36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36"/>
      <c r="AM9" s="27"/>
      <c r="AN9" s="63"/>
      <c r="AO9" s="54"/>
      <c r="AP9" s="25"/>
      <c r="AQ9" s="25"/>
      <c r="AR9" s="23"/>
    </row>
    <row r="10" spans="2:47" ht="13.5" customHeight="1" x14ac:dyDescent="0.15">
      <c r="B10" s="38">
        <v>0.5</v>
      </c>
      <c r="C10" s="36"/>
      <c r="D10" s="36"/>
      <c r="E10" s="36"/>
      <c r="F10" s="36"/>
      <c r="G10" s="36"/>
      <c r="H10" s="78"/>
      <c r="I10" s="5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89"/>
      <c r="Y10" s="89" t="s">
        <v>84</v>
      </c>
      <c r="Z10" s="36"/>
      <c r="AA10" s="36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36"/>
      <c r="AM10" s="27"/>
      <c r="AN10" s="63"/>
      <c r="AO10" s="54"/>
      <c r="AP10" s="25"/>
      <c r="AQ10" s="25"/>
      <c r="AR10" s="23"/>
    </row>
    <row r="11" spans="2:47" ht="13.5" customHeight="1" x14ac:dyDescent="0.15">
      <c r="B11" s="38">
        <v>0.54166666666666696</v>
      </c>
      <c r="C11" s="36"/>
      <c r="D11" s="36"/>
      <c r="E11" s="36"/>
      <c r="F11" s="36"/>
      <c r="G11" s="36"/>
      <c r="H11" s="78"/>
      <c r="I11" s="5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89"/>
      <c r="Y11" s="89" t="s">
        <v>84</v>
      </c>
      <c r="Z11" s="36"/>
      <c r="AA11" s="36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36"/>
      <c r="AM11" s="27"/>
      <c r="AN11" s="63"/>
      <c r="AO11" s="54"/>
      <c r="AP11" s="25"/>
      <c r="AQ11" s="25"/>
      <c r="AR11" s="23"/>
    </row>
    <row r="12" spans="2:47" ht="13.5" customHeight="1" x14ac:dyDescent="0.15">
      <c r="B12" s="38">
        <v>0.58333333333333304</v>
      </c>
      <c r="C12" s="36"/>
      <c r="D12" s="36"/>
      <c r="E12" s="36"/>
      <c r="F12" s="36"/>
      <c r="G12" s="36"/>
      <c r="H12" s="78"/>
      <c r="I12" s="5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89"/>
      <c r="Y12" s="89" t="s">
        <v>84</v>
      </c>
      <c r="Z12" s="36"/>
      <c r="AA12" s="36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36"/>
      <c r="AM12" s="27"/>
      <c r="AN12" s="63"/>
      <c r="AO12" s="54"/>
      <c r="AP12" s="25"/>
      <c r="AQ12" s="25"/>
      <c r="AR12" s="23"/>
    </row>
    <row r="13" spans="2:47" ht="13.5" customHeight="1" x14ac:dyDescent="0.15">
      <c r="B13" s="38">
        <v>0.625</v>
      </c>
      <c r="C13" s="36"/>
      <c r="D13" s="36"/>
      <c r="E13" s="36"/>
      <c r="F13" s="36"/>
      <c r="G13" s="36"/>
      <c r="H13" s="78"/>
      <c r="I13" s="5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89"/>
      <c r="Y13" s="89" t="s">
        <v>84</v>
      </c>
      <c r="Z13" s="36"/>
      <c r="AA13" s="36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36"/>
      <c r="AM13" s="27"/>
      <c r="AN13" s="63"/>
      <c r="AO13" s="54"/>
      <c r="AP13" s="25"/>
      <c r="AQ13" s="25"/>
      <c r="AR13" s="23"/>
    </row>
    <row r="14" spans="2:47" ht="13.5" customHeight="1" x14ac:dyDescent="0.15">
      <c r="B14" s="38">
        <v>0.66666666666666696</v>
      </c>
      <c r="C14" s="36"/>
      <c r="D14" s="36"/>
      <c r="E14" s="36"/>
      <c r="F14" s="36"/>
      <c r="G14" s="36"/>
      <c r="H14" s="78"/>
      <c r="I14" s="5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89"/>
      <c r="Y14" s="89" t="s">
        <v>84</v>
      </c>
      <c r="Z14" s="36"/>
      <c r="AA14" s="36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36"/>
      <c r="AM14" s="27"/>
      <c r="AN14" s="63"/>
      <c r="AO14" s="54"/>
      <c r="AP14" s="25"/>
      <c r="AQ14" s="25"/>
      <c r="AR14" s="23"/>
    </row>
    <row r="15" spans="2:47" ht="13.5" customHeight="1" x14ac:dyDescent="0.15">
      <c r="B15" s="38">
        <v>0.70833333333333304</v>
      </c>
      <c r="C15" s="36"/>
      <c r="D15" s="36"/>
      <c r="E15" s="36"/>
      <c r="F15" s="36"/>
      <c r="G15" s="36"/>
      <c r="H15" s="78"/>
      <c r="I15" s="5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89"/>
      <c r="Y15" s="89" t="s">
        <v>84</v>
      </c>
      <c r="Z15" s="36"/>
      <c r="AA15" s="36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36"/>
      <c r="AM15" s="27"/>
      <c r="AN15" s="63"/>
      <c r="AO15" s="54"/>
      <c r="AP15" s="25"/>
      <c r="AQ15" s="25"/>
      <c r="AR15" s="23"/>
    </row>
    <row r="16" spans="2:47" ht="13.5" customHeight="1" x14ac:dyDescent="0.15">
      <c r="B16" s="38">
        <v>0.75</v>
      </c>
      <c r="C16" s="36"/>
      <c r="D16" s="36"/>
      <c r="E16" s="36"/>
      <c r="F16" s="36"/>
      <c r="G16" s="36"/>
      <c r="H16" s="78"/>
      <c r="I16" s="5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89"/>
      <c r="Y16" s="89" t="s">
        <v>84</v>
      </c>
      <c r="Z16" s="36"/>
      <c r="AA16" s="36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36"/>
      <c r="AM16" s="27"/>
      <c r="AN16" s="63"/>
      <c r="AO16" s="54"/>
      <c r="AP16" s="25"/>
      <c r="AQ16" s="25"/>
      <c r="AR16" s="23"/>
    </row>
    <row r="17" spans="2:44" ht="13.5" customHeight="1" x14ac:dyDescent="0.15">
      <c r="B17" s="38">
        <v>0.79166666666666696</v>
      </c>
      <c r="C17" s="36"/>
      <c r="D17" s="36"/>
      <c r="E17" s="36"/>
      <c r="F17" s="36"/>
      <c r="G17" s="36"/>
      <c r="H17" s="78"/>
      <c r="I17" s="5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89"/>
      <c r="Y17" s="89" t="s">
        <v>84</v>
      </c>
      <c r="Z17" s="36"/>
      <c r="AA17" s="36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36"/>
      <c r="AM17" s="27"/>
      <c r="AN17" s="63"/>
      <c r="AO17" s="54"/>
      <c r="AP17" s="25"/>
      <c r="AQ17" s="25"/>
      <c r="AR17" s="23"/>
    </row>
    <row r="18" spans="2:44" ht="13.5" customHeight="1" x14ac:dyDescent="0.15">
      <c r="B18" s="84">
        <v>0.83333333333333404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0000000000000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56</v>
      </c>
      <c r="I22" s="36">
        <v>57</v>
      </c>
      <c r="J22" s="36">
        <v>58</v>
      </c>
      <c r="K22" s="36">
        <v>59</v>
      </c>
      <c r="L22" s="78">
        <v>60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82</v>
      </c>
      <c r="AI22" s="49">
        <v>83</v>
      </c>
      <c r="AJ22" s="49">
        <v>84</v>
      </c>
      <c r="AK22" s="49">
        <v>85</v>
      </c>
      <c r="AL22" s="49">
        <v>86</v>
      </c>
      <c r="AM22" s="49">
        <v>87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/>
      <c r="D23" s="36"/>
      <c r="E23" s="36"/>
      <c r="F23" s="36"/>
      <c r="G23" s="36"/>
      <c r="H23" s="36"/>
      <c r="I23" s="31"/>
      <c r="J23" s="31"/>
      <c r="K23" s="31"/>
      <c r="L23" s="79"/>
      <c r="M23" s="51"/>
      <c r="N23" s="36"/>
      <c r="O23" s="36"/>
      <c r="P23" s="36"/>
      <c r="Q23" s="36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49"/>
      <c r="AJ23" s="49"/>
      <c r="AK23" s="49"/>
      <c r="AL23" s="49"/>
      <c r="AM23" s="49"/>
      <c r="AN23" s="24"/>
      <c r="AO23" s="59"/>
      <c r="AP23" s="54"/>
      <c r="AQ23" s="25"/>
      <c r="AR23" s="23"/>
    </row>
    <row r="24" spans="2:44" ht="13.5" customHeight="1" x14ac:dyDescent="0.15">
      <c r="B24" s="19">
        <v>0.41666666666666702</v>
      </c>
      <c r="C24" s="36"/>
      <c r="D24" s="31"/>
      <c r="E24" s="31"/>
      <c r="F24" s="31"/>
      <c r="G24" s="31"/>
      <c r="H24" s="31"/>
      <c r="I24" s="31"/>
      <c r="J24" s="31"/>
      <c r="K24" s="31"/>
      <c r="L24" s="79"/>
      <c r="M24" s="80"/>
      <c r="N24" s="31"/>
      <c r="O24" s="31"/>
      <c r="P24" s="31"/>
      <c r="Q24" s="31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49"/>
      <c r="AJ24" s="49"/>
      <c r="AK24" s="49"/>
      <c r="AL24" s="49"/>
      <c r="AM24" s="49"/>
      <c r="AN24" s="24"/>
      <c r="AO24" s="59"/>
      <c r="AP24" s="54"/>
      <c r="AQ24" s="25"/>
      <c r="AR24" s="23"/>
    </row>
    <row r="25" spans="2:44" ht="13.5" customHeight="1" x14ac:dyDescent="0.15">
      <c r="B25" s="19">
        <v>0.45833333333333298</v>
      </c>
      <c r="C25" s="36"/>
      <c r="D25" s="36"/>
      <c r="E25" s="36"/>
      <c r="F25" s="36"/>
      <c r="G25" s="36"/>
      <c r="H25" s="36"/>
      <c r="I25" s="36"/>
      <c r="J25" s="36"/>
      <c r="K25" s="36"/>
      <c r="L25" s="78"/>
      <c r="M25" s="51"/>
      <c r="N25" s="36"/>
      <c r="O25" s="36"/>
      <c r="P25" s="36"/>
      <c r="Q25" s="36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49"/>
      <c r="AJ25" s="49"/>
      <c r="AK25" s="49"/>
      <c r="AL25" s="49"/>
      <c r="AM25" s="49"/>
      <c r="AN25" s="24"/>
      <c r="AO25" s="59"/>
      <c r="AP25" s="54"/>
      <c r="AQ25" s="25"/>
      <c r="AR25" s="23"/>
    </row>
    <row r="26" spans="2:44" ht="13.5" customHeight="1" x14ac:dyDescent="0.15">
      <c r="B26" s="19">
        <v>0.5</v>
      </c>
      <c r="C26" s="36"/>
      <c r="D26" s="36"/>
      <c r="E26" s="36"/>
      <c r="F26" s="36"/>
      <c r="G26" s="36"/>
      <c r="H26" s="36"/>
      <c r="I26" s="31"/>
      <c r="J26" s="31"/>
      <c r="K26" s="31"/>
      <c r="L26" s="79"/>
      <c r="M26" s="51"/>
      <c r="N26" s="36"/>
      <c r="O26" s="36"/>
      <c r="P26" s="36"/>
      <c r="Q26" s="36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49"/>
      <c r="AJ26" s="49"/>
      <c r="AK26" s="49"/>
      <c r="AL26" s="49"/>
      <c r="AM26" s="49"/>
      <c r="AN26" s="24"/>
      <c r="AO26" s="59"/>
      <c r="AP26" s="54"/>
      <c r="AQ26" s="25"/>
      <c r="AR26" s="23"/>
    </row>
    <row r="27" spans="2:44" ht="13.5" customHeight="1" x14ac:dyDescent="0.15">
      <c r="B27" s="19">
        <v>0.54166666666666596</v>
      </c>
      <c r="C27" s="36"/>
      <c r="D27" s="31"/>
      <c r="E27" s="31"/>
      <c r="F27" s="31"/>
      <c r="G27" s="31"/>
      <c r="H27" s="31"/>
      <c r="I27" s="31"/>
      <c r="J27" s="31"/>
      <c r="K27" s="31"/>
      <c r="L27" s="79"/>
      <c r="M27" s="80"/>
      <c r="N27" s="31"/>
      <c r="O27" s="31"/>
      <c r="P27" s="31"/>
      <c r="Q27" s="31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49"/>
      <c r="AJ27" s="49"/>
      <c r="AK27" s="49"/>
      <c r="AL27" s="49"/>
      <c r="AM27" s="49"/>
      <c r="AN27" s="24"/>
      <c r="AO27" s="59"/>
      <c r="AP27" s="54"/>
      <c r="AQ27" s="25"/>
      <c r="AR27" s="23"/>
    </row>
    <row r="28" spans="2:44" ht="13.5" customHeight="1" x14ac:dyDescent="0.15">
      <c r="B28" s="19">
        <v>0.58333333333333304</v>
      </c>
      <c r="C28" s="36"/>
      <c r="D28" s="36"/>
      <c r="E28" s="36"/>
      <c r="F28" s="36"/>
      <c r="G28" s="36"/>
      <c r="H28" s="36"/>
      <c r="I28" s="36"/>
      <c r="J28" s="36"/>
      <c r="K28" s="36"/>
      <c r="L28" s="78"/>
      <c r="M28" s="51"/>
      <c r="N28" s="36"/>
      <c r="O28" s="36"/>
      <c r="P28" s="36"/>
      <c r="Q28" s="36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49"/>
      <c r="AJ28" s="49"/>
      <c r="AK28" s="49"/>
      <c r="AL28" s="49"/>
      <c r="AM28" s="49"/>
      <c r="AN28" s="24"/>
      <c r="AO28" s="59"/>
      <c r="AP28" s="54"/>
      <c r="AQ28" s="25"/>
      <c r="AR28" s="23"/>
    </row>
    <row r="29" spans="2:44" ht="13.5" customHeight="1" x14ac:dyDescent="0.15">
      <c r="B29" s="19">
        <v>0.625</v>
      </c>
      <c r="C29" s="36"/>
      <c r="D29" s="36"/>
      <c r="E29" s="36"/>
      <c r="F29" s="36"/>
      <c r="G29" s="36"/>
      <c r="H29" s="36"/>
      <c r="I29" s="31"/>
      <c r="J29" s="31"/>
      <c r="K29" s="31"/>
      <c r="L29" s="79"/>
      <c r="M29" s="51"/>
      <c r="N29" s="36"/>
      <c r="O29" s="36"/>
      <c r="P29" s="36"/>
      <c r="Q29" s="36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49"/>
      <c r="AJ29" s="49"/>
      <c r="AK29" s="49"/>
      <c r="AL29" s="49"/>
      <c r="AM29" s="49"/>
      <c r="AN29" s="24"/>
      <c r="AO29" s="59"/>
      <c r="AP29" s="54"/>
      <c r="AQ29" s="25"/>
      <c r="AR29" s="23"/>
    </row>
    <row r="30" spans="2:44" ht="13.5" customHeight="1" x14ac:dyDescent="0.15">
      <c r="B30" s="19">
        <v>0.66666666666666596</v>
      </c>
      <c r="C30" s="36"/>
      <c r="D30" s="31"/>
      <c r="E30" s="31"/>
      <c r="F30" s="31"/>
      <c r="G30" s="31"/>
      <c r="H30" s="31"/>
      <c r="I30" s="31"/>
      <c r="J30" s="31"/>
      <c r="K30" s="31"/>
      <c r="L30" s="79"/>
      <c r="M30" s="80"/>
      <c r="N30" s="31"/>
      <c r="O30" s="31"/>
      <c r="P30" s="31"/>
      <c r="Q30" s="31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49"/>
      <c r="AJ30" s="49"/>
      <c r="AK30" s="49"/>
      <c r="AL30" s="49"/>
      <c r="AM30" s="49"/>
      <c r="AN30" s="24"/>
      <c r="AO30" s="59"/>
      <c r="AP30" s="54"/>
      <c r="AQ30" s="25"/>
      <c r="AR30" s="23"/>
    </row>
    <row r="31" spans="2:44" ht="13.5" customHeight="1" x14ac:dyDescent="0.15">
      <c r="B31" s="19">
        <v>0.70833333333333304</v>
      </c>
      <c r="C31" s="36"/>
      <c r="D31" s="36"/>
      <c r="E31" s="36"/>
      <c r="F31" s="36"/>
      <c r="G31" s="36"/>
      <c r="H31" s="36"/>
      <c r="I31" s="36"/>
      <c r="J31" s="36"/>
      <c r="K31" s="36"/>
      <c r="L31" s="78"/>
      <c r="M31" s="51"/>
      <c r="N31" s="36"/>
      <c r="O31" s="36"/>
      <c r="P31" s="36"/>
      <c r="Q31" s="36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49"/>
      <c r="AJ31" s="49"/>
      <c r="AK31" s="49"/>
      <c r="AL31" s="49"/>
      <c r="AM31" s="49"/>
      <c r="AN31" s="24"/>
      <c r="AO31" s="59"/>
      <c r="AP31" s="54"/>
      <c r="AQ31" s="25"/>
      <c r="AR31" s="23"/>
    </row>
    <row r="32" spans="2:44" ht="13.5" customHeight="1" x14ac:dyDescent="0.15">
      <c r="B32" s="19">
        <v>0.75</v>
      </c>
      <c r="C32" s="36"/>
      <c r="D32" s="36"/>
      <c r="E32" s="36"/>
      <c r="F32" s="36"/>
      <c r="G32" s="36"/>
      <c r="H32" s="36"/>
      <c r="I32" s="31"/>
      <c r="J32" s="31"/>
      <c r="K32" s="31"/>
      <c r="L32" s="79"/>
      <c r="M32" s="51"/>
      <c r="N32" s="36"/>
      <c r="O32" s="36"/>
      <c r="P32" s="36"/>
      <c r="Q32" s="36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49"/>
      <c r="AJ32" s="49"/>
      <c r="AK32" s="49"/>
      <c r="AL32" s="49"/>
      <c r="AM32" s="49"/>
      <c r="AN32" s="24"/>
      <c r="AO32" s="59"/>
      <c r="AP32" s="54"/>
      <c r="AQ32" s="25"/>
      <c r="AR32" s="23"/>
    </row>
    <row r="33" spans="2:44" ht="13.5" customHeight="1" x14ac:dyDescent="0.15">
      <c r="B33" s="19">
        <v>0.79166666666666696</v>
      </c>
      <c r="C33" s="36"/>
      <c r="D33" s="31"/>
      <c r="E33" s="31"/>
      <c r="F33" s="31"/>
      <c r="G33" s="31"/>
      <c r="H33" s="31"/>
      <c r="I33" s="31"/>
      <c r="J33" s="31"/>
      <c r="K33" s="31"/>
      <c r="L33" s="79"/>
      <c r="M33" s="80"/>
      <c r="N33" s="31"/>
      <c r="O33" s="31"/>
      <c r="P33" s="31"/>
      <c r="Q33" s="31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49"/>
      <c r="AJ33" s="49"/>
      <c r="AK33" s="49"/>
      <c r="AL33" s="49"/>
      <c r="AM33" s="49"/>
      <c r="AN33" s="24"/>
      <c r="AO33" s="59"/>
      <c r="AP33" s="54"/>
      <c r="AQ33" s="25"/>
      <c r="AR33" s="23"/>
    </row>
    <row r="34" spans="2:44" ht="13.5" customHeight="1" x14ac:dyDescent="0.15">
      <c r="B34" s="20">
        <v>0.83333333333333304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0000000000000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131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137</v>
      </c>
      <c r="AN39" s="49">
        <v>138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4"/>
      <c r="V40" s="73"/>
      <c r="W40" s="66"/>
      <c r="X40" s="33"/>
      <c r="Y40" s="34"/>
      <c r="Z40" s="33"/>
      <c r="AA40" s="33"/>
      <c r="AB40" s="34"/>
      <c r="AC40" s="33"/>
      <c r="AD40" s="33"/>
      <c r="AE40" s="27"/>
      <c r="AF40" s="27"/>
      <c r="AG40" s="27"/>
      <c r="AH40" s="27"/>
      <c r="AI40" s="27"/>
      <c r="AJ40" s="27"/>
      <c r="AK40" s="27"/>
      <c r="AL40" s="63"/>
      <c r="AM40" s="47"/>
      <c r="AN40" s="49"/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4"/>
      <c r="V41" s="73"/>
      <c r="W41" s="66"/>
      <c r="X41" s="33"/>
      <c r="Y41" s="34"/>
      <c r="Z41" s="33"/>
      <c r="AA41" s="33"/>
      <c r="AB41" s="34"/>
      <c r="AC41" s="33"/>
      <c r="AD41" s="33"/>
      <c r="AE41" s="27"/>
      <c r="AF41" s="27"/>
      <c r="AG41" s="27"/>
      <c r="AH41" s="27"/>
      <c r="AI41" s="27"/>
      <c r="AJ41" s="27"/>
      <c r="AK41" s="27"/>
      <c r="AL41" s="63"/>
      <c r="AM41" s="47"/>
      <c r="AN41" s="49"/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4"/>
      <c r="V42" s="73"/>
      <c r="W42" s="66"/>
      <c r="X42" s="33"/>
      <c r="Y42" s="34"/>
      <c r="Z42" s="33"/>
      <c r="AA42" s="33"/>
      <c r="AB42" s="34"/>
      <c r="AC42" s="33"/>
      <c r="AD42" s="33"/>
      <c r="AE42" s="27"/>
      <c r="AF42" s="27"/>
      <c r="AG42" s="27"/>
      <c r="AH42" s="27"/>
      <c r="AI42" s="27"/>
      <c r="AJ42" s="27"/>
      <c r="AK42" s="27"/>
      <c r="AL42" s="63"/>
      <c r="AM42" s="47"/>
      <c r="AN42" s="49"/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4"/>
      <c r="V43" s="73"/>
      <c r="W43" s="66"/>
      <c r="X43" s="33"/>
      <c r="Y43" s="34"/>
      <c r="Z43" s="33"/>
      <c r="AA43" s="33"/>
      <c r="AB43" s="34"/>
      <c r="AC43" s="33"/>
      <c r="AD43" s="33"/>
      <c r="AE43" s="27"/>
      <c r="AF43" s="27"/>
      <c r="AG43" s="27"/>
      <c r="AH43" s="27"/>
      <c r="AI43" s="27"/>
      <c r="AJ43" s="27"/>
      <c r="AK43" s="27"/>
      <c r="AL43" s="63"/>
      <c r="AM43" s="47"/>
      <c r="AN43" s="49"/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4"/>
      <c r="V44" s="73"/>
      <c r="W44" s="66"/>
      <c r="X44" s="33"/>
      <c r="Y44" s="34"/>
      <c r="Z44" s="33"/>
      <c r="AA44" s="33"/>
      <c r="AB44" s="34"/>
      <c r="AC44" s="33"/>
      <c r="AD44" s="33"/>
      <c r="AE44" s="27"/>
      <c r="AF44" s="27"/>
      <c r="AG44" s="27"/>
      <c r="AH44" s="27"/>
      <c r="AI44" s="27"/>
      <c r="AJ44" s="27"/>
      <c r="AK44" s="27"/>
      <c r="AL44" s="63"/>
      <c r="AM44" s="47"/>
      <c r="AN44" s="49"/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4"/>
      <c r="V45" s="73"/>
      <c r="W45" s="66"/>
      <c r="X45" s="33"/>
      <c r="Y45" s="34"/>
      <c r="Z45" s="33"/>
      <c r="AA45" s="33"/>
      <c r="AB45" s="34"/>
      <c r="AC45" s="33"/>
      <c r="AD45" s="33"/>
      <c r="AE45" s="27"/>
      <c r="AF45" s="27"/>
      <c r="AG45" s="27"/>
      <c r="AH45" s="27"/>
      <c r="AI45" s="27"/>
      <c r="AJ45" s="27"/>
      <c r="AK45" s="27"/>
      <c r="AL45" s="63"/>
      <c r="AM45" s="47"/>
      <c r="AN45" s="49"/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4"/>
      <c r="V46" s="73"/>
      <c r="W46" s="66"/>
      <c r="X46" s="33"/>
      <c r="Y46" s="34"/>
      <c r="Z46" s="33"/>
      <c r="AA46" s="33"/>
      <c r="AB46" s="34"/>
      <c r="AC46" s="33"/>
      <c r="AD46" s="33"/>
      <c r="AE46" s="27"/>
      <c r="AF46" s="27"/>
      <c r="AG46" s="27"/>
      <c r="AH46" s="27"/>
      <c r="AI46" s="27"/>
      <c r="AJ46" s="27"/>
      <c r="AK46" s="27"/>
      <c r="AL46" s="63"/>
      <c r="AM46" s="47"/>
      <c r="AN46" s="49"/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4"/>
      <c r="V47" s="73"/>
      <c r="W47" s="66"/>
      <c r="X47" s="33"/>
      <c r="Y47" s="34"/>
      <c r="Z47" s="33"/>
      <c r="AA47" s="33"/>
      <c r="AB47" s="34"/>
      <c r="AC47" s="33"/>
      <c r="AD47" s="33"/>
      <c r="AE47" s="27"/>
      <c r="AF47" s="27"/>
      <c r="AG47" s="27"/>
      <c r="AH47" s="27"/>
      <c r="AI47" s="27"/>
      <c r="AJ47" s="27"/>
      <c r="AK47" s="27"/>
      <c r="AL47" s="63"/>
      <c r="AM47" s="47"/>
      <c r="AN47" s="49"/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4"/>
      <c r="V48" s="73"/>
      <c r="W48" s="66"/>
      <c r="X48" s="33"/>
      <c r="Y48" s="34"/>
      <c r="Z48" s="33"/>
      <c r="AA48" s="33"/>
      <c r="AB48" s="34"/>
      <c r="AC48" s="33"/>
      <c r="AD48" s="33"/>
      <c r="AE48" s="27"/>
      <c r="AF48" s="27"/>
      <c r="AG48" s="27"/>
      <c r="AH48" s="27"/>
      <c r="AI48" s="27"/>
      <c r="AJ48" s="27"/>
      <c r="AK48" s="27"/>
      <c r="AL48" s="63"/>
      <c r="AM48" s="47"/>
      <c r="AN48" s="49"/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4"/>
      <c r="V49" s="73"/>
      <c r="W49" s="66"/>
      <c r="X49" s="33"/>
      <c r="Y49" s="34"/>
      <c r="Z49" s="33"/>
      <c r="AA49" s="33"/>
      <c r="AB49" s="34"/>
      <c r="AC49" s="33"/>
      <c r="AD49" s="33"/>
      <c r="AE49" s="27"/>
      <c r="AF49" s="27"/>
      <c r="AG49" s="27"/>
      <c r="AH49" s="27"/>
      <c r="AI49" s="27"/>
      <c r="AJ49" s="27"/>
      <c r="AK49" s="27"/>
      <c r="AL49" s="63"/>
      <c r="AM49" s="47"/>
      <c r="AN49" s="49"/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/>
      <c r="D50" s="36"/>
      <c r="E50" s="36"/>
      <c r="F50" s="36"/>
      <c r="G50" s="36"/>
      <c r="H50" s="36"/>
      <c r="I50" s="36"/>
      <c r="J50" s="36"/>
      <c r="K50" s="31"/>
      <c r="L50" s="31"/>
      <c r="M50" s="31"/>
      <c r="N50" s="31"/>
      <c r="O50" s="36"/>
      <c r="P50" s="36"/>
      <c r="Q50" s="36"/>
      <c r="R50" s="36"/>
      <c r="S50" s="36"/>
      <c r="T50" s="36"/>
      <c r="U50" s="34"/>
      <c r="V50" s="73"/>
      <c r="W50" s="66"/>
      <c r="X50" s="33"/>
      <c r="Y50" s="34"/>
      <c r="Z50" s="33"/>
      <c r="AA50" s="33"/>
      <c r="AB50" s="34"/>
      <c r="AC50" s="33"/>
      <c r="AD50" s="33"/>
      <c r="AE50" s="27"/>
      <c r="AF50" s="27"/>
      <c r="AG50" s="27"/>
      <c r="AH50" s="27"/>
      <c r="AI50" s="27"/>
      <c r="AJ50" s="27"/>
      <c r="AK50" s="27"/>
      <c r="AL50" s="63"/>
      <c r="AM50" s="47"/>
      <c r="AN50" s="49"/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15">
      <c r="B52" s="226" t="s">
        <v>49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  <col min="16184" max="16384" width="9" style="29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  <col min="16170" max="16384" width="9" style="7"/>
  </cols>
  <sheetData>
    <row r="1" spans="2:47" ht="5.0999999999999996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0000000000000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0000000000000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/>
      <c r="D6" s="36"/>
      <c r="E6" s="36"/>
      <c r="F6" s="36"/>
      <c r="G6" s="36"/>
      <c r="H6" s="78"/>
      <c r="I6" s="5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89"/>
      <c r="Y6" s="89" t="s">
        <v>4</v>
      </c>
      <c r="Z6" s="36"/>
      <c r="AA6" s="36"/>
      <c r="AB6" s="1"/>
      <c r="AC6" s="1"/>
      <c r="AD6" s="1"/>
      <c r="AE6" s="15"/>
      <c r="AF6" s="15"/>
      <c r="AG6" s="15"/>
      <c r="AH6" s="15"/>
      <c r="AI6" s="15"/>
      <c r="AJ6" s="15"/>
      <c r="AK6" s="15"/>
      <c r="AL6" s="36"/>
      <c r="AM6" s="27"/>
      <c r="AN6" s="63"/>
      <c r="AO6" s="54"/>
      <c r="AP6" s="25"/>
      <c r="AQ6" s="25"/>
      <c r="AR6" s="23"/>
    </row>
    <row r="7" spans="2:47" ht="13.5" customHeight="1" x14ac:dyDescent="0.15">
      <c r="B7" s="38">
        <v>0.875</v>
      </c>
      <c r="C7" s="36"/>
      <c r="D7" s="36"/>
      <c r="E7" s="36"/>
      <c r="F7" s="36"/>
      <c r="G7" s="36"/>
      <c r="H7" s="78"/>
      <c r="I7" s="5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89"/>
      <c r="Y7" s="89" t="s">
        <v>84</v>
      </c>
      <c r="Z7" s="36"/>
      <c r="AA7" s="36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36"/>
      <c r="AM7" s="27"/>
      <c r="AN7" s="63"/>
      <c r="AO7" s="54"/>
      <c r="AP7" s="25"/>
      <c r="AQ7" s="25"/>
      <c r="AR7" s="23"/>
    </row>
    <row r="8" spans="2:47" ht="13.5" customHeight="1" x14ac:dyDescent="0.15">
      <c r="B8" s="83" t="s">
        <v>273</v>
      </c>
      <c r="C8" s="36"/>
      <c r="D8" s="36"/>
      <c r="E8" s="36"/>
      <c r="F8" s="36"/>
      <c r="G8" s="36"/>
      <c r="H8" s="78"/>
      <c r="I8" s="5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89"/>
      <c r="Y8" s="89" t="s">
        <v>84</v>
      </c>
      <c r="Z8" s="36"/>
      <c r="AA8" s="36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36"/>
      <c r="AM8" s="27"/>
      <c r="AN8" s="63"/>
      <c r="AO8" s="54"/>
      <c r="AP8" s="25"/>
      <c r="AQ8" s="25"/>
      <c r="AR8" s="23"/>
    </row>
    <row r="9" spans="2:47" ht="13.5" customHeight="1" x14ac:dyDescent="0.15">
      <c r="B9" s="38">
        <v>0.95833333333333337</v>
      </c>
      <c r="C9" s="36"/>
      <c r="D9" s="36"/>
      <c r="E9" s="36"/>
      <c r="F9" s="36"/>
      <c r="G9" s="36"/>
      <c r="H9" s="78"/>
      <c r="I9" s="5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89"/>
      <c r="Y9" s="89" t="s">
        <v>84</v>
      </c>
      <c r="Z9" s="36"/>
      <c r="AA9" s="36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36"/>
      <c r="AM9" s="27"/>
      <c r="AN9" s="63"/>
      <c r="AO9" s="54"/>
      <c r="AP9" s="25"/>
      <c r="AQ9" s="25"/>
      <c r="AR9" s="23"/>
    </row>
    <row r="10" spans="2:47" ht="13.5" customHeight="1" x14ac:dyDescent="0.15">
      <c r="B10" s="83" t="s">
        <v>274</v>
      </c>
      <c r="C10" s="36"/>
      <c r="D10" s="36"/>
      <c r="E10" s="36"/>
      <c r="F10" s="36"/>
      <c r="G10" s="36"/>
      <c r="H10" s="78"/>
      <c r="I10" s="5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89"/>
      <c r="Y10" s="89" t="s">
        <v>84</v>
      </c>
      <c r="Z10" s="36"/>
      <c r="AA10" s="36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36"/>
      <c r="AM10" s="27"/>
      <c r="AN10" s="63"/>
      <c r="AO10" s="54"/>
      <c r="AP10" s="25"/>
      <c r="AQ10" s="25"/>
      <c r="AR10" s="23"/>
    </row>
    <row r="11" spans="2:47" ht="13.5" customHeight="1" x14ac:dyDescent="0.15">
      <c r="B11" s="38">
        <v>4.1666666666666664E-2</v>
      </c>
      <c r="C11" s="36"/>
      <c r="D11" s="36"/>
      <c r="E11" s="36"/>
      <c r="F11" s="36"/>
      <c r="G11" s="36"/>
      <c r="H11" s="78"/>
      <c r="I11" s="5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89"/>
      <c r="Y11" s="89" t="s">
        <v>84</v>
      </c>
      <c r="Z11" s="36"/>
      <c r="AA11" s="36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36"/>
      <c r="AM11" s="27"/>
      <c r="AN11" s="63"/>
      <c r="AO11" s="54"/>
      <c r="AP11" s="25"/>
      <c r="AQ11" s="25"/>
      <c r="AR11" s="23"/>
    </row>
    <row r="12" spans="2:47" ht="13.5" customHeight="1" x14ac:dyDescent="0.15">
      <c r="B12" s="83" t="s">
        <v>275</v>
      </c>
      <c r="C12" s="36"/>
      <c r="D12" s="36"/>
      <c r="E12" s="36"/>
      <c r="F12" s="36"/>
      <c r="G12" s="36"/>
      <c r="H12" s="78"/>
      <c r="I12" s="5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89"/>
      <c r="Y12" s="89" t="s">
        <v>84</v>
      </c>
      <c r="Z12" s="36"/>
      <c r="AA12" s="36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36"/>
      <c r="AM12" s="27"/>
      <c r="AN12" s="63"/>
      <c r="AO12" s="54"/>
      <c r="AP12" s="25"/>
      <c r="AQ12" s="25"/>
      <c r="AR12" s="23"/>
    </row>
    <row r="13" spans="2:47" ht="13.5" customHeight="1" x14ac:dyDescent="0.15">
      <c r="B13" s="38">
        <v>0.125</v>
      </c>
      <c r="C13" s="36"/>
      <c r="D13" s="36"/>
      <c r="E13" s="36"/>
      <c r="F13" s="36"/>
      <c r="G13" s="36"/>
      <c r="H13" s="78"/>
      <c r="I13" s="5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89"/>
      <c r="Y13" s="89" t="s">
        <v>84</v>
      </c>
      <c r="Z13" s="36"/>
      <c r="AA13" s="36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36"/>
      <c r="AM13" s="27"/>
      <c r="AN13" s="63"/>
      <c r="AO13" s="54"/>
      <c r="AP13" s="25"/>
      <c r="AQ13" s="25"/>
      <c r="AR13" s="23"/>
    </row>
    <row r="14" spans="2:47" ht="13.5" customHeight="1" x14ac:dyDescent="0.15">
      <c r="B14" s="38">
        <v>0.16666666666666666</v>
      </c>
      <c r="C14" s="36"/>
      <c r="D14" s="36"/>
      <c r="E14" s="36"/>
      <c r="F14" s="36"/>
      <c r="G14" s="36"/>
      <c r="H14" s="78"/>
      <c r="I14" s="5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89"/>
      <c r="Y14" s="89" t="s">
        <v>84</v>
      </c>
      <c r="Z14" s="36"/>
      <c r="AA14" s="36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36"/>
      <c r="AM14" s="27"/>
      <c r="AN14" s="63"/>
      <c r="AO14" s="54"/>
      <c r="AP14" s="25"/>
      <c r="AQ14" s="25"/>
      <c r="AR14" s="23"/>
    </row>
    <row r="15" spans="2:47" ht="13.5" customHeight="1" x14ac:dyDescent="0.15">
      <c r="B15" s="38">
        <v>0.20833333333333334</v>
      </c>
      <c r="C15" s="36"/>
      <c r="D15" s="36"/>
      <c r="E15" s="36"/>
      <c r="F15" s="36"/>
      <c r="G15" s="36"/>
      <c r="H15" s="78"/>
      <c r="I15" s="5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89"/>
      <c r="Y15" s="89" t="s">
        <v>84</v>
      </c>
      <c r="Z15" s="36"/>
      <c r="AA15" s="36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36"/>
      <c r="AM15" s="27"/>
      <c r="AN15" s="63"/>
      <c r="AO15" s="54"/>
      <c r="AP15" s="25"/>
      <c r="AQ15" s="25"/>
      <c r="AR15" s="23"/>
    </row>
    <row r="16" spans="2:47" ht="13.5" customHeight="1" x14ac:dyDescent="0.15">
      <c r="B16" s="38">
        <v>0.25</v>
      </c>
      <c r="C16" s="36"/>
      <c r="D16" s="36"/>
      <c r="E16" s="36"/>
      <c r="F16" s="36"/>
      <c r="G16" s="36"/>
      <c r="H16" s="78"/>
      <c r="I16" s="5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89"/>
      <c r="Y16" s="89" t="s">
        <v>84</v>
      </c>
      <c r="Z16" s="36"/>
      <c r="AA16" s="36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36"/>
      <c r="AM16" s="27"/>
      <c r="AN16" s="63"/>
      <c r="AO16" s="54"/>
      <c r="AP16" s="25"/>
      <c r="AQ16" s="25"/>
      <c r="AR16" s="23"/>
    </row>
    <row r="17" spans="2:44" ht="13.5" customHeight="1" x14ac:dyDescent="0.15">
      <c r="B17" s="38">
        <v>0.29166666666666669</v>
      </c>
      <c r="C17" s="36"/>
      <c r="D17" s="36"/>
      <c r="E17" s="36"/>
      <c r="F17" s="36"/>
      <c r="G17" s="36"/>
      <c r="H17" s="78"/>
      <c r="I17" s="5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89"/>
      <c r="Y17" s="89" t="s">
        <v>84</v>
      </c>
      <c r="Z17" s="36"/>
      <c r="AA17" s="36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36"/>
      <c r="AM17" s="27"/>
      <c r="AN17" s="63"/>
      <c r="AO17" s="54"/>
      <c r="AP17" s="25"/>
      <c r="AQ17" s="25"/>
      <c r="AR17" s="23"/>
    </row>
    <row r="18" spans="2:44" ht="13.5" customHeight="1" x14ac:dyDescent="0.15">
      <c r="B18" s="84">
        <v>0.33333333333333331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0000000000000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/>
      <c r="D22" s="36"/>
      <c r="E22" s="36"/>
      <c r="F22" s="36"/>
      <c r="G22" s="36"/>
      <c r="H22" s="36"/>
      <c r="I22" s="36"/>
      <c r="J22" s="36"/>
      <c r="K22" s="36"/>
      <c r="L22" s="78"/>
      <c r="M22" s="51"/>
      <c r="N22" s="36"/>
      <c r="O22" s="36"/>
      <c r="P22" s="36"/>
      <c r="Q22" s="36"/>
      <c r="R22" s="1"/>
      <c r="S22" s="8"/>
      <c r="T22" s="9"/>
      <c r="U22" s="8"/>
      <c r="V22" s="9"/>
      <c r="W22" s="8"/>
      <c r="X22" s="9"/>
      <c r="Y22" s="9"/>
      <c r="Z22" s="8"/>
      <c r="AA22" s="9"/>
      <c r="AB22" s="9"/>
      <c r="AC22" s="24"/>
      <c r="AD22" s="24"/>
      <c r="AE22" s="24"/>
      <c r="AF22" s="24"/>
      <c r="AG22" s="24"/>
      <c r="AH22" s="24"/>
      <c r="AI22" s="49"/>
      <c r="AJ22" s="49"/>
      <c r="AK22" s="49"/>
      <c r="AL22" s="49"/>
      <c r="AM22" s="49"/>
      <c r="AN22" s="24"/>
      <c r="AO22" s="59"/>
      <c r="AP22" s="54"/>
      <c r="AQ22" s="25"/>
      <c r="AR22" s="23"/>
    </row>
    <row r="23" spans="2:44" ht="13.5" customHeight="1" x14ac:dyDescent="0.15">
      <c r="B23" s="38">
        <v>0.875</v>
      </c>
      <c r="C23" s="36"/>
      <c r="D23" s="36"/>
      <c r="E23" s="36"/>
      <c r="F23" s="36"/>
      <c r="G23" s="36"/>
      <c r="H23" s="36"/>
      <c r="I23" s="31"/>
      <c r="J23" s="31"/>
      <c r="K23" s="31"/>
      <c r="L23" s="79"/>
      <c r="M23" s="51"/>
      <c r="N23" s="36"/>
      <c r="O23" s="36"/>
      <c r="P23" s="36"/>
      <c r="Q23" s="36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49"/>
      <c r="AJ23" s="49"/>
      <c r="AK23" s="49"/>
      <c r="AL23" s="49"/>
      <c r="AM23" s="49"/>
      <c r="AN23" s="24"/>
      <c r="AO23" s="59"/>
      <c r="AP23" s="54"/>
      <c r="AQ23" s="25"/>
      <c r="AR23" s="23"/>
    </row>
    <row r="24" spans="2:44" ht="13.5" customHeight="1" x14ac:dyDescent="0.15">
      <c r="B24" s="83" t="s">
        <v>273</v>
      </c>
      <c r="C24" s="36"/>
      <c r="D24" s="31"/>
      <c r="E24" s="31"/>
      <c r="F24" s="31"/>
      <c r="G24" s="31"/>
      <c r="H24" s="31"/>
      <c r="I24" s="31"/>
      <c r="J24" s="31"/>
      <c r="K24" s="31"/>
      <c r="L24" s="79"/>
      <c r="M24" s="80"/>
      <c r="N24" s="31"/>
      <c r="O24" s="31"/>
      <c r="P24" s="31"/>
      <c r="Q24" s="31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49"/>
      <c r="AJ24" s="49"/>
      <c r="AK24" s="49"/>
      <c r="AL24" s="49"/>
      <c r="AM24" s="49"/>
      <c r="AN24" s="24"/>
      <c r="AO24" s="59"/>
      <c r="AP24" s="54"/>
      <c r="AQ24" s="25"/>
      <c r="AR24" s="23"/>
    </row>
    <row r="25" spans="2:44" ht="13.5" customHeight="1" x14ac:dyDescent="0.15">
      <c r="B25" s="38">
        <v>0.95833333333333337</v>
      </c>
      <c r="C25" s="36"/>
      <c r="D25" s="36"/>
      <c r="E25" s="36"/>
      <c r="F25" s="36"/>
      <c r="G25" s="36"/>
      <c r="H25" s="36"/>
      <c r="I25" s="36"/>
      <c r="J25" s="36"/>
      <c r="K25" s="36"/>
      <c r="L25" s="78"/>
      <c r="M25" s="51"/>
      <c r="N25" s="36"/>
      <c r="O25" s="36"/>
      <c r="P25" s="36"/>
      <c r="Q25" s="36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49"/>
      <c r="AJ25" s="49"/>
      <c r="AK25" s="49"/>
      <c r="AL25" s="49"/>
      <c r="AM25" s="49"/>
      <c r="AN25" s="24"/>
      <c r="AO25" s="59"/>
      <c r="AP25" s="54"/>
      <c r="AQ25" s="25"/>
      <c r="AR25" s="23"/>
    </row>
    <row r="26" spans="2:44" ht="13.5" customHeight="1" x14ac:dyDescent="0.15">
      <c r="B26" s="83" t="s">
        <v>274</v>
      </c>
      <c r="C26" s="36"/>
      <c r="D26" s="36"/>
      <c r="E26" s="36"/>
      <c r="F26" s="36"/>
      <c r="G26" s="36"/>
      <c r="H26" s="36"/>
      <c r="I26" s="31"/>
      <c r="J26" s="31"/>
      <c r="K26" s="31"/>
      <c r="L26" s="79"/>
      <c r="M26" s="51"/>
      <c r="N26" s="36"/>
      <c r="O26" s="36"/>
      <c r="P26" s="36"/>
      <c r="Q26" s="36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49"/>
      <c r="AJ26" s="49"/>
      <c r="AK26" s="49"/>
      <c r="AL26" s="49"/>
      <c r="AM26" s="49"/>
      <c r="AN26" s="24"/>
      <c r="AO26" s="59"/>
      <c r="AP26" s="54"/>
      <c r="AQ26" s="25"/>
      <c r="AR26" s="23"/>
    </row>
    <row r="27" spans="2:44" ht="13.5" customHeight="1" x14ac:dyDescent="0.15">
      <c r="B27" s="38">
        <v>4.1666666666666664E-2</v>
      </c>
      <c r="C27" s="36"/>
      <c r="D27" s="31"/>
      <c r="E27" s="31"/>
      <c r="F27" s="31"/>
      <c r="G27" s="31"/>
      <c r="H27" s="31"/>
      <c r="I27" s="31"/>
      <c r="J27" s="31"/>
      <c r="K27" s="31"/>
      <c r="L27" s="79"/>
      <c r="M27" s="80"/>
      <c r="N27" s="31"/>
      <c r="O27" s="31"/>
      <c r="P27" s="31"/>
      <c r="Q27" s="31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49"/>
      <c r="AJ27" s="49"/>
      <c r="AK27" s="49"/>
      <c r="AL27" s="49"/>
      <c r="AM27" s="49"/>
      <c r="AN27" s="24"/>
      <c r="AO27" s="59"/>
      <c r="AP27" s="54"/>
      <c r="AQ27" s="25"/>
      <c r="AR27" s="23"/>
    </row>
    <row r="28" spans="2:44" ht="13.5" customHeight="1" x14ac:dyDescent="0.15">
      <c r="B28" s="83" t="s">
        <v>275</v>
      </c>
      <c r="C28" s="36"/>
      <c r="D28" s="36"/>
      <c r="E28" s="36"/>
      <c r="F28" s="36"/>
      <c r="G28" s="36"/>
      <c r="H28" s="36"/>
      <c r="I28" s="36"/>
      <c r="J28" s="36"/>
      <c r="K28" s="36"/>
      <c r="L28" s="78"/>
      <c r="M28" s="51"/>
      <c r="N28" s="36"/>
      <c r="O28" s="36"/>
      <c r="P28" s="36"/>
      <c r="Q28" s="36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49"/>
      <c r="AJ28" s="49"/>
      <c r="AK28" s="49"/>
      <c r="AL28" s="49"/>
      <c r="AM28" s="49"/>
      <c r="AN28" s="24"/>
      <c r="AO28" s="59"/>
      <c r="AP28" s="54"/>
      <c r="AQ28" s="25"/>
      <c r="AR28" s="23"/>
    </row>
    <row r="29" spans="2:44" ht="13.5" customHeight="1" x14ac:dyDescent="0.15">
      <c r="B29" s="38">
        <v>0.125</v>
      </c>
      <c r="C29" s="36"/>
      <c r="D29" s="36"/>
      <c r="E29" s="36"/>
      <c r="F29" s="36"/>
      <c r="G29" s="36"/>
      <c r="H29" s="36"/>
      <c r="I29" s="31"/>
      <c r="J29" s="31"/>
      <c r="K29" s="31"/>
      <c r="L29" s="79"/>
      <c r="M29" s="51"/>
      <c r="N29" s="36"/>
      <c r="O29" s="36"/>
      <c r="P29" s="36"/>
      <c r="Q29" s="36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49"/>
      <c r="AJ29" s="49"/>
      <c r="AK29" s="49"/>
      <c r="AL29" s="49"/>
      <c r="AM29" s="49"/>
      <c r="AN29" s="24"/>
      <c r="AO29" s="59"/>
      <c r="AP29" s="54"/>
      <c r="AQ29" s="25"/>
      <c r="AR29" s="23"/>
    </row>
    <row r="30" spans="2:44" ht="13.5" customHeight="1" x14ac:dyDescent="0.15">
      <c r="B30" s="38">
        <v>0.16666666666666666</v>
      </c>
      <c r="C30" s="36"/>
      <c r="D30" s="31"/>
      <c r="E30" s="31"/>
      <c r="F30" s="31"/>
      <c r="G30" s="31"/>
      <c r="H30" s="31"/>
      <c r="I30" s="31"/>
      <c r="J30" s="31"/>
      <c r="K30" s="31"/>
      <c r="L30" s="79"/>
      <c r="M30" s="80"/>
      <c r="N30" s="31"/>
      <c r="O30" s="31"/>
      <c r="P30" s="31"/>
      <c r="Q30" s="31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49"/>
      <c r="AJ30" s="49"/>
      <c r="AK30" s="49"/>
      <c r="AL30" s="49"/>
      <c r="AM30" s="49"/>
      <c r="AN30" s="24"/>
      <c r="AO30" s="59"/>
      <c r="AP30" s="54"/>
      <c r="AQ30" s="25"/>
      <c r="AR30" s="23"/>
    </row>
    <row r="31" spans="2:44" ht="13.5" customHeight="1" x14ac:dyDescent="0.15">
      <c r="B31" s="38">
        <v>0.20833333333333334</v>
      </c>
      <c r="C31" s="36"/>
      <c r="D31" s="36"/>
      <c r="E31" s="36"/>
      <c r="F31" s="36"/>
      <c r="G31" s="36"/>
      <c r="H31" s="36"/>
      <c r="I31" s="36"/>
      <c r="J31" s="36"/>
      <c r="K31" s="36"/>
      <c r="L31" s="78"/>
      <c r="M31" s="51"/>
      <c r="N31" s="36"/>
      <c r="O31" s="36"/>
      <c r="P31" s="36"/>
      <c r="Q31" s="36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49"/>
      <c r="AJ31" s="49"/>
      <c r="AK31" s="49"/>
      <c r="AL31" s="49"/>
      <c r="AM31" s="49"/>
      <c r="AN31" s="24"/>
      <c r="AO31" s="59"/>
      <c r="AP31" s="54"/>
      <c r="AQ31" s="25"/>
      <c r="AR31" s="23"/>
    </row>
    <row r="32" spans="2:44" ht="13.5" customHeight="1" x14ac:dyDescent="0.15">
      <c r="B32" s="38">
        <v>0.25</v>
      </c>
      <c r="C32" s="36"/>
      <c r="D32" s="36"/>
      <c r="E32" s="36"/>
      <c r="F32" s="36"/>
      <c r="G32" s="36"/>
      <c r="H32" s="36"/>
      <c r="I32" s="31"/>
      <c r="J32" s="31"/>
      <c r="K32" s="31"/>
      <c r="L32" s="79"/>
      <c r="M32" s="51"/>
      <c r="N32" s="36"/>
      <c r="O32" s="36"/>
      <c r="P32" s="36"/>
      <c r="Q32" s="36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49"/>
      <c r="AJ32" s="49"/>
      <c r="AK32" s="49"/>
      <c r="AL32" s="49"/>
      <c r="AM32" s="49"/>
      <c r="AN32" s="24"/>
      <c r="AO32" s="59"/>
      <c r="AP32" s="54"/>
      <c r="AQ32" s="25"/>
      <c r="AR32" s="23"/>
    </row>
    <row r="33" spans="2:44" ht="13.5" customHeight="1" x14ac:dyDescent="0.15">
      <c r="B33" s="38">
        <v>0.29166666666666669</v>
      </c>
      <c r="C33" s="36"/>
      <c r="D33" s="31"/>
      <c r="E33" s="31"/>
      <c r="F33" s="31"/>
      <c r="G33" s="31"/>
      <c r="H33" s="31"/>
      <c r="I33" s="31"/>
      <c r="J33" s="31"/>
      <c r="K33" s="31"/>
      <c r="L33" s="79"/>
      <c r="M33" s="80"/>
      <c r="N33" s="31"/>
      <c r="O33" s="31"/>
      <c r="P33" s="31"/>
      <c r="Q33" s="31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49"/>
      <c r="AJ33" s="49"/>
      <c r="AK33" s="49"/>
      <c r="AL33" s="49"/>
      <c r="AM33" s="49"/>
      <c r="AN33" s="24"/>
      <c r="AO33" s="59"/>
      <c r="AP33" s="54"/>
      <c r="AQ33" s="25"/>
      <c r="AR33" s="23"/>
    </row>
    <row r="34" spans="2:44" ht="13.5" customHeight="1" x14ac:dyDescent="0.15">
      <c r="B34" s="84">
        <v>0.33333333333333331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0000000000000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/>
      <c r="D39" s="36"/>
      <c r="E39" s="36"/>
      <c r="F39" s="36"/>
      <c r="G39" s="36"/>
      <c r="H39" s="36"/>
      <c r="I39" s="36"/>
      <c r="J39" s="36"/>
      <c r="K39" s="31"/>
      <c r="L39" s="31"/>
      <c r="M39" s="31"/>
      <c r="N39" s="31"/>
      <c r="O39" s="36"/>
      <c r="P39" s="36"/>
      <c r="Q39" s="36"/>
      <c r="R39" s="36"/>
      <c r="S39" s="36"/>
      <c r="T39" s="36"/>
      <c r="U39" s="34"/>
      <c r="V39" s="73"/>
      <c r="W39" s="66"/>
      <c r="X39" s="33"/>
      <c r="Y39" s="34"/>
      <c r="Z39" s="33"/>
      <c r="AA39" s="33"/>
      <c r="AB39" s="34"/>
      <c r="AC39" s="33"/>
      <c r="AD39" s="33"/>
      <c r="AE39" s="27"/>
      <c r="AF39" s="27"/>
      <c r="AG39" s="27"/>
      <c r="AH39" s="27"/>
      <c r="AI39" s="27"/>
      <c r="AJ39" s="27"/>
      <c r="AK39" s="27"/>
      <c r="AL39" s="63"/>
      <c r="AM39" s="47"/>
      <c r="AN39" s="49"/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4"/>
      <c r="V40" s="73"/>
      <c r="W40" s="66"/>
      <c r="X40" s="33"/>
      <c r="Y40" s="34"/>
      <c r="Z40" s="33"/>
      <c r="AA40" s="33"/>
      <c r="AB40" s="34"/>
      <c r="AC40" s="33"/>
      <c r="AD40" s="33"/>
      <c r="AE40" s="27"/>
      <c r="AF40" s="27"/>
      <c r="AG40" s="27"/>
      <c r="AH40" s="27"/>
      <c r="AI40" s="27"/>
      <c r="AJ40" s="27"/>
      <c r="AK40" s="27"/>
      <c r="AL40" s="63"/>
      <c r="AM40" s="47"/>
      <c r="AN40" s="49"/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4"/>
      <c r="V41" s="73"/>
      <c r="W41" s="66"/>
      <c r="X41" s="33"/>
      <c r="Y41" s="34"/>
      <c r="Z41" s="33"/>
      <c r="AA41" s="33"/>
      <c r="AB41" s="34"/>
      <c r="AC41" s="33"/>
      <c r="AD41" s="33"/>
      <c r="AE41" s="27"/>
      <c r="AF41" s="27"/>
      <c r="AG41" s="27"/>
      <c r="AH41" s="27"/>
      <c r="AI41" s="27"/>
      <c r="AJ41" s="27"/>
      <c r="AK41" s="27"/>
      <c r="AL41" s="63"/>
      <c r="AM41" s="47"/>
      <c r="AN41" s="49"/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4"/>
      <c r="V42" s="73"/>
      <c r="W42" s="66"/>
      <c r="X42" s="33"/>
      <c r="Y42" s="34"/>
      <c r="Z42" s="33"/>
      <c r="AA42" s="33"/>
      <c r="AB42" s="34"/>
      <c r="AC42" s="33"/>
      <c r="AD42" s="33"/>
      <c r="AE42" s="27"/>
      <c r="AF42" s="27"/>
      <c r="AG42" s="27"/>
      <c r="AH42" s="27"/>
      <c r="AI42" s="27"/>
      <c r="AJ42" s="27"/>
      <c r="AK42" s="27"/>
      <c r="AL42" s="63"/>
      <c r="AM42" s="47"/>
      <c r="AN42" s="49"/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4"/>
      <c r="V43" s="73"/>
      <c r="W43" s="66"/>
      <c r="X43" s="33"/>
      <c r="Y43" s="34"/>
      <c r="Z43" s="33"/>
      <c r="AA43" s="33"/>
      <c r="AB43" s="34"/>
      <c r="AC43" s="33"/>
      <c r="AD43" s="33"/>
      <c r="AE43" s="27"/>
      <c r="AF43" s="27"/>
      <c r="AG43" s="27"/>
      <c r="AH43" s="27"/>
      <c r="AI43" s="27"/>
      <c r="AJ43" s="27"/>
      <c r="AK43" s="27"/>
      <c r="AL43" s="63"/>
      <c r="AM43" s="47"/>
      <c r="AN43" s="49"/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4"/>
      <c r="V44" s="73"/>
      <c r="W44" s="66"/>
      <c r="X44" s="33"/>
      <c r="Y44" s="34"/>
      <c r="Z44" s="33"/>
      <c r="AA44" s="33"/>
      <c r="AB44" s="34"/>
      <c r="AC44" s="33"/>
      <c r="AD44" s="33"/>
      <c r="AE44" s="27"/>
      <c r="AF44" s="27"/>
      <c r="AG44" s="27"/>
      <c r="AH44" s="27"/>
      <c r="AI44" s="27"/>
      <c r="AJ44" s="27"/>
      <c r="AK44" s="27"/>
      <c r="AL44" s="63"/>
      <c r="AM44" s="47"/>
      <c r="AN44" s="49"/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4"/>
      <c r="V45" s="73"/>
      <c r="W45" s="66"/>
      <c r="X45" s="33"/>
      <c r="Y45" s="34"/>
      <c r="Z45" s="33"/>
      <c r="AA45" s="33"/>
      <c r="AB45" s="34"/>
      <c r="AC45" s="33"/>
      <c r="AD45" s="33"/>
      <c r="AE45" s="27"/>
      <c r="AF45" s="27"/>
      <c r="AG45" s="27"/>
      <c r="AH45" s="27"/>
      <c r="AI45" s="27"/>
      <c r="AJ45" s="27"/>
      <c r="AK45" s="27"/>
      <c r="AL45" s="63"/>
      <c r="AM45" s="47"/>
      <c r="AN45" s="49"/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4"/>
      <c r="V46" s="73"/>
      <c r="W46" s="66"/>
      <c r="X46" s="33"/>
      <c r="Y46" s="34"/>
      <c r="Z46" s="33"/>
      <c r="AA46" s="33"/>
      <c r="AB46" s="34"/>
      <c r="AC46" s="33"/>
      <c r="AD46" s="33"/>
      <c r="AE46" s="27"/>
      <c r="AF46" s="27"/>
      <c r="AG46" s="27"/>
      <c r="AH46" s="27"/>
      <c r="AI46" s="27"/>
      <c r="AJ46" s="27"/>
      <c r="AK46" s="27"/>
      <c r="AL46" s="63"/>
      <c r="AM46" s="47"/>
      <c r="AN46" s="49"/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4"/>
      <c r="V47" s="73"/>
      <c r="W47" s="66"/>
      <c r="X47" s="33"/>
      <c r="Y47" s="34"/>
      <c r="Z47" s="33"/>
      <c r="AA47" s="33"/>
      <c r="AB47" s="34"/>
      <c r="AC47" s="33"/>
      <c r="AD47" s="33"/>
      <c r="AE47" s="27"/>
      <c r="AF47" s="27"/>
      <c r="AG47" s="27"/>
      <c r="AH47" s="27"/>
      <c r="AI47" s="27"/>
      <c r="AJ47" s="27"/>
      <c r="AK47" s="27"/>
      <c r="AL47" s="63"/>
      <c r="AM47" s="47"/>
      <c r="AN47" s="49"/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4"/>
      <c r="V48" s="73"/>
      <c r="W48" s="66"/>
      <c r="X48" s="33"/>
      <c r="Y48" s="34"/>
      <c r="Z48" s="33"/>
      <c r="AA48" s="33"/>
      <c r="AB48" s="34"/>
      <c r="AC48" s="33"/>
      <c r="AD48" s="33"/>
      <c r="AE48" s="27"/>
      <c r="AF48" s="27"/>
      <c r="AG48" s="27"/>
      <c r="AH48" s="27"/>
      <c r="AI48" s="27"/>
      <c r="AJ48" s="27"/>
      <c r="AK48" s="27"/>
      <c r="AL48" s="63"/>
      <c r="AM48" s="47"/>
      <c r="AN48" s="49"/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4"/>
      <c r="V49" s="73"/>
      <c r="W49" s="66"/>
      <c r="X49" s="33"/>
      <c r="Y49" s="34"/>
      <c r="Z49" s="33"/>
      <c r="AA49" s="33"/>
      <c r="AB49" s="34"/>
      <c r="AC49" s="33"/>
      <c r="AD49" s="33"/>
      <c r="AE49" s="27"/>
      <c r="AF49" s="27"/>
      <c r="AG49" s="27"/>
      <c r="AH49" s="27"/>
      <c r="AI49" s="27"/>
      <c r="AJ49" s="27"/>
      <c r="AK49" s="27"/>
      <c r="AL49" s="63"/>
      <c r="AM49" s="47"/>
      <c r="AN49" s="49"/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/>
      <c r="D50" s="36"/>
      <c r="E50" s="36"/>
      <c r="F50" s="36"/>
      <c r="G50" s="36"/>
      <c r="H50" s="36"/>
      <c r="I50" s="36"/>
      <c r="J50" s="36"/>
      <c r="K50" s="31"/>
      <c r="L50" s="31"/>
      <c r="M50" s="31"/>
      <c r="N50" s="31"/>
      <c r="O50" s="36"/>
      <c r="P50" s="36"/>
      <c r="Q50" s="36"/>
      <c r="R50" s="36"/>
      <c r="S50" s="36"/>
      <c r="T50" s="36"/>
      <c r="U50" s="34"/>
      <c r="V50" s="73"/>
      <c r="W50" s="66"/>
      <c r="X50" s="33"/>
      <c r="Y50" s="34"/>
      <c r="Z50" s="33"/>
      <c r="AA50" s="33"/>
      <c r="AB50" s="34"/>
      <c r="AC50" s="33"/>
      <c r="AD50" s="33"/>
      <c r="AE50" s="27"/>
      <c r="AF50" s="27"/>
      <c r="AG50" s="27"/>
      <c r="AH50" s="27"/>
      <c r="AI50" s="27"/>
      <c r="AJ50" s="27"/>
      <c r="AK50" s="27"/>
      <c r="AL50" s="63"/>
      <c r="AM50" s="47"/>
      <c r="AN50" s="49"/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15">
      <c r="B52" s="226" t="s">
        <v>49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  <col min="16184" max="16384" width="9" style="29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dimension ref="B1:AJ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  <col min="16161" max="16384" width="8.875" style="91"/>
  </cols>
  <sheetData>
    <row r="1" spans="2:36" ht="9.9499999999999993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0</v>
      </c>
      <c r="E7" s="124">
        <f>K7+V7</f>
        <v>0</v>
      </c>
      <c r="F7" s="124"/>
      <c r="G7" s="124"/>
      <c r="H7" s="124"/>
      <c r="I7" s="165"/>
      <c r="J7" s="164"/>
      <c r="K7" s="163"/>
      <c r="L7" s="163"/>
      <c r="M7" s="163"/>
      <c r="N7" s="163"/>
      <c r="O7" s="163"/>
      <c r="P7" s="163"/>
      <c r="Q7" s="163"/>
      <c r="R7" s="163"/>
      <c r="S7" s="162"/>
      <c r="T7" s="161"/>
      <c r="U7" s="160"/>
      <c r="V7" s="159"/>
      <c r="W7" s="120"/>
      <c r="X7" s="124"/>
      <c r="Y7" s="124"/>
      <c r="Z7" s="158" t="e">
        <f>U7/D7</f>
        <v>#DIV/0!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/>
      <c r="F12" s="150"/>
      <c r="G12" s="125"/>
      <c r="H12" s="124"/>
      <c r="I12" s="124"/>
      <c r="J12" s="149"/>
      <c r="K12" s="124"/>
      <c r="L12" s="124"/>
      <c r="M12" s="148"/>
      <c r="N12" s="147"/>
      <c r="O12" s="144"/>
      <c r="P12" s="146">
        <v>29.1</v>
      </c>
      <c r="Q12" s="127" t="s">
        <v>343</v>
      </c>
      <c r="R12" s="124"/>
      <c r="S12" s="124">
        <f>R12-33.1</f>
        <v>-33.1</v>
      </c>
      <c r="T12" s="129"/>
      <c r="U12" s="145" t="s">
        <v>342</v>
      </c>
      <c r="V12" s="142">
        <v>1.6</v>
      </c>
      <c r="W12" s="127">
        <v>17.600000000000001</v>
      </c>
      <c r="X12" s="124"/>
      <c r="Y12" s="124">
        <f>X12-W12</f>
        <v>-17.600000000000001</v>
      </c>
      <c r="Z12" s="124"/>
      <c r="AA12" s="127">
        <v>6.28</v>
      </c>
      <c r="AB12" s="124"/>
      <c r="AC12" s="124">
        <f>AB12-AA12</f>
        <v>-6.28</v>
      </c>
      <c r="AD12" s="144"/>
      <c r="AE12" s="143"/>
      <c r="AF12" s="142"/>
      <c r="AG12" s="128"/>
      <c r="AH12" s="129"/>
      <c r="AI12" s="128"/>
      <c r="AJ12" s="141"/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/>
      <c r="E17" s="131"/>
      <c r="F17" s="130" t="s">
        <v>301</v>
      </c>
      <c r="G17" s="129">
        <v>21</v>
      </c>
      <c r="H17" s="128">
        <f>G17-F17</f>
        <v>4</v>
      </c>
      <c r="I17" s="127"/>
      <c r="J17" s="124"/>
      <c r="K17" s="124">
        <v>93.5</v>
      </c>
      <c r="L17" s="124">
        <v>4.24</v>
      </c>
      <c r="M17" s="126">
        <f>K17+L17</f>
        <v>97.74</v>
      </c>
      <c r="N17" s="125">
        <v>20</v>
      </c>
      <c r="O17" s="124">
        <v>23</v>
      </c>
      <c r="P17" s="123">
        <f>O17-N17</f>
        <v>3</v>
      </c>
      <c r="Q17" s="120"/>
      <c r="R17" s="120"/>
      <c r="S17" s="120" t="s">
        <v>300</v>
      </c>
      <c r="T17" s="120" t="s">
        <v>299</v>
      </c>
      <c r="U17" s="122">
        <f>S17+T17</f>
        <v>97.45</v>
      </c>
      <c r="V17" s="121"/>
      <c r="W17" s="120"/>
      <c r="X17" s="120"/>
      <c r="Y17" s="120"/>
      <c r="Z17" s="120"/>
      <c r="AA17" s="120"/>
      <c r="AB17" s="120"/>
      <c r="AC17" s="120"/>
      <c r="AD17" s="120"/>
      <c r="AE17" s="119" t="e">
        <f>Z17/AB17</f>
        <v>#DIV/0!</v>
      </c>
      <c r="AF17" s="120"/>
      <c r="AG17" s="120"/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/>
      <c r="E22" s="180"/>
      <c r="F22" s="180">
        <f>D22-E22</f>
        <v>0</v>
      </c>
      <c r="G22" s="180"/>
      <c r="H22" s="180"/>
      <c r="I22" s="180">
        <f>G22-H22</f>
        <v>0</v>
      </c>
      <c r="J22" s="180"/>
      <c r="K22" s="180"/>
      <c r="L22" s="180">
        <f>J22-K22</f>
        <v>0</v>
      </c>
      <c r="M22" s="180"/>
      <c r="N22" s="180"/>
      <c r="O22" s="183" t="e">
        <f>N22/M22</f>
        <v>#DIV/0!</v>
      </c>
      <c r="P22" s="180"/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0</v>
      </c>
      <c r="E28" s="124">
        <f>K28+V28</f>
        <v>0</v>
      </c>
      <c r="F28" s="124"/>
      <c r="G28" s="124"/>
      <c r="H28" s="124"/>
      <c r="I28" s="165"/>
      <c r="J28" s="164"/>
      <c r="K28" s="163"/>
      <c r="L28" s="163"/>
      <c r="M28" s="163"/>
      <c r="N28" s="163"/>
      <c r="O28" s="163"/>
      <c r="P28" s="163"/>
      <c r="Q28" s="163"/>
      <c r="R28" s="163"/>
      <c r="S28" s="162"/>
      <c r="T28" s="161"/>
      <c r="U28" s="160"/>
      <c r="V28" s="159"/>
      <c r="W28" s="120"/>
      <c r="X28" s="124"/>
      <c r="Y28" s="124"/>
      <c r="Z28" s="158" t="e">
        <f>U28/D28</f>
        <v>#DIV/0!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/>
      <c r="F33" s="150"/>
      <c r="G33" s="125"/>
      <c r="H33" s="124"/>
      <c r="I33" s="124"/>
      <c r="J33" s="149"/>
      <c r="K33" s="124"/>
      <c r="L33" s="124"/>
      <c r="M33" s="148"/>
      <c r="N33" s="147"/>
      <c r="O33" s="144"/>
      <c r="P33" s="146">
        <v>29.1</v>
      </c>
      <c r="Q33" s="127" t="s">
        <v>343</v>
      </c>
      <c r="R33" s="124"/>
      <c r="S33" s="124">
        <f>R33-33.1</f>
        <v>-33.1</v>
      </c>
      <c r="T33" s="129"/>
      <c r="U33" s="145" t="s">
        <v>342</v>
      </c>
      <c r="V33" s="142">
        <v>1.6</v>
      </c>
      <c r="W33" s="127">
        <v>17.600000000000001</v>
      </c>
      <c r="X33" s="124"/>
      <c r="Y33" s="124">
        <f>X33-W33</f>
        <v>-17.600000000000001</v>
      </c>
      <c r="Z33" s="124"/>
      <c r="AA33" s="127">
        <v>6.28</v>
      </c>
      <c r="AB33" s="124"/>
      <c r="AC33" s="124">
        <f>AB33-AA33</f>
        <v>-6.28</v>
      </c>
      <c r="AD33" s="144"/>
      <c r="AE33" s="143"/>
      <c r="AF33" s="142"/>
      <c r="AG33" s="128"/>
      <c r="AH33" s="129"/>
      <c r="AI33" s="128"/>
      <c r="AJ33" s="141"/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/>
      <c r="E38" s="131"/>
      <c r="F38" s="130" t="s">
        <v>301</v>
      </c>
      <c r="G38" s="129">
        <v>21</v>
      </c>
      <c r="H38" s="128">
        <f>G38-F38</f>
        <v>4</v>
      </c>
      <c r="I38" s="127"/>
      <c r="J38" s="124"/>
      <c r="K38" s="124">
        <v>93.5</v>
      </c>
      <c r="L38" s="124">
        <v>4.24</v>
      </c>
      <c r="M38" s="126">
        <f>K38+L38</f>
        <v>97.74</v>
      </c>
      <c r="N38" s="125">
        <v>20</v>
      </c>
      <c r="O38" s="124">
        <v>23</v>
      </c>
      <c r="P38" s="123">
        <f>O38-N38</f>
        <v>3</v>
      </c>
      <c r="Q38" s="120"/>
      <c r="R38" s="120"/>
      <c r="S38" s="120" t="s">
        <v>300</v>
      </c>
      <c r="T38" s="120" t="s">
        <v>299</v>
      </c>
      <c r="U38" s="122">
        <f>S38+T38</f>
        <v>97.45</v>
      </c>
      <c r="V38" s="121"/>
      <c r="W38" s="120"/>
      <c r="X38" s="120"/>
      <c r="Y38" s="120"/>
      <c r="Z38" s="120"/>
      <c r="AA38" s="120"/>
      <c r="AB38" s="120"/>
      <c r="AC38" s="120"/>
      <c r="AD38" s="120"/>
      <c r="AE38" s="119" t="e">
        <f>Z38/AB38</f>
        <v>#DIV/0!</v>
      </c>
      <c r="AF38" s="120"/>
      <c r="AG38" s="120"/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/>
      <c r="E43" s="96"/>
      <c r="F43" s="96">
        <f>D43-E43</f>
        <v>0</v>
      </c>
      <c r="G43" s="96"/>
      <c r="H43" s="96"/>
      <c r="I43" s="96">
        <f>G43-H43</f>
        <v>0</v>
      </c>
      <c r="J43" s="96"/>
      <c r="K43" s="96"/>
      <c r="L43" s="96">
        <f>J43-K43</f>
        <v>0</v>
      </c>
      <c r="M43" s="96"/>
      <c r="N43" s="96"/>
      <c r="O43" s="99" t="e">
        <f>N43/M43</f>
        <v>#DIV/0!</v>
      </c>
      <c r="P43" s="96"/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T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  <col min="22" max="16384" width="9" style="369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0000000000003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/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/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/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0000000000003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/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/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/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/>
      <c r="C22" s="413"/>
      <c r="D22" s="412"/>
      <c r="E22" s="413"/>
      <c r="F22" s="412"/>
      <c r="G22" s="413"/>
      <c r="H22" s="412"/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2026-03-17T06:05:43Z</dcterms:modified>
</cp:coreProperties>
</file>