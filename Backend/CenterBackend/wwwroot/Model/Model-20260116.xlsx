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19247C59-39DE-4CFE-8171-E6191672F4B9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白班曲线!$A$1:$BE$69</definedName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B66" i="10" l="1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00B7D195-E3F4-43BF-93B8-E4692770B2E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AB2B3EFA-DEEB-4F35-A2B2-DA3F273697A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<sst xmlns="http://schemas.openxmlformats.org/spreadsheetml/2006/main" count="875" uniqueCount="369">
  <si>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</si>
  <si>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</si>
  <si>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</si>
  <si>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</si>
  <si>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</si>
  <si>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</si>
  <si>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</si>
  <si>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</si>
  <si>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</si>
  <si>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</si>
  <si>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</si>
  <si>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</si>
  <si>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</si>
  <si>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</si>
  <si>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</si>
  <si>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</si>
  <si>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</si>
  <si>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</si>
  <si>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</si>
  <si>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</si>
  <si>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</si>
  <si>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</si>
  <si>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</si>
  <si>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</si>
  <si>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</si>
  <si>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</si>
  <si>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</si>
  <si>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</si>
  <si>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</si>
  <si>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</si>
  <si>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</si>
  <si>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</si>
  <si>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</si>
  <si>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</si>
  <si>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</si>
  <si>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</si>
  <si>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</si>
  <si>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</si>
  <si>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</si>
  <si>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</si>
  <si>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</si>
  <si>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</si>
  <si>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</si>
  <si>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</si>
  <si>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</si>
  <si>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</si>
  <si>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</si>
  <si>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</si>
  <si>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</si>
  <si>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</si>
  <si>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</si>
  <si>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</si>
  <si>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</si>
  <si>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</si>
  <si>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</si>
  <si>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</si>
  <si>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</si>
  <si>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</si>
  <si>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</si>
  <si>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</si>
  <si>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</si>
  <si>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</si>
  <si>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</si>
  <si>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</si>
  <si>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</si>
  <si>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</si>
  <si>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</si>
  <si>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</si>
  <si>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</si>
  <si>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</si>
  <si>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</si>
  <si>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</si>
  <si>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</si>
  <si>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</si>
  <si>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</si>
  <si>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</si>
  <si>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</si>
  <si>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</si>
  <si>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</si>
  <si>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</si>
  <si>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</si>
  <si>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</si>
  <si>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</si>
  <si>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</si>
  <si>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</si>
  <si>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</si>
  <si>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</si>
  <si>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</si>
  <si>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</si>
  <si>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</si>
  <si>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</si>
  <si>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</si>
  <si>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</si>
  <si>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</si>
  <si>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</si>
  <si>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</si>
  <si>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</si>
  <si>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</si>
  <si>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</si>
  <si>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</si>
  <si>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</si>
  <si>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</si>
  <si>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</si>
  <si>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</si>
  <si>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</si>
  <si>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</si>
  <si>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</si>
  <si>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</si>
  <si>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</si>
  <si>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</si>
  <si>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</si>
  <si>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</si>
  <si>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</si>
  <si>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</si>
  <si>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</si>
  <si>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</si>
  <si>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</si>
  <si>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</si>
  <si>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</si>
  <si>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</si>
  <si>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</si>
  <si>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</si>
  <si>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</si>
  <si>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</si>
  <si>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</si>
  <si>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</si>
  <si>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</si>
  <si>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</si>
  <si>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</si>
  <si>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</si>
  <si>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</si>
  <si>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</si>
  <si>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</si>
  <si>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</si>
  <si>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</si>
  <si>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</si>
  <si>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</si>
  <si>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</si>
  <si>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</si>
  <si>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</si>
  <si>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</si>
  <si>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</si>
  <si>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</si>
  <si>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</si>
  <si>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</si>
  <si>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</si>
  <si>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</si>
  <si>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</si>
  <si>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</si>
  <si>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</si>
  <si>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</si>
  <si>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</si>
  <si>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</si>
  <si>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</si>
  <si>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</si>
  <si>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</si>
  <si>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</si>
  <si>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</si>
  <si>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</si>
  <si>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</si>
  <si>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</si>
  <si>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</si>
  <si>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</si>
  <si>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</si>
  <si>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</si>
  <si>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</si>
  <si>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</si>
  <si>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</si>
  <si>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</si>
  <si>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</si>
  <si>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</si>
  <si>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</si>
  <si>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</si>
  <si>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</si>
  <si>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</si>
  <si>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</si>
  <si>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</si>
  <si>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</si>
  <si>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</si>
  <si>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</si>
  <si>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</si>
  <si>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</si>
  <si>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</si>
  <si>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</si>
  <si>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</si>
  <si>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</si>
  <si>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</si>
  <si>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</si>
  <si>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</si>
  <si>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</si>
  <si>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</si>
  <si>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</si>
  <si>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</si>
  <si>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</si>
  <si>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</si>
  <si>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</si>
  <si>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</si>
  <si>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</si>
  <si>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</si>
  <si>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</si>
  <si>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</si>
  <si>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</si>
  <si>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</si>
  <si>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</si>
  <si>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</si>
  <si>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</si>
  <si>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</si>
  <si>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</si>
  <si>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</si>
  <si>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</si>
  <si>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</si>
  <si>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</si>
  <si>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</si>
  <si>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</si>
  <si>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</si>
  <si>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</si>
  <si>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</si>
  <si>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</si>
  <si>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</si>
  <si>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</si>
  <si>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</si>
  <si>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</si>
  <si>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</si>
  <si>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</si>
  <si>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</si>
  <si>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</si>
  <si>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</si>
  <si>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</si>
  <si>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</si>
  <si>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</si>
  <si>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</si>
  <si>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</si>
  <si>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</si>
  <si>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</si>
  <si>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</si>
  <si>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</si>
  <si>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</si>
  <si>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</si>
  <si>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</si>
  <si>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</si>
  <si>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</si>
  <si>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</si>
  <si>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</si>
  <si>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</si>
  <si>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</si>
  <si>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</si>
  <si>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</si>
  <si>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</si>
  <si>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</si>
  <si>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</si>
  <si>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</si>
  <si>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</si>
  <si>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</si>
  <si>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</si>
  <si>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</si>
  <si>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</si>
  <si>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</si>
  <si>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</si>
  <si>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</si>
  <si>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</si>
  <si>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</si>
  <si>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</si>
  <si>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</si>
  <si>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</si>
  <si>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</si>
  <si>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</si>
  <si>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</si>
  <si>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</si>
  <si>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</si>
  <si>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</si>
  <si>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</si>
  <si>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</si>
  <si>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</si>
  <si>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</si>
  <si>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</si>
  <si>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</si>
  <si>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</si>
  <si>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</si>
  <si>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</si>
  <si>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</si>
  <si>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</si>
  <si>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</si>
  <si>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</si>
  <si>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</si>
  <si>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</si>
  <si>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</si>
  <si>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</si>
  <si>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</si>
  <si>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</si>
  <si>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</si>
  <si>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</si>
  <si>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</si>
  <si>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</si>
  <si>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215±5</t>
  </si>
  <si>
    <t>硫酸消耗</t>
    <phoneticPr fontId="1" type="noConversion"/>
  </si>
  <si>
    <t>200±10</t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</si>
  <si>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</si>
  <si>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</si>
  <si>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</si>
  <si>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</si>
  <si>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</si>
  <si>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</si>
  <si>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</si>
  <si>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</si>
  <si>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</si>
  <si>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</si>
  <si>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</si>
  <si>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</si>
  <si>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</si>
  <si>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</si>
  <si>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</si>
  <si>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</si>
  <si>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145±2</t>
  </si>
  <si>
    <t>管反热点温度</t>
  </si>
  <si>
    <t>168±2</t>
  </si>
  <si>
    <t>结晶单元</t>
    <phoneticPr fontId="1" type="noConversion"/>
  </si>
  <si>
    <t>预冷器结晶温度</t>
  </si>
  <si>
    <t>≤45</t>
    <phoneticPr fontId="1" type="noConversion"/>
  </si>
  <si>
    <t>一次结晶温度</t>
  </si>
  <si>
    <t>≤20</t>
    <phoneticPr fontId="1" type="noConversion"/>
  </si>
  <si>
    <t>降膜蒸发温度</t>
  </si>
  <si>
    <t>48±2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</si>
  <si>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</si>
  <si>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</si>
  <si>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</si>
  <si>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</si>
  <si>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</si>
  <si>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</si>
  <si>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</si>
  <si>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</si>
  <si>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</si>
  <si>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</si>
  <si>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</si>
  <si>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</si>
  <si>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</si>
  <si>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</si>
  <si>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</si>
  <si>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</si>
  <si>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</si>
  <si>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</si>
  <si>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</si>
  <si>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</si>
  <si>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</si>
  <si>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</si>
  <si>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</si>
  <si>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</si>
  <si>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</si>
  <si>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</si>
  <si>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</si>
  <si>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</si>
  <si>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</si>
  <si>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</si>
  <si>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</si>
  <si>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</si>
  <si>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</si>
  <si>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</si>
  <si>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</si>
  <si>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</si>
  <si>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</si>
  <si>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</si>
  <si>
    <t>羟基单耗</t>
    <phoneticPr fontId="1" type="noConversion"/>
  </si>
  <si>
    <t>曲线03： 液氨流量（FT-05112）</t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</si>
  <si>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AT-06149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</si>
  <si>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曲线31： 低蒸结晶器进料流量（</t>
    </r>
    <r>
      <rPr>
        <sz val="6"/>
        <rFont val="Times New Roman"/>
        <family val="1"/>
      </rPr>
      <t>FT-07111</t>
    </r>
    <r>
      <rPr>
        <sz val="6"/>
        <rFont val="宋体"/>
        <family val="1"/>
        <charset val="134"/>
      </rPr>
      <t>）</t>
    </r>
    <phoneticPr fontId="1" type="noConversion"/>
  </si>
  <si>
    <t>AT-07137</t>
    <phoneticPr fontId="1" type="noConversion"/>
  </si>
  <si>
    <t>TT-08125</t>
  </si>
  <si>
    <t>TT-08126</t>
  </si>
  <si>
    <t>TT-08135</t>
  </si>
  <si>
    <t>TT-08136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</si>
</sst>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90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Border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Border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Border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Border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.5"/>
          <c:min val="1.1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35000000000000003"/>
          <c:min val="0.28000000000000003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53500000000000003"/>
          <c:min val="0.52500000000000002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76000000000000012"/>
          <c:min val="0.70000000000000007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13" Type="http://schemas.openxmlformats.org/officeDocument/2006/relationships/chart" Target="../charts/chart53.xml"/><Relationship Id="rId18" Type="http://schemas.openxmlformats.org/officeDocument/2006/relationships/chart" Target="../charts/chart58.xml"/><Relationship Id="rId26" Type="http://schemas.openxmlformats.org/officeDocument/2006/relationships/chart" Target="../charts/chart66.xml"/><Relationship Id="rId39" Type="http://schemas.openxmlformats.org/officeDocument/2006/relationships/chart" Target="../charts/chart79.xml"/><Relationship Id="rId3" Type="http://schemas.openxmlformats.org/officeDocument/2006/relationships/chart" Target="../charts/chart43.xml"/><Relationship Id="rId21" Type="http://schemas.openxmlformats.org/officeDocument/2006/relationships/chart" Target="../charts/chart61.xml"/><Relationship Id="rId34" Type="http://schemas.openxmlformats.org/officeDocument/2006/relationships/chart" Target="../charts/chart74.xml"/><Relationship Id="rId7" Type="http://schemas.openxmlformats.org/officeDocument/2006/relationships/chart" Target="../charts/chart47.xml"/><Relationship Id="rId12" Type="http://schemas.openxmlformats.org/officeDocument/2006/relationships/chart" Target="../charts/chart52.xml"/><Relationship Id="rId17" Type="http://schemas.openxmlformats.org/officeDocument/2006/relationships/chart" Target="../charts/chart57.xml"/><Relationship Id="rId25" Type="http://schemas.openxmlformats.org/officeDocument/2006/relationships/chart" Target="../charts/chart65.xml"/><Relationship Id="rId33" Type="http://schemas.openxmlformats.org/officeDocument/2006/relationships/chart" Target="../charts/chart73.xml"/><Relationship Id="rId38" Type="http://schemas.openxmlformats.org/officeDocument/2006/relationships/chart" Target="../charts/chart78.xml"/><Relationship Id="rId2" Type="http://schemas.openxmlformats.org/officeDocument/2006/relationships/chart" Target="../charts/chart42.xml"/><Relationship Id="rId16" Type="http://schemas.openxmlformats.org/officeDocument/2006/relationships/chart" Target="../charts/chart56.xml"/><Relationship Id="rId20" Type="http://schemas.openxmlformats.org/officeDocument/2006/relationships/chart" Target="../charts/chart60.xml"/><Relationship Id="rId29" Type="http://schemas.openxmlformats.org/officeDocument/2006/relationships/chart" Target="../charts/chart69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11" Type="http://schemas.openxmlformats.org/officeDocument/2006/relationships/chart" Target="../charts/chart51.xml"/><Relationship Id="rId24" Type="http://schemas.openxmlformats.org/officeDocument/2006/relationships/chart" Target="../charts/chart64.xml"/><Relationship Id="rId32" Type="http://schemas.openxmlformats.org/officeDocument/2006/relationships/chart" Target="../charts/chart72.xml"/><Relationship Id="rId37" Type="http://schemas.openxmlformats.org/officeDocument/2006/relationships/chart" Target="../charts/chart77.xml"/><Relationship Id="rId40" Type="http://schemas.openxmlformats.org/officeDocument/2006/relationships/chart" Target="../charts/chart80.xml"/><Relationship Id="rId5" Type="http://schemas.openxmlformats.org/officeDocument/2006/relationships/chart" Target="../charts/chart45.xml"/><Relationship Id="rId15" Type="http://schemas.openxmlformats.org/officeDocument/2006/relationships/chart" Target="../charts/chart55.xml"/><Relationship Id="rId23" Type="http://schemas.openxmlformats.org/officeDocument/2006/relationships/chart" Target="../charts/chart63.xml"/><Relationship Id="rId28" Type="http://schemas.openxmlformats.org/officeDocument/2006/relationships/chart" Target="../charts/chart68.xml"/><Relationship Id="rId36" Type="http://schemas.openxmlformats.org/officeDocument/2006/relationships/chart" Target="../charts/chart76.xml"/><Relationship Id="rId10" Type="http://schemas.openxmlformats.org/officeDocument/2006/relationships/chart" Target="../charts/chart50.xml"/><Relationship Id="rId19" Type="http://schemas.openxmlformats.org/officeDocument/2006/relationships/chart" Target="../charts/chart59.xml"/><Relationship Id="rId31" Type="http://schemas.openxmlformats.org/officeDocument/2006/relationships/chart" Target="../charts/chart71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Relationship Id="rId14" Type="http://schemas.openxmlformats.org/officeDocument/2006/relationships/chart" Target="../charts/chart54.xml"/><Relationship Id="rId22" Type="http://schemas.openxmlformats.org/officeDocument/2006/relationships/chart" Target="../charts/chart62.xml"/><Relationship Id="rId27" Type="http://schemas.openxmlformats.org/officeDocument/2006/relationships/chart" Target="../charts/chart67.xml"/><Relationship Id="rId30" Type="http://schemas.openxmlformats.org/officeDocument/2006/relationships/chart" Target="../charts/chart70.xml"/><Relationship Id="rId35" Type="http://schemas.openxmlformats.org/officeDocument/2006/relationships/chart" Target="../charts/chart7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="85" zoomScaleNormal="85" workbookViewId="0">
      <selection activeCell="A52" sqref="A52:AR54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  <col min="16170" max="16384" width="9" style="1"/>
  </cols>
  <sheetData>
    <row r="1" spans="2:47" ht="5.15" customHeight="1" x14ac:dyDescent="0.25"/>
    <row r="2" spans="2:47" ht="17.5" customHeight="1" thickBot="1" x14ac:dyDescent="0.3">
      <c r="B2" s="131" t="s">
        <v>220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49999999999999" customHeight="1" x14ac:dyDescent="0.25">
      <c r="B3" s="135" t="s">
        <v>175</v>
      </c>
      <c r="C3" s="141" t="s">
        <v>157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156</v>
      </c>
      <c r="I4" s="137" t="s">
        <v>56</v>
      </c>
      <c r="J4" s="137"/>
      <c r="K4" s="72" t="s">
        <v>6</v>
      </c>
      <c r="L4" s="72" t="s">
        <v>60</v>
      </c>
      <c r="M4" s="72" t="s">
        <v>158</v>
      </c>
      <c r="N4" s="72" t="s">
        <v>159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151</v>
      </c>
      <c r="Y4" s="72" t="s">
        <v>152</v>
      </c>
      <c r="Z4" s="72" t="s">
        <v>1</v>
      </c>
      <c r="AA4" s="72" t="s">
        <v>12</v>
      </c>
      <c r="AB4" s="72" t="s">
        <v>153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160</v>
      </c>
      <c r="AJ4" s="73" t="s">
        <v>161</v>
      </c>
      <c r="AK4" s="76" t="s">
        <v>109</v>
      </c>
      <c r="AL4" s="137" t="s">
        <v>104</v>
      </c>
      <c r="AM4" s="129"/>
      <c r="AN4" s="71" t="s">
        <v>105</v>
      </c>
      <c r="AO4" s="72" t="s">
        <v>12</v>
      </c>
      <c r="AP4" s="72" t="s">
        <v>1</v>
      </c>
      <c r="AQ4" s="129" t="s">
        <v>155</v>
      </c>
      <c r="AR4" s="139"/>
      <c r="AU4" s="3"/>
    </row>
    <row r="5" spans="2:47" ht="20.149999999999999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95</v>
      </c>
      <c r="V5" s="72" t="s">
        <v>278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103</v>
      </c>
      <c r="AN5" s="71" t="s">
        <v>106</v>
      </c>
      <c r="AO5" s="72" t="s">
        <v>90</v>
      </c>
      <c r="AP5" s="72" t="s">
        <v>91</v>
      </c>
      <c r="AQ5" s="72" t="s">
        <v>92</v>
      </c>
      <c r="AR5" s="119" t="s">
        <v>154</v>
      </c>
    </row>
    <row r="6" spans="2:47" ht="13.5" customHeight="1" x14ac:dyDescent="0.25">
      <c r="B6" s="120" t="s">
        <v>5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0.375</v>
      </c>
      <c r="C7" s="20"/>
      <c r="D7" s="62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1">
        <v>0.41666666666666669</v>
      </c>
      <c r="C8" s="20"/>
      <c r="D8" s="62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0.45833333333333298</v>
      </c>
      <c r="C9" s="20"/>
      <c r="D9" s="62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1">
        <v>0.5</v>
      </c>
      <c r="C10" s="20"/>
      <c r="D10" s="62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0.54166666666666696</v>
      </c>
      <c r="C11" s="20"/>
      <c r="D11" s="62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1">
        <v>0.58333333333333304</v>
      </c>
      <c r="C12" s="20"/>
      <c r="D12" s="62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0.625</v>
      </c>
      <c r="C13" s="20"/>
      <c r="D13" s="62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0.66666666666666696</v>
      </c>
      <c r="C14" s="20"/>
      <c r="D14" s="62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0.70833333333333304</v>
      </c>
      <c r="C15" s="20"/>
      <c r="D15" s="62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0.75</v>
      </c>
      <c r="C16" s="20"/>
      <c r="D16" s="62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0.79166666666666696</v>
      </c>
      <c r="C17" s="20"/>
      <c r="D17" s="62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0.83333333333333404</v>
      </c>
      <c r="C18" s="23"/>
      <c r="D18" s="62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43" t="s">
        <v>175</v>
      </c>
      <c r="C19" s="80" t="s">
        <v>162</v>
      </c>
      <c r="D19" s="72" t="s">
        <v>165</v>
      </c>
      <c r="E19" s="124" t="s">
        <v>17</v>
      </c>
      <c r="F19" s="129"/>
      <c r="G19" s="129"/>
      <c r="H19" s="128" t="s">
        <v>102</v>
      </c>
      <c r="I19" s="129"/>
      <c r="J19" s="129"/>
      <c r="K19" s="129"/>
      <c r="L19" s="129"/>
      <c r="M19" s="128" t="s">
        <v>117</v>
      </c>
      <c r="N19" s="129"/>
      <c r="O19" s="129"/>
      <c r="P19" s="129"/>
      <c r="Q19" s="129"/>
      <c r="R19" s="128" t="s">
        <v>141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167</v>
      </c>
      <c r="AJ19" s="168"/>
      <c r="AK19" s="168"/>
      <c r="AL19" s="168"/>
      <c r="AM19" s="168"/>
      <c r="AN19" s="129" t="s">
        <v>42</v>
      </c>
      <c r="AO19" s="130"/>
      <c r="AP19" s="129" t="s">
        <v>174</v>
      </c>
      <c r="AQ19" s="130"/>
      <c r="AR19" s="162"/>
    </row>
    <row r="20" spans="2:44" ht="20.149999999999999" customHeight="1" x14ac:dyDescent="0.25">
      <c r="B20" s="136"/>
      <c r="C20" s="80" t="s">
        <v>163</v>
      </c>
      <c r="D20" s="72" t="s">
        <v>107</v>
      </c>
      <c r="E20" s="72" t="s">
        <v>15</v>
      </c>
      <c r="F20" s="128" t="s">
        <v>94</v>
      </c>
      <c r="G20" s="129"/>
      <c r="H20" s="86" t="s">
        <v>97</v>
      </c>
      <c r="I20" s="86" t="s">
        <v>99</v>
      </c>
      <c r="J20" s="83" t="s">
        <v>100</v>
      </c>
      <c r="K20" s="77" t="s">
        <v>101</v>
      </c>
      <c r="L20" s="86" t="s">
        <v>109</v>
      </c>
      <c r="M20" s="86" t="s">
        <v>110</v>
      </c>
      <c r="N20" s="86" t="s">
        <v>112</v>
      </c>
      <c r="O20" s="72" t="s">
        <v>221</v>
      </c>
      <c r="P20" s="72" t="s">
        <v>222</v>
      </c>
      <c r="Q20" s="72" t="s">
        <v>116</v>
      </c>
      <c r="R20" s="72" t="s">
        <v>118</v>
      </c>
      <c r="S20" s="86" t="s">
        <v>120</v>
      </c>
      <c r="T20" s="87" t="s">
        <v>135</v>
      </c>
      <c r="U20" s="86" t="s">
        <v>138</v>
      </c>
      <c r="V20" s="88" t="s">
        <v>125</v>
      </c>
      <c r="W20" s="88" t="s">
        <v>123</v>
      </c>
      <c r="X20" s="87" t="s">
        <v>136</v>
      </c>
      <c r="Y20" s="86" t="s">
        <v>137</v>
      </c>
      <c r="Z20" s="88" t="s">
        <v>127</v>
      </c>
      <c r="AA20" s="88" t="s">
        <v>128</v>
      </c>
      <c r="AB20" s="87" t="s">
        <v>133</v>
      </c>
      <c r="AC20" s="71" t="s">
        <v>139</v>
      </c>
      <c r="AD20" s="129" t="s">
        <v>142</v>
      </c>
      <c r="AE20" s="129"/>
      <c r="AF20" s="71" t="s">
        <v>145</v>
      </c>
      <c r="AG20" s="71" t="s">
        <v>147</v>
      </c>
      <c r="AH20" s="71" t="s">
        <v>149</v>
      </c>
      <c r="AI20" s="138" t="s">
        <v>83</v>
      </c>
      <c r="AJ20" s="126"/>
      <c r="AK20" s="138" t="s">
        <v>86</v>
      </c>
      <c r="AL20" s="126"/>
      <c r="AM20" s="75" t="s">
        <v>166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172</v>
      </c>
    </row>
    <row r="21" spans="2:44" ht="22" customHeight="1" x14ac:dyDescent="0.25">
      <c r="B21" s="136"/>
      <c r="C21" s="81" t="s">
        <v>164</v>
      </c>
      <c r="D21" s="72" t="s">
        <v>108</v>
      </c>
      <c r="E21" s="77" t="s">
        <v>93</v>
      </c>
      <c r="F21" s="72" t="s">
        <v>95</v>
      </c>
      <c r="G21" s="86" t="s">
        <v>96</v>
      </c>
      <c r="H21" s="86" t="s">
        <v>98</v>
      </c>
      <c r="I21" s="86" t="s">
        <v>98</v>
      </c>
      <c r="J21" s="86" t="s">
        <v>98</v>
      </c>
      <c r="K21" s="86" t="s">
        <v>98</v>
      </c>
      <c r="L21" s="86" t="s">
        <v>76</v>
      </c>
      <c r="M21" s="86" t="s">
        <v>111</v>
      </c>
      <c r="N21" s="86" t="s">
        <v>113</v>
      </c>
      <c r="O21" s="86" t="s">
        <v>114</v>
      </c>
      <c r="P21" s="86" t="s">
        <v>115</v>
      </c>
      <c r="Q21" s="72" t="s">
        <v>21</v>
      </c>
      <c r="R21" s="72" t="s">
        <v>119</v>
      </c>
      <c r="S21" s="89" t="s">
        <v>121</v>
      </c>
      <c r="T21" s="87" t="s">
        <v>114</v>
      </c>
      <c r="U21" s="86" t="s">
        <v>122</v>
      </c>
      <c r="V21" s="88" t="s">
        <v>126</v>
      </c>
      <c r="W21" s="88" t="s">
        <v>124</v>
      </c>
      <c r="X21" s="87" t="s">
        <v>129</v>
      </c>
      <c r="Y21" s="86" t="s">
        <v>130</v>
      </c>
      <c r="Z21" s="88" t="s">
        <v>131</v>
      </c>
      <c r="AA21" s="88" t="s">
        <v>132</v>
      </c>
      <c r="AB21" s="87" t="s">
        <v>134</v>
      </c>
      <c r="AC21" s="71" t="s">
        <v>140</v>
      </c>
      <c r="AD21" s="71" t="s">
        <v>143</v>
      </c>
      <c r="AE21" s="71" t="s">
        <v>144</v>
      </c>
      <c r="AF21" s="71" t="s">
        <v>146</v>
      </c>
      <c r="AG21" s="71" t="s">
        <v>148</v>
      </c>
      <c r="AH21" s="71" t="s">
        <v>150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168</v>
      </c>
      <c r="AO21" s="71" t="s">
        <v>169</v>
      </c>
      <c r="AP21" s="71" t="s">
        <v>170</v>
      </c>
      <c r="AQ21" s="71" t="s">
        <v>171</v>
      </c>
      <c r="AR21" s="118" t="s">
        <v>173</v>
      </c>
    </row>
    <row r="22" spans="2:44" ht="13.5" customHeight="1" x14ac:dyDescent="0.25">
      <c r="B22" s="121">
        <v>0.33333333333333331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0.375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62"/>
      <c r="S23" s="21"/>
      <c r="T23" s="21"/>
      <c r="U23" s="21"/>
      <c r="V23" s="84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1">
        <v>0.41666666666666702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62"/>
      <c r="S24" s="21"/>
      <c r="T24" s="21"/>
      <c r="U24" s="21"/>
      <c r="V24" s="84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0.45833333333333298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62"/>
      <c r="S25" s="21"/>
      <c r="T25" s="21"/>
      <c r="U25" s="21"/>
      <c r="V25" s="84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1">
        <v>0.5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62"/>
      <c r="S26" s="21"/>
      <c r="T26" s="21"/>
      <c r="U26" s="21"/>
      <c r="V26" s="84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0.54166666666666596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62"/>
      <c r="S27" s="21"/>
      <c r="T27" s="21"/>
      <c r="U27" s="21"/>
      <c r="V27" s="84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1">
        <v>0.58333333333333304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62"/>
      <c r="S28" s="21"/>
      <c r="T28" s="21"/>
      <c r="U28" s="21"/>
      <c r="V28" s="84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0.625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62"/>
      <c r="S29" s="21"/>
      <c r="T29" s="21"/>
      <c r="U29" s="21"/>
      <c r="V29" s="84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0.66666666666666596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62"/>
      <c r="S30" s="21"/>
      <c r="T30" s="21"/>
      <c r="U30" s="21"/>
      <c r="V30" s="84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0.70833333333333304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62"/>
      <c r="S31" s="21"/>
      <c r="T31" s="21"/>
      <c r="U31" s="21"/>
      <c r="V31" s="84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0.75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62"/>
      <c r="S32" s="21"/>
      <c r="T32" s="21"/>
      <c r="U32" s="21"/>
      <c r="V32" s="84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0.79166666666666696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62"/>
      <c r="S33" s="21"/>
      <c r="T33" s="21"/>
      <c r="U33" s="21"/>
      <c r="V33" s="84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0.83333333333333304</v>
      </c>
      <c r="C34" s="23"/>
      <c r="D34" s="13"/>
      <c r="E34" s="13"/>
      <c r="F34" s="13"/>
      <c r="G34" s="13"/>
      <c r="H34" s="13"/>
      <c r="I34" s="13"/>
      <c r="J34" s="13"/>
      <c r="K34" s="13"/>
      <c r="L34" s="14"/>
      <c r="M34" s="23"/>
      <c r="N34" s="13"/>
      <c r="O34" s="13"/>
      <c r="P34" s="13"/>
      <c r="Q34" s="13"/>
      <c r="R34" s="13"/>
      <c r="S34" s="24"/>
      <c r="T34" s="24"/>
      <c r="U34" s="24"/>
      <c r="V34" s="84"/>
      <c r="W34" s="24"/>
      <c r="X34" s="24"/>
      <c r="Y34" s="24"/>
      <c r="Z34" s="24"/>
      <c r="AA34" s="24"/>
      <c r="AB34" s="24"/>
      <c r="AC34" s="17"/>
      <c r="AD34" s="17"/>
      <c r="AE34" s="17"/>
      <c r="AF34" s="17"/>
      <c r="AG34" s="17"/>
      <c r="AH34" s="17"/>
      <c r="AI34" s="25"/>
      <c r="AJ34" s="25"/>
      <c r="AK34" s="25"/>
      <c r="AL34" s="25"/>
      <c r="AM34" s="25"/>
      <c r="AN34" s="17"/>
      <c r="AO34" s="18"/>
      <c r="AP34" s="26"/>
      <c r="AQ34" s="27"/>
      <c r="AR34" s="28"/>
    </row>
    <row r="35" spans="2:44" ht="15" customHeight="1" x14ac:dyDescent="0.25">
      <c r="B35" s="143" t="s">
        <v>175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210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217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265</v>
      </c>
      <c r="I36" s="127"/>
      <c r="J36" s="86" t="s">
        <v>25</v>
      </c>
      <c r="K36" s="86" t="s">
        <v>28</v>
      </c>
      <c r="L36" s="86" t="s">
        <v>185</v>
      </c>
      <c r="M36" s="124" t="s">
        <v>186</v>
      </c>
      <c r="N36" s="124"/>
      <c r="O36" s="86" t="s">
        <v>24</v>
      </c>
      <c r="P36" s="86" t="s">
        <v>191</v>
      </c>
      <c r="Q36" s="128" t="s">
        <v>193</v>
      </c>
      <c r="R36" s="128"/>
      <c r="S36" s="128" t="s">
        <v>196</v>
      </c>
      <c r="T36" s="128"/>
      <c r="U36" s="128" t="s">
        <v>195</v>
      </c>
      <c r="V36" s="128"/>
      <c r="W36" s="87" t="s">
        <v>15</v>
      </c>
      <c r="X36" s="86" t="s">
        <v>12</v>
      </c>
      <c r="Y36" s="88" t="s">
        <v>198</v>
      </c>
      <c r="Z36" s="88" t="s">
        <v>199</v>
      </c>
      <c r="AA36" s="88" t="s">
        <v>200</v>
      </c>
      <c r="AB36" s="89" t="s">
        <v>201</v>
      </c>
      <c r="AC36" s="88" t="s">
        <v>202</v>
      </c>
      <c r="AD36" s="88" t="s">
        <v>204</v>
      </c>
      <c r="AE36" s="88" t="s">
        <v>205</v>
      </c>
      <c r="AF36" s="89" t="s">
        <v>206</v>
      </c>
      <c r="AG36" s="71" t="s">
        <v>207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218</v>
      </c>
      <c r="AN36" s="75" t="s">
        <v>219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180</v>
      </c>
      <c r="D37" s="86" t="s">
        <v>181</v>
      </c>
      <c r="E37" s="86" t="s">
        <v>32</v>
      </c>
      <c r="F37" s="86" t="s">
        <v>182</v>
      </c>
      <c r="G37" s="86" t="s">
        <v>183</v>
      </c>
      <c r="H37" s="86" t="s">
        <v>266</v>
      </c>
      <c r="I37" s="86" t="s">
        <v>267</v>
      </c>
      <c r="J37" s="86" t="s">
        <v>23</v>
      </c>
      <c r="K37" s="86" t="s">
        <v>29</v>
      </c>
      <c r="L37" s="83" t="s">
        <v>27</v>
      </c>
      <c r="M37" s="89" t="s">
        <v>187</v>
      </c>
      <c r="N37" s="89" t="s">
        <v>188</v>
      </c>
      <c r="O37" s="83" t="s">
        <v>26</v>
      </c>
      <c r="P37" s="83" t="s">
        <v>364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365</v>
      </c>
      <c r="AB37" s="88" t="s">
        <v>366</v>
      </c>
      <c r="AC37" s="88" t="s">
        <v>203</v>
      </c>
      <c r="AD37" s="86" t="s">
        <v>40</v>
      </c>
      <c r="AE37" s="87" t="s">
        <v>367</v>
      </c>
      <c r="AF37" s="88" t="s">
        <v>368</v>
      </c>
      <c r="AG37" s="71" t="s">
        <v>208</v>
      </c>
      <c r="AH37" s="71" t="s">
        <v>211</v>
      </c>
      <c r="AI37" s="71" t="s">
        <v>212</v>
      </c>
      <c r="AJ37" s="71" t="s">
        <v>213</v>
      </c>
      <c r="AK37" s="71" t="s">
        <v>215</v>
      </c>
      <c r="AL37" s="71" t="s">
        <v>216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176</v>
      </c>
      <c r="D38" s="74" t="s">
        <v>177</v>
      </c>
      <c r="E38" s="72" t="s">
        <v>179</v>
      </c>
      <c r="F38" s="94" t="s">
        <v>176</v>
      </c>
      <c r="G38" s="74" t="s">
        <v>177</v>
      </c>
      <c r="H38" s="94" t="s">
        <v>268</v>
      </c>
      <c r="I38" s="74" t="s">
        <v>177</v>
      </c>
      <c r="J38" s="72" t="s">
        <v>179</v>
      </c>
      <c r="K38" s="77" t="s">
        <v>184</v>
      </c>
      <c r="L38" s="72" t="s">
        <v>179</v>
      </c>
      <c r="M38" s="77" t="s">
        <v>279</v>
      </c>
      <c r="N38" s="77" t="s">
        <v>280</v>
      </c>
      <c r="O38" s="72" t="s">
        <v>179</v>
      </c>
      <c r="P38" s="77" t="s">
        <v>192</v>
      </c>
      <c r="Q38" s="72" t="s">
        <v>194</v>
      </c>
      <c r="R38" s="74" t="s">
        <v>177</v>
      </c>
      <c r="S38" s="72" t="s">
        <v>194</v>
      </c>
      <c r="T38" s="74" t="s">
        <v>177</v>
      </c>
      <c r="U38" s="72" t="s">
        <v>194</v>
      </c>
      <c r="V38" s="74" t="s">
        <v>177</v>
      </c>
      <c r="W38" s="95" t="s">
        <v>197</v>
      </c>
      <c r="X38" s="89" t="s">
        <v>178</v>
      </c>
      <c r="Y38" s="88" t="s">
        <v>184</v>
      </c>
      <c r="Z38" s="89" t="s">
        <v>189</v>
      </c>
      <c r="AA38" s="89" t="s">
        <v>178</v>
      </c>
      <c r="AB38" s="89" t="s">
        <v>178</v>
      </c>
      <c r="AC38" s="88" t="s">
        <v>184</v>
      </c>
      <c r="AD38" s="89" t="s">
        <v>189</v>
      </c>
      <c r="AE38" s="89" t="s">
        <v>178</v>
      </c>
      <c r="AF38" s="89" t="s">
        <v>178</v>
      </c>
      <c r="AG38" s="71" t="s">
        <v>209</v>
      </c>
      <c r="AH38" s="95" t="s">
        <v>197</v>
      </c>
      <c r="AI38" s="89" t="s">
        <v>189</v>
      </c>
      <c r="AJ38" s="89" t="s">
        <v>190</v>
      </c>
      <c r="AK38" s="71" t="s">
        <v>197</v>
      </c>
      <c r="AL38" s="71" t="s">
        <v>214</v>
      </c>
      <c r="AM38" s="75" t="s">
        <v>197</v>
      </c>
      <c r="AN38" s="75" t="s">
        <v>197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84"/>
      <c r="V39" s="90"/>
      <c r="W39" s="91"/>
      <c r="X39" s="84"/>
      <c r="Y39" s="84"/>
      <c r="Z39" s="84"/>
      <c r="AA39" s="84"/>
      <c r="AB39" s="84"/>
      <c r="AC39" s="84"/>
      <c r="AD39" s="84"/>
      <c r="AE39" s="66"/>
      <c r="AF39" s="66"/>
      <c r="AG39" s="66"/>
      <c r="AH39" s="66"/>
      <c r="AI39" s="66"/>
      <c r="AJ39" s="66"/>
      <c r="AK39" s="66"/>
      <c r="AL39" s="67"/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163"/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D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169" t="s">
        <v>223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225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224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361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226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227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228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229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230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231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232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233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234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235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236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237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238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239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240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241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242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243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244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245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246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247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248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249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362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250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251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363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252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253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254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255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256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257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258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259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260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/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="85" zoomScaleNormal="85" workbookViewId="0">
      <selection activeCell="K67" sqref="K67"/>
    </sheetView>
  </sheetViews>
  <sheetFormatPr defaultColWidth="6.36328125" defaultRowHeight="8" x14ac:dyDescent="0.25"/>
  <cols>
    <col min="1" max="16384" width="6.36328125" style="1"/>
  </cols>
  <sheetData>
    <row r="1" spans="2:47" ht="5.15" customHeight="1" thickBot="1" x14ac:dyDescent="0.3"/>
    <row r="2" spans="2:47" ht="17.5" customHeight="1" x14ac:dyDescent="0.25">
      <c r="B2" s="237" t="s">
        <v>220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49999999999999" customHeight="1" x14ac:dyDescent="0.25">
      <c r="B3" s="136" t="s">
        <v>175</v>
      </c>
      <c r="C3" s="165" t="s">
        <v>157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156</v>
      </c>
      <c r="I4" s="137" t="s">
        <v>56</v>
      </c>
      <c r="J4" s="137"/>
      <c r="K4" s="72" t="s">
        <v>6</v>
      </c>
      <c r="L4" s="72" t="s">
        <v>60</v>
      </c>
      <c r="M4" s="72" t="s">
        <v>158</v>
      </c>
      <c r="N4" s="72" t="s">
        <v>159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151</v>
      </c>
      <c r="Y4" s="72" t="s">
        <v>152</v>
      </c>
      <c r="Z4" s="72" t="s">
        <v>1</v>
      </c>
      <c r="AA4" s="72" t="s">
        <v>12</v>
      </c>
      <c r="AB4" s="72" t="s">
        <v>153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160</v>
      </c>
      <c r="AJ4" s="73" t="s">
        <v>161</v>
      </c>
      <c r="AK4" s="76" t="s">
        <v>109</v>
      </c>
      <c r="AL4" s="137" t="s">
        <v>104</v>
      </c>
      <c r="AM4" s="129"/>
      <c r="AN4" s="71" t="s">
        <v>105</v>
      </c>
      <c r="AO4" s="72" t="s">
        <v>12</v>
      </c>
      <c r="AP4" s="72" t="s">
        <v>1</v>
      </c>
      <c r="AQ4" s="129" t="s">
        <v>155</v>
      </c>
      <c r="AR4" s="139"/>
      <c r="AU4" s="3"/>
    </row>
    <row r="5" spans="2:47" ht="20.149999999999999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95</v>
      </c>
      <c r="V5" s="72" t="s">
        <v>278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103</v>
      </c>
      <c r="AN5" s="71" t="s">
        <v>106</v>
      </c>
      <c r="AO5" s="72" t="s">
        <v>90</v>
      </c>
      <c r="AP5" s="72" t="s">
        <v>91</v>
      </c>
      <c r="AQ5" s="72" t="s">
        <v>92</v>
      </c>
      <c r="AR5" s="119" t="s">
        <v>154</v>
      </c>
    </row>
    <row r="6" spans="2:47" ht="13.5" customHeight="1" x14ac:dyDescent="0.25">
      <c r="B6" s="120" t="s">
        <v>44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 t="s">
        <v>4</v>
      </c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0.875</v>
      </c>
      <c r="C7" s="20"/>
      <c r="D7" s="4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0" t="s">
        <v>261</v>
      </c>
      <c r="C8" s="20"/>
      <c r="D8" s="4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0.95833333333333337</v>
      </c>
      <c r="C9" s="20"/>
      <c r="D9" s="4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0" t="s">
        <v>262</v>
      </c>
      <c r="C10" s="20"/>
      <c r="D10" s="4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4.1666666666666664E-2</v>
      </c>
      <c r="C11" s="20"/>
      <c r="D11" s="4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0" t="s">
        <v>263</v>
      </c>
      <c r="C12" s="20"/>
      <c r="D12" s="4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0.125</v>
      </c>
      <c r="C13" s="20"/>
      <c r="D13" s="4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0.16666666666666666</v>
      </c>
      <c r="C14" s="20"/>
      <c r="D14" s="4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0.20833333333333334</v>
      </c>
      <c r="C15" s="20"/>
      <c r="D15" s="4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0.25</v>
      </c>
      <c r="C16" s="20"/>
      <c r="D16" s="4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0.29166666666666669</v>
      </c>
      <c r="C17" s="20"/>
      <c r="D17" s="4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0.33333333333333331</v>
      </c>
      <c r="C18" s="23"/>
      <c r="D18" s="13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43" t="s">
        <v>175</v>
      </c>
      <c r="C19" s="80" t="s">
        <v>162</v>
      </c>
      <c r="D19" s="72" t="s">
        <v>165</v>
      </c>
      <c r="E19" s="124" t="s">
        <v>17</v>
      </c>
      <c r="F19" s="129"/>
      <c r="G19" s="129"/>
      <c r="H19" s="128" t="s">
        <v>102</v>
      </c>
      <c r="I19" s="129"/>
      <c r="J19" s="129"/>
      <c r="K19" s="129"/>
      <c r="L19" s="129"/>
      <c r="M19" s="128" t="s">
        <v>117</v>
      </c>
      <c r="N19" s="129"/>
      <c r="O19" s="129"/>
      <c r="P19" s="129"/>
      <c r="Q19" s="129"/>
      <c r="R19" s="128" t="s">
        <v>141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167</v>
      </c>
      <c r="AJ19" s="168"/>
      <c r="AK19" s="168"/>
      <c r="AL19" s="168"/>
      <c r="AM19" s="168"/>
      <c r="AN19" s="129" t="s">
        <v>42</v>
      </c>
      <c r="AO19" s="130"/>
      <c r="AP19" s="129" t="s">
        <v>174</v>
      </c>
      <c r="AQ19" s="130"/>
      <c r="AR19" s="162"/>
    </row>
    <row r="20" spans="2:44" ht="20.149999999999999" customHeight="1" x14ac:dyDescent="0.25">
      <c r="B20" s="136"/>
      <c r="C20" s="80" t="s">
        <v>163</v>
      </c>
      <c r="D20" s="72" t="s">
        <v>107</v>
      </c>
      <c r="E20" s="72" t="s">
        <v>15</v>
      </c>
      <c r="F20" s="128" t="s">
        <v>94</v>
      </c>
      <c r="G20" s="129"/>
      <c r="H20" s="86" t="s">
        <v>97</v>
      </c>
      <c r="I20" s="86" t="s">
        <v>99</v>
      </c>
      <c r="J20" s="83" t="s">
        <v>100</v>
      </c>
      <c r="K20" s="77" t="s">
        <v>101</v>
      </c>
      <c r="L20" s="86" t="s">
        <v>109</v>
      </c>
      <c r="M20" s="86" t="s">
        <v>110</v>
      </c>
      <c r="N20" s="86" t="s">
        <v>112</v>
      </c>
      <c r="O20" s="72" t="s">
        <v>221</v>
      </c>
      <c r="P20" s="72" t="s">
        <v>222</v>
      </c>
      <c r="Q20" s="72" t="s">
        <v>116</v>
      </c>
      <c r="R20" s="72" t="s">
        <v>118</v>
      </c>
      <c r="S20" s="86" t="s">
        <v>120</v>
      </c>
      <c r="T20" s="87" t="s">
        <v>135</v>
      </c>
      <c r="U20" s="86" t="s">
        <v>138</v>
      </c>
      <c r="V20" s="88" t="s">
        <v>125</v>
      </c>
      <c r="W20" s="88" t="s">
        <v>123</v>
      </c>
      <c r="X20" s="87" t="s">
        <v>136</v>
      </c>
      <c r="Y20" s="86" t="s">
        <v>137</v>
      </c>
      <c r="Z20" s="88" t="s">
        <v>127</v>
      </c>
      <c r="AA20" s="88" t="s">
        <v>128</v>
      </c>
      <c r="AB20" s="87" t="s">
        <v>133</v>
      </c>
      <c r="AC20" s="71" t="s">
        <v>139</v>
      </c>
      <c r="AD20" s="129" t="s">
        <v>142</v>
      </c>
      <c r="AE20" s="129"/>
      <c r="AF20" s="71" t="s">
        <v>145</v>
      </c>
      <c r="AG20" s="71" t="s">
        <v>147</v>
      </c>
      <c r="AH20" s="71" t="s">
        <v>149</v>
      </c>
      <c r="AI20" s="138" t="s">
        <v>83</v>
      </c>
      <c r="AJ20" s="126"/>
      <c r="AK20" s="138" t="s">
        <v>86</v>
      </c>
      <c r="AL20" s="126"/>
      <c r="AM20" s="75" t="s">
        <v>166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172</v>
      </c>
    </row>
    <row r="21" spans="2:44" ht="22" customHeight="1" x14ac:dyDescent="0.25">
      <c r="B21" s="136"/>
      <c r="C21" s="81" t="s">
        <v>164</v>
      </c>
      <c r="D21" s="72" t="s">
        <v>108</v>
      </c>
      <c r="E21" s="77" t="s">
        <v>93</v>
      </c>
      <c r="F21" s="72" t="s">
        <v>95</v>
      </c>
      <c r="G21" s="86" t="s">
        <v>96</v>
      </c>
      <c r="H21" s="86" t="s">
        <v>98</v>
      </c>
      <c r="I21" s="86" t="s">
        <v>98</v>
      </c>
      <c r="J21" s="86" t="s">
        <v>98</v>
      </c>
      <c r="K21" s="86" t="s">
        <v>98</v>
      </c>
      <c r="L21" s="86" t="s">
        <v>76</v>
      </c>
      <c r="M21" s="86" t="s">
        <v>111</v>
      </c>
      <c r="N21" s="86" t="s">
        <v>113</v>
      </c>
      <c r="O21" s="86" t="s">
        <v>114</v>
      </c>
      <c r="P21" s="86" t="s">
        <v>115</v>
      </c>
      <c r="Q21" s="72" t="s">
        <v>21</v>
      </c>
      <c r="R21" s="72" t="s">
        <v>119</v>
      </c>
      <c r="S21" s="89" t="s">
        <v>121</v>
      </c>
      <c r="T21" s="87" t="s">
        <v>114</v>
      </c>
      <c r="U21" s="86" t="s">
        <v>122</v>
      </c>
      <c r="V21" s="88" t="s">
        <v>126</v>
      </c>
      <c r="W21" s="88" t="s">
        <v>124</v>
      </c>
      <c r="X21" s="87" t="s">
        <v>129</v>
      </c>
      <c r="Y21" s="86" t="s">
        <v>130</v>
      </c>
      <c r="Z21" s="88" t="s">
        <v>131</v>
      </c>
      <c r="AA21" s="88" t="s">
        <v>132</v>
      </c>
      <c r="AB21" s="87" t="s">
        <v>134</v>
      </c>
      <c r="AC21" s="71" t="s">
        <v>140</v>
      </c>
      <c r="AD21" s="71" t="s">
        <v>143</v>
      </c>
      <c r="AE21" s="71" t="s">
        <v>144</v>
      </c>
      <c r="AF21" s="71" t="s">
        <v>146</v>
      </c>
      <c r="AG21" s="71" t="s">
        <v>148</v>
      </c>
      <c r="AH21" s="71" t="s">
        <v>150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168</v>
      </c>
      <c r="AO21" s="71" t="s">
        <v>169</v>
      </c>
      <c r="AP21" s="71" t="s">
        <v>170</v>
      </c>
      <c r="AQ21" s="71" t="s">
        <v>171</v>
      </c>
      <c r="AR21" s="118" t="s">
        <v>173</v>
      </c>
    </row>
    <row r="22" spans="2:44" ht="13.5" customHeight="1" x14ac:dyDescent="0.25">
      <c r="B22" s="120" t="s">
        <v>44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0.875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4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0" t="s">
        <v>261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4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0.95833333333333337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4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0" t="s">
        <v>262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4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4.1666666666666664E-2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4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0" t="s">
        <v>263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4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0.125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4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0.16666666666666666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4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0.20833333333333334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4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0.25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4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0.29166666666666669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4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0.33333333333333331</v>
      </c>
      <c r="C34" s="100"/>
      <c r="D34" s="98"/>
      <c r="E34" s="98"/>
      <c r="F34" s="98"/>
      <c r="G34" s="98"/>
      <c r="H34" s="98"/>
      <c r="I34" s="98"/>
      <c r="J34" s="98"/>
      <c r="K34" s="98"/>
      <c r="L34" s="99"/>
      <c r="M34" s="100"/>
      <c r="N34" s="98"/>
      <c r="O34" s="98"/>
      <c r="P34" s="98"/>
      <c r="Q34" s="98"/>
      <c r="R34" s="98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2"/>
      <c r="AO34" s="104"/>
      <c r="AP34" s="105"/>
      <c r="AQ34" s="106"/>
      <c r="AR34" s="19"/>
    </row>
    <row r="35" spans="2:44" ht="15" customHeight="1" x14ac:dyDescent="0.25">
      <c r="B35" s="143" t="s">
        <v>175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210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217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265</v>
      </c>
      <c r="I36" s="127"/>
      <c r="J36" s="86" t="s">
        <v>25</v>
      </c>
      <c r="K36" s="86" t="s">
        <v>28</v>
      </c>
      <c r="L36" s="86" t="s">
        <v>185</v>
      </c>
      <c r="M36" s="124" t="s">
        <v>186</v>
      </c>
      <c r="N36" s="124"/>
      <c r="O36" s="86" t="s">
        <v>24</v>
      </c>
      <c r="P36" s="86" t="s">
        <v>191</v>
      </c>
      <c r="Q36" s="128" t="s">
        <v>193</v>
      </c>
      <c r="R36" s="128"/>
      <c r="S36" s="128" t="s">
        <v>196</v>
      </c>
      <c r="T36" s="128"/>
      <c r="U36" s="128" t="s">
        <v>195</v>
      </c>
      <c r="V36" s="128"/>
      <c r="W36" s="87" t="s">
        <v>15</v>
      </c>
      <c r="X36" s="86" t="s">
        <v>12</v>
      </c>
      <c r="Y36" s="88" t="s">
        <v>198</v>
      </c>
      <c r="Z36" s="88" t="s">
        <v>199</v>
      </c>
      <c r="AA36" s="88" t="s">
        <v>200</v>
      </c>
      <c r="AB36" s="89" t="s">
        <v>201</v>
      </c>
      <c r="AC36" s="88" t="s">
        <v>202</v>
      </c>
      <c r="AD36" s="88" t="s">
        <v>204</v>
      </c>
      <c r="AE36" s="88" t="s">
        <v>205</v>
      </c>
      <c r="AF36" s="89" t="s">
        <v>206</v>
      </c>
      <c r="AG36" s="71" t="s">
        <v>207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218</v>
      </c>
      <c r="AN36" s="75" t="s">
        <v>219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180</v>
      </c>
      <c r="D37" s="86" t="s">
        <v>181</v>
      </c>
      <c r="E37" s="86" t="s">
        <v>32</v>
      </c>
      <c r="F37" s="86" t="s">
        <v>182</v>
      </c>
      <c r="G37" s="86" t="s">
        <v>183</v>
      </c>
      <c r="H37" s="86" t="s">
        <v>266</v>
      </c>
      <c r="I37" s="86" t="s">
        <v>267</v>
      </c>
      <c r="J37" s="86" t="s">
        <v>23</v>
      </c>
      <c r="K37" s="86" t="s">
        <v>29</v>
      </c>
      <c r="L37" s="83" t="s">
        <v>27</v>
      </c>
      <c r="M37" s="89" t="s">
        <v>187</v>
      </c>
      <c r="N37" s="89" t="s">
        <v>188</v>
      </c>
      <c r="O37" s="83" t="s">
        <v>26</v>
      </c>
      <c r="P37" s="83" t="s">
        <v>364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365</v>
      </c>
      <c r="AB37" s="88" t="s">
        <v>366</v>
      </c>
      <c r="AC37" s="88" t="s">
        <v>203</v>
      </c>
      <c r="AD37" s="86" t="s">
        <v>40</v>
      </c>
      <c r="AE37" s="87" t="s">
        <v>367</v>
      </c>
      <c r="AF37" s="88" t="s">
        <v>368</v>
      </c>
      <c r="AG37" s="71" t="s">
        <v>208</v>
      </c>
      <c r="AH37" s="71" t="s">
        <v>211</v>
      </c>
      <c r="AI37" s="71" t="s">
        <v>212</v>
      </c>
      <c r="AJ37" s="71" t="s">
        <v>213</v>
      </c>
      <c r="AK37" s="71" t="s">
        <v>215</v>
      </c>
      <c r="AL37" s="71" t="s">
        <v>216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176</v>
      </c>
      <c r="D38" s="74" t="s">
        <v>177</v>
      </c>
      <c r="E38" s="72" t="s">
        <v>179</v>
      </c>
      <c r="F38" s="94" t="s">
        <v>176</v>
      </c>
      <c r="G38" s="74" t="s">
        <v>177</v>
      </c>
      <c r="H38" s="94" t="s">
        <v>268</v>
      </c>
      <c r="I38" s="74" t="s">
        <v>177</v>
      </c>
      <c r="J38" s="72" t="s">
        <v>179</v>
      </c>
      <c r="K38" s="77" t="s">
        <v>184</v>
      </c>
      <c r="L38" s="72" t="s">
        <v>179</v>
      </c>
      <c r="M38" s="77" t="s">
        <v>279</v>
      </c>
      <c r="N38" s="77" t="s">
        <v>280</v>
      </c>
      <c r="O38" s="72" t="s">
        <v>179</v>
      </c>
      <c r="P38" s="77" t="s">
        <v>192</v>
      </c>
      <c r="Q38" s="72" t="s">
        <v>194</v>
      </c>
      <c r="R38" s="74" t="s">
        <v>177</v>
      </c>
      <c r="S38" s="72" t="s">
        <v>194</v>
      </c>
      <c r="T38" s="74" t="s">
        <v>177</v>
      </c>
      <c r="U38" s="72" t="s">
        <v>194</v>
      </c>
      <c r="V38" s="74" t="s">
        <v>177</v>
      </c>
      <c r="W38" s="95" t="s">
        <v>197</v>
      </c>
      <c r="X38" s="89" t="s">
        <v>178</v>
      </c>
      <c r="Y38" s="88" t="s">
        <v>184</v>
      </c>
      <c r="Z38" s="89" t="s">
        <v>189</v>
      </c>
      <c r="AA38" s="89" t="s">
        <v>178</v>
      </c>
      <c r="AB38" s="89" t="s">
        <v>178</v>
      </c>
      <c r="AC38" s="88" t="s">
        <v>184</v>
      </c>
      <c r="AD38" s="89" t="s">
        <v>189</v>
      </c>
      <c r="AE38" s="89" t="s">
        <v>178</v>
      </c>
      <c r="AF38" s="89" t="s">
        <v>178</v>
      </c>
      <c r="AG38" s="71" t="s">
        <v>209</v>
      </c>
      <c r="AH38" s="95" t="s">
        <v>197</v>
      </c>
      <c r="AI38" s="89" t="s">
        <v>189</v>
      </c>
      <c r="AJ38" s="89" t="s">
        <v>190</v>
      </c>
      <c r="AK38" s="71" t="s">
        <v>197</v>
      </c>
      <c r="AL38" s="71" t="s">
        <v>214</v>
      </c>
      <c r="AM38" s="75" t="s">
        <v>197</v>
      </c>
      <c r="AN38" s="75" t="s">
        <v>197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8"/>
      <c r="V39" s="109"/>
      <c r="W39" s="110"/>
      <c r="X39" s="108"/>
      <c r="Y39" s="108"/>
      <c r="Z39" s="108"/>
      <c r="AA39" s="108"/>
      <c r="AB39" s="108"/>
      <c r="AC39" s="108"/>
      <c r="AD39" s="108"/>
      <c r="AE39" s="111"/>
      <c r="AF39" s="111"/>
      <c r="AG39" s="111"/>
      <c r="AH39" s="111"/>
      <c r="AI39" s="111"/>
      <c r="AJ39" s="111"/>
      <c r="AK39" s="111"/>
      <c r="AL39" s="112"/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261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262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263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240"/>
      <c r="C52" s="241"/>
      <c r="D52" s="72" t="s">
        <v>264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D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169" t="s">
        <v>223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225</v>
      </c>
      <c r="C2" s="388"/>
      <c r="D2" s="388"/>
      <c r="E2" s="388"/>
      <c r="F2" s="388"/>
      <c r="G2" s="388"/>
      <c r="H2" s="388"/>
      <c r="I2" s="388"/>
      <c r="J2" s="388"/>
      <c r="K2" s="388"/>
      <c r="L2" s="389"/>
      <c r="M2" s="230" t="s">
        <v>224</v>
      </c>
      <c r="N2" s="385"/>
      <c r="O2" s="385"/>
      <c r="P2" s="385"/>
      <c r="Q2" s="385"/>
      <c r="R2" s="385"/>
      <c r="S2" s="385"/>
      <c r="T2" s="385"/>
      <c r="U2" s="385"/>
      <c r="V2" s="385"/>
      <c r="W2" s="386"/>
      <c r="X2" s="231" t="s">
        <v>361</v>
      </c>
      <c r="Y2" s="383"/>
      <c r="Z2" s="383"/>
      <c r="AA2" s="383"/>
      <c r="AB2" s="383"/>
      <c r="AC2" s="383"/>
      <c r="AD2" s="383"/>
      <c r="AE2" s="383"/>
      <c r="AF2" s="383"/>
      <c r="AG2" s="383"/>
      <c r="AH2" s="387"/>
      <c r="AI2" s="230" t="s">
        <v>226</v>
      </c>
      <c r="AJ2" s="385"/>
      <c r="AK2" s="385"/>
      <c r="AL2" s="385"/>
      <c r="AM2" s="385"/>
      <c r="AN2" s="385"/>
      <c r="AO2" s="385"/>
      <c r="AP2" s="385"/>
      <c r="AQ2" s="385"/>
      <c r="AR2" s="385"/>
      <c r="AS2" s="386"/>
      <c r="AT2" s="231" t="s">
        <v>227</v>
      </c>
      <c r="AU2" s="383"/>
      <c r="AV2" s="383"/>
      <c r="AW2" s="383"/>
      <c r="AX2" s="383"/>
      <c r="AY2" s="383"/>
      <c r="AZ2" s="383"/>
      <c r="BA2" s="383"/>
      <c r="BB2" s="383"/>
      <c r="BC2" s="383"/>
      <c r="BD2" s="384"/>
    </row>
    <row r="3" spans="2:56" ht="12" customHeight="1" x14ac:dyDescent="0.25">
      <c r="B3" s="186"/>
      <c r="C3" s="312"/>
      <c r="D3" s="312"/>
      <c r="E3" s="312"/>
      <c r="F3" s="312"/>
      <c r="G3" s="312"/>
      <c r="H3" s="312"/>
      <c r="I3" s="312"/>
      <c r="J3" s="312"/>
      <c r="K3" s="312"/>
      <c r="L3" s="313"/>
      <c r="M3" s="194"/>
      <c r="N3" s="333"/>
      <c r="O3" s="333"/>
      <c r="P3" s="333"/>
      <c r="Q3" s="333"/>
      <c r="R3" s="333"/>
      <c r="S3" s="333"/>
      <c r="T3" s="333"/>
      <c r="U3" s="333"/>
      <c r="V3" s="333"/>
      <c r="W3" s="334"/>
      <c r="X3" s="198"/>
      <c r="Y3" s="347"/>
      <c r="Z3" s="347"/>
      <c r="AA3" s="347"/>
      <c r="AB3" s="347"/>
      <c r="AC3" s="347"/>
      <c r="AD3" s="347"/>
      <c r="AE3" s="347"/>
      <c r="AF3" s="347"/>
      <c r="AG3" s="347"/>
      <c r="AH3" s="348"/>
      <c r="AI3" s="199"/>
      <c r="AJ3" s="375"/>
      <c r="AK3" s="375"/>
      <c r="AL3" s="375"/>
      <c r="AM3" s="375"/>
      <c r="AN3" s="375"/>
      <c r="AO3" s="375"/>
      <c r="AP3" s="375"/>
      <c r="AQ3" s="375"/>
      <c r="AR3" s="375"/>
      <c r="AS3" s="376"/>
      <c r="AT3" s="198"/>
      <c r="AU3" s="347"/>
      <c r="AV3" s="347"/>
      <c r="AW3" s="347"/>
      <c r="AX3" s="347"/>
      <c r="AY3" s="347"/>
      <c r="AZ3" s="347"/>
      <c r="BA3" s="347"/>
      <c r="BB3" s="347"/>
      <c r="BC3" s="347"/>
      <c r="BD3" s="372"/>
    </row>
    <row r="4" spans="2:56" ht="12" customHeight="1" x14ac:dyDescent="0.25">
      <c r="B4" s="204"/>
      <c r="C4" s="314"/>
      <c r="D4" s="314"/>
      <c r="E4" s="314"/>
      <c r="F4" s="314"/>
      <c r="G4" s="314"/>
      <c r="H4" s="314"/>
      <c r="I4" s="314"/>
      <c r="J4" s="314"/>
      <c r="K4" s="314"/>
      <c r="L4" s="315"/>
      <c r="M4" s="224"/>
      <c r="N4" s="283"/>
      <c r="O4" s="283"/>
      <c r="P4" s="283"/>
      <c r="Q4" s="283"/>
      <c r="R4" s="283"/>
      <c r="S4" s="283"/>
      <c r="T4" s="283"/>
      <c r="U4" s="283"/>
      <c r="V4" s="283"/>
      <c r="W4" s="335"/>
      <c r="X4" s="236"/>
      <c r="Y4" s="349"/>
      <c r="Z4" s="349"/>
      <c r="AA4" s="349"/>
      <c r="AB4" s="349"/>
      <c r="AC4" s="349"/>
      <c r="AD4" s="349"/>
      <c r="AE4" s="349"/>
      <c r="AF4" s="349"/>
      <c r="AG4" s="349"/>
      <c r="AH4" s="350"/>
      <c r="AI4" s="377"/>
      <c r="AJ4" s="378"/>
      <c r="AK4" s="378"/>
      <c r="AL4" s="378"/>
      <c r="AM4" s="378"/>
      <c r="AN4" s="378"/>
      <c r="AO4" s="378"/>
      <c r="AP4" s="378"/>
      <c r="AQ4" s="378"/>
      <c r="AR4" s="378"/>
      <c r="AS4" s="379"/>
      <c r="AT4" s="236"/>
      <c r="AU4" s="349"/>
      <c r="AV4" s="349"/>
      <c r="AW4" s="349"/>
      <c r="AX4" s="349"/>
      <c r="AY4" s="349"/>
      <c r="AZ4" s="349"/>
      <c r="BA4" s="349"/>
      <c r="BB4" s="349"/>
      <c r="BC4" s="349"/>
      <c r="BD4" s="373"/>
    </row>
    <row r="5" spans="2:56" ht="12" customHeight="1" x14ac:dyDescent="0.25">
      <c r="B5" s="204"/>
      <c r="C5" s="314"/>
      <c r="D5" s="314"/>
      <c r="E5" s="314"/>
      <c r="F5" s="314"/>
      <c r="G5" s="314"/>
      <c r="H5" s="314"/>
      <c r="I5" s="314"/>
      <c r="J5" s="314"/>
      <c r="K5" s="314"/>
      <c r="L5" s="315"/>
      <c r="M5" s="224"/>
      <c r="N5" s="283"/>
      <c r="O5" s="283"/>
      <c r="P5" s="283"/>
      <c r="Q5" s="283"/>
      <c r="R5" s="283"/>
      <c r="S5" s="283"/>
      <c r="T5" s="283"/>
      <c r="U5" s="283"/>
      <c r="V5" s="283"/>
      <c r="W5" s="335"/>
      <c r="X5" s="236"/>
      <c r="Y5" s="349"/>
      <c r="Z5" s="349"/>
      <c r="AA5" s="349"/>
      <c r="AB5" s="349"/>
      <c r="AC5" s="349"/>
      <c r="AD5" s="349"/>
      <c r="AE5" s="349"/>
      <c r="AF5" s="349"/>
      <c r="AG5" s="349"/>
      <c r="AH5" s="350"/>
      <c r="AI5" s="377"/>
      <c r="AJ5" s="378"/>
      <c r="AK5" s="378"/>
      <c r="AL5" s="378"/>
      <c r="AM5" s="378"/>
      <c r="AN5" s="378"/>
      <c r="AO5" s="378"/>
      <c r="AP5" s="378"/>
      <c r="AQ5" s="378"/>
      <c r="AR5" s="378"/>
      <c r="AS5" s="379"/>
      <c r="AT5" s="236"/>
      <c r="AU5" s="349"/>
      <c r="AV5" s="349"/>
      <c r="AW5" s="349"/>
      <c r="AX5" s="349"/>
      <c r="AY5" s="349"/>
      <c r="AZ5" s="349"/>
      <c r="BA5" s="349"/>
      <c r="BB5" s="349"/>
      <c r="BC5" s="349"/>
      <c r="BD5" s="373"/>
    </row>
    <row r="6" spans="2:56" ht="12" customHeight="1" x14ac:dyDescent="0.25">
      <c r="B6" s="204"/>
      <c r="C6" s="314"/>
      <c r="D6" s="314"/>
      <c r="E6" s="314"/>
      <c r="F6" s="314"/>
      <c r="G6" s="314"/>
      <c r="H6" s="314"/>
      <c r="I6" s="314"/>
      <c r="J6" s="314"/>
      <c r="K6" s="314"/>
      <c r="L6" s="315"/>
      <c r="M6" s="224"/>
      <c r="N6" s="283"/>
      <c r="O6" s="283"/>
      <c r="P6" s="283"/>
      <c r="Q6" s="283"/>
      <c r="R6" s="283"/>
      <c r="S6" s="283"/>
      <c r="T6" s="283"/>
      <c r="U6" s="283"/>
      <c r="V6" s="283"/>
      <c r="W6" s="335"/>
      <c r="X6" s="236"/>
      <c r="Y6" s="349"/>
      <c r="Z6" s="349"/>
      <c r="AA6" s="349"/>
      <c r="AB6" s="349"/>
      <c r="AC6" s="349"/>
      <c r="AD6" s="349"/>
      <c r="AE6" s="349"/>
      <c r="AF6" s="349"/>
      <c r="AG6" s="349"/>
      <c r="AH6" s="350"/>
      <c r="AI6" s="377"/>
      <c r="AJ6" s="378"/>
      <c r="AK6" s="378"/>
      <c r="AL6" s="378"/>
      <c r="AM6" s="378"/>
      <c r="AN6" s="378"/>
      <c r="AO6" s="378"/>
      <c r="AP6" s="378"/>
      <c r="AQ6" s="378"/>
      <c r="AR6" s="378"/>
      <c r="AS6" s="379"/>
      <c r="AT6" s="236"/>
      <c r="AU6" s="349"/>
      <c r="AV6" s="349"/>
      <c r="AW6" s="349"/>
      <c r="AX6" s="349"/>
      <c r="AY6" s="349"/>
      <c r="AZ6" s="349"/>
      <c r="BA6" s="349"/>
      <c r="BB6" s="349"/>
      <c r="BC6" s="349"/>
      <c r="BD6" s="373"/>
    </row>
    <row r="7" spans="2:56" ht="12" customHeight="1" x14ac:dyDescent="0.25">
      <c r="B7" s="204"/>
      <c r="C7" s="314"/>
      <c r="D7" s="314"/>
      <c r="E7" s="314"/>
      <c r="F7" s="314"/>
      <c r="G7" s="314"/>
      <c r="H7" s="314"/>
      <c r="I7" s="314"/>
      <c r="J7" s="314"/>
      <c r="K7" s="314"/>
      <c r="L7" s="315"/>
      <c r="M7" s="224"/>
      <c r="N7" s="283"/>
      <c r="O7" s="283"/>
      <c r="P7" s="283"/>
      <c r="Q7" s="283"/>
      <c r="R7" s="283"/>
      <c r="S7" s="283"/>
      <c r="T7" s="283"/>
      <c r="U7" s="283"/>
      <c r="V7" s="283"/>
      <c r="W7" s="335"/>
      <c r="X7" s="236"/>
      <c r="Y7" s="349"/>
      <c r="Z7" s="349"/>
      <c r="AA7" s="349"/>
      <c r="AB7" s="349"/>
      <c r="AC7" s="349"/>
      <c r="AD7" s="349"/>
      <c r="AE7" s="349"/>
      <c r="AF7" s="349"/>
      <c r="AG7" s="349"/>
      <c r="AH7" s="350"/>
      <c r="AI7" s="377"/>
      <c r="AJ7" s="378"/>
      <c r="AK7" s="378"/>
      <c r="AL7" s="378"/>
      <c r="AM7" s="378"/>
      <c r="AN7" s="378"/>
      <c r="AO7" s="378"/>
      <c r="AP7" s="378"/>
      <c r="AQ7" s="378"/>
      <c r="AR7" s="378"/>
      <c r="AS7" s="379"/>
      <c r="AT7" s="236"/>
      <c r="AU7" s="349"/>
      <c r="AV7" s="349"/>
      <c r="AW7" s="349"/>
      <c r="AX7" s="349"/>
      <c r="AY7" s="349"/>
      <c r="AZ7" s="349"/>
      <c r="BA7" s="349"/>
      <c r="BB7" s="349"/>
      <c r="BC7" s="349"/>
      <c r="BD7" s="373"/>
    </row>
    <row r="8" spans="2:56" ht="12" customHeight="1" x14ac:dyDescent="0.25">
      <c r="B8" s="204"/>
      <c r="C8" s="314"/>
      <c r="D8" s="314"/>
      <c r="E8" s="314"/>
      <c r="F8" s="314"/>
      <c r="G8" s="314"/>
      <c r="H8" s="314"/>
      <c r="I8" s="314"/>
      <c r="J8" s="314"/>
      <c r="K8" s="314"/>
      <c r="L8" s="315"/>
      <c r="M8" s="224"/>
      <c r="N8" s="283"/>
      <c r="O8" s="283"/>
      <c r="P8" s="283"/>
      <c r="Q8" s="283"/>
      <c r="R8" s="283"/>
      <c r="S8" s="283"/>
      <c r="T8" s="283"/>
      <c r="U8" s="283"/>
      <c r="V8" s="283"/>
      <c r="W8" s="335"/>
      <c r="X8" s="236"/>
      <c r="Y8" s="349"/>
      <c r="Z8" s="349"/>
      <c r="AA8" s="349"/>
      <c r="AB8" s="349"/>
      <c r="AC8" s="349"/>
      <c r="AD8" s="349"/>
      <c r="AE8" s="349"/>
      <c r="AF8" s="349"/>
      <c r="AG8" s="349"/>
      <c r="AH8" s="350"/>
      <c r="AI8" s="377"/>
      <c r="AJ8" s="378"/>
      <c r="AK8" s="378"/>
      <c r="AL8" s="378"/>
      <c r="AM8" s="378"/>
      <c r="AN8" s="378"/>
      <c r="AO8" s="378"/>
      <c r="AP8" s="378"/>
      <c r="AQ8" s="378"/>
      <c r="AR8" s="378"/>
      <c r="AS8" s="379"/>
      <c r="AT8" s="236"/>
      <c r="AU8" s="349"/>
      <c r="AV8" s="349"/>
      <c r="AW8" s="349"/>
      <c r="AX8" s="349"/>
      <c r="AY8" s="349"/>
      <c r="AZ8" s="349"/>
      <c r="BA8" s="349"/>
      <c r="BB8" s="349"/>
      <c r="BC8" s="349"/>
      <c r="BD8" s="373"/>
    </row>
    <row r="9" spans="2:56" ht="12" customHeight="1" x14ac:dyDescent="0.25">
      <c r="B9" s="339"/>
      <c r="C9" s="340"/>
      <c r="D9" s="340"/>
      <c r="E9" s="340"/>
      <c r="F9" s="340"/>
      <c r="G9" s="340"/>
      <c r="H9" s="340"/>
      <c r="I9" s="340"/>
      <c r="J9" s="340"/>
      <c r="K9" s="340"/>
      <c r="L9" s="341"/>
      <c r="M9" s="336"/>
      <c r="N9" s="337"/>
      <c r="O9" s="337"/>
      <c r="P9" s="337"/>
      <c r="Q9" s="337"/>
      <c r="R9" s="337"/>
      <c r="S9" s="337"/>
      <c r="T9" s="337"/>
      <c r="U9" s="337"/>
      <c r="V9" s="337"/>
      <c r="W9" s="338"/>
      <c r="X9" s="351"/>
      <c r="Y9" s="352"/>
      <c r="Z9" s="352"/>
      <c r="AA9" s="352"/>
      <c r="AB9" s="352"/>
      <c r="AC9" s="352"/>
      <c r="AD9" s="352"/>
      <c r="AE9" s="352"/>
      <c r="AF9" s="352"/>
      <c r="AG9" s="352"/>
      <c r="AH9" s="353"/>
      <c r="AI9" s="380"/>
      <c r="AJ9" s="381"/>
      <c r="AK9" s="381"/>
      <c r="AL9" s="381"/>
      <c r="AM9" s="381"/>
      <c r="AN9" s="381"/>
      <c r="AO9" s="381"/>
      <c r="AP9" s="381"/>
      <c r="AQ9" s="381"/>
      <c r="AR9" s="381"/>
      <c r="AS9" s="382"/>
      <c r="AT9" s="351"/>
      <c r="AU9" s="352"/>
      <c r="AV9" s="352"/>
      <c r="AW9" s="352"/>
      <c r="AX9" s="352"/>
      <c r="AY9" s="352"/>
      <c r="AZ9" s="352"/>
      <c r="BA9" s="352"/>
      <c r="BB9" s="352"/>
      <c r="BC9" s="352"/>
      <c r="BD9" s="374"/>
    </row>
    <row r="10" spans="2:56" ht="12" customHeight="1" x14ac:dyDescent="0.25">
      <c r="B10" s="210" t="s">
        <v>228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326"/>
      <c r="M10" s="225" t="s">
        <v>229</v>
      </c>
      <c r="N10" s="370"/>
      <c r="O10" s="370"/>
      <c r="P10" s="370"/>
      <c r="Q10" s="370"/>
      <c r="R10" s="370"/>
      <c r="S10" s="370"/>
      <c r="T10" s="370"/>
      <c r="U10" s="370"/>
      <c r="V10" s="370"/>
      <c r="W10" s="371"/>
      <c r="X10" s="226" t="s">
        <v>230</v>
      </c>
      <c r="Y10" s="342"/>
      <c r="Z10" s="342"/>
      <c r="AA10" s="342"/>
      <c r="AB10" s="342"/>
      <c r="AC10" s="342"/>
      <c r="AD10" s="342"/>
      <c r="AE10" s="342"/>
      <c r="AF10" s="342"/>
      <c r="AG10" s="342"/>
      <c r="AH10" s="343"/>
      <c r="AI10" s="226" t="s">
        <v>231</v>
      </c>
      <c r="AJ10" s="342"/>
      <c r="AK10" s="342"/>
      <c r="AL10" s="342"/>
      <c r="AM10" s="342"/>
      <c r="AN10" s="342"/>
      <c r="AO10" s="342"/>
      <c r="AP10" s="342"/>
      <c r="AQ10" s="342"/>
      <c r="AR10" s="342"/>
      <c r="AS10" s="343"/>
      <c r="AT10" s="180" t="s">
        <v>232</v>
      </c>
      <c r="AU10" s="319"/>
      <c r="AV10" s="319"/>
      <c r="AW10" s="319"/>
      <c r="AX10" s="319"/>
      <c r="AY10" s="319"/>
      <c r="AZ10" s="319"/>
      <c r="BA10" s="319"/>
      <c r="BB10" s="319"/>
      <c r="BC10" s="319"/>
      <c r="BD10" s="320"/>
    </row>
    <row r="11" spans="2:56" ht="12" customHeight="1" x14ac:dyDescent="0.25">
      <c r="B11" s="186"/>
      <c r="C11" s="312"/>
      <c r="D11" s="312"/>
      <c r="E11" s="312"/>
      <c r="F11" s="312"/>
      <c r="G11" s="312"/>
      <c r="H11" s="312"/>
      <c r="I11" s="312"/>
      <c r="J11" s="312"/>
      <c r="K11" s="312"/>
      <c r="L11" s="313"/>
      <c r="M11" s="194"/>
      <c r="N11" s="333"/>
      <c r="O11" s="333"/>
      <c r="P11" s="333"/>
      <c r="Q11" s="333"/>
      <c r="R11" s="333"/>
      <c r="S11" s="333"/>
      <c r="T11" s="333"/>
      <c r="U11" s="333"/>
      <c r="V11" s="333"/>
      <c r="W11" s="334"/>
      <c r="X11" s="194"/>
      <c r="Y11" s="333"/>
      <c r="Z11" s="333"/>
      <c r="AA11" s="333"/>
      <c r="AB11" s="333"/>
      <c r="AC11" s="333"/>
      <c r="AD11" s="333"/>
      <c r="AE11" s="333"/>
      <c r="AF11" s="333"/>
      <c r="AG11" s="333"/>
      <c r="AH11" s="334"/>
      <c r="AI11" s="194"/>
      <c r="AJ11" s="333"/>
      <c r="AK11" s="333"/>
      <c r="AL11" s="333"/>
      <c r="AM11" s="333"/>
      <c r="AN11" s="333"/>
      <c r="AO11" s="333"/>
      <c r="AP11" s="333"/>
      <c r="AQ11" s="333"/>
      <c r="AR11" s="333"/>
      <c r="AS11" s="334"/>
      <c r="AT11" s="203"/>
      <c r="AU11" s="279"/>
      <c r="AV11" s="279"/>
      <c r="AW11" s="279"/>
      <c r="AX11" s="279"/>
      <c r="AY11" s="279"/>
      <c r="AZ11" s="279"/>
      <c r="BA11" s="279"/>
      <c r="BB11" s="279"/>
      <c r="BC11" s="279"/>
      <c r="BD11" s="290"/>
    </row>
    <row r="12" spans="2:56" ht="12" customHeight="1" x14ac:dyDescent="0.25">
      <c r="B12" s="204"/>
      <c r="C12" s="314"/>
      <c r="D12" s="314"/>
      <c r="E12" s="314"/>
      <c r="F12" s="314"/>
      <c r="G12" s="314"/>
      <c r="H12" s="314"/>
      <c r="I12" s="314"/>
      <c r="J12" s="314"/>
      <c r="K12" s="314"/>
      <c r="L12" s="315"/>
      <c r="M12" s="224"/>
      <c r="N12" s="283"/>
      <c r="O12" s="283"/>
      <c r="P12" s="283"/>
      <c r="Q12" s="283"/>
      <c r="R12" s="283"/>
      <c r="S12" s="283"/>
      <c r="T12" s="283"/>
      <c r="U12" s="283"/>
      <c r="V12" s="283"/>
      <c r="W12" s="335"/>
      <c r="X12" s="224"/>
      <c r="Y12" s="283"/>
      <c r="Z12" s="283"/>
      <c r="AA12" s="283"/>
      <c r="AB12" s="283"/>
      <c r="AC12" s="283"/>
      <c r="AD12" s="283"/>
      <c r="AE12" s="283"/>
      <c r="AF12" s="283"/>
      <c r="AG12" s="283"/>
      <c r="AH12" s="335"/>
      <c r="AI12" s="224"/>
      <c r="AJ12" s="283"/>
      <c r="AK12" s="283"/>
      <c r="AL12" s="283"/>
      <c r="AM12" s="283"/>
      <c r="AN12" s="283"/>
      <c r="AO12" s="283"/>
      <c r="AP12" s="283"/>
      <c r="AQ12" s="283"/>
      <c r="AR12" s="283"/>
      <c r="AS12" s="33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314"/>
      <c r="D13" s="314"/>
      <c r="E13" s="314"/>
      <c r="F13" s="314"/>
      <c r="G13" s="314"/>
      <c r="H13" s="314"/>
      <c r="I13" s="314"/>
      <c r="J13" s="314"/>
      <c r="K13" s="314"/>
      <c r="L13" s="315"/>
      <c r="M13" s="224"/>
      <c r="N13" s="283"/>
      <c r="O13" s="283"/>
      <c r="P13" s="283"/>
      <c r="Q13" s="283"/>
      <c r="R13" s="283"/>
      <c r="S13" s="283"/>
      <c r="T13" s="283"/>
      <c r="U13" s="283"/>
      <c r="V13" s="283"/>
      <c r="W13" s="335"/>
      <c r="X13" s="224"/>
      <c r="Y13" s="283"/>
      <c r="Z13" s="283"/>
      <c r="AA13" s="283"/>
      <c r="AB13" s="283"/>
      <c r="AC13" s="283"/>
      <c r="AD13" s="283"/>
      <c r="AE13" s="283"/>
      <c r="AF13" s="283"/>
      <c r="AG13" s="283"/>
      <c r="AH13" s="335"/>
      <c r="AI13" s="224"/>
      <c r="AJ13" s="283"/>
      <c r="AK13" s="283"/>
      <c r="AL13" s="283"/>
      <c r="AM13" s="283"/>
      <c r="AN13" s="283"/>
      <c r="AO13" s="283"/>
      <c r="AP13" s="283"/>
      <c r="AQ13" s="283"/>
      <c r="AR13" s="283"/>
      <c r="AS13" s="33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314"/>
      <c r="D14" s="314"/>
      <c r="E14" s="314"/>
      <c r="F14" s="314"/>
      <c r="G14" s="314"/>
      <c r="H14" s="314"/>
      <c r="I14" s="314"/>
      <c r="J14" s="314"/>
      <c r="K14" s="314"/>
      <c r="L14" s="315"/>
      <c r="M14" s="224"/>
      <c r="N14" s="283"/>
      <c r="O14" s="283"/>
      <c r="P14" s="283"/>
      <c r="Q14" s="283"/>
      <c r="R14" s="283"/>
      <c r="S14" s="283"/>
      <c r="T14" s="283"/>
      <c r="U14" s="283"/>
      <c r="V14" s="283"/>
      <c r="W14" s="335"/>
      <c r="X14" s="224"/>
      <c r="Y14" s="283"/>
      <c r="Z14" s="283"/>
      <c r="AA14" s="283"/>
      <c r="AB14" s="283"/>
      <c r="AC14" s="283"/>
      <c r="AD14" s="283"/>
      <c r="AE14" s="283"/>
      <c r="AF14" s="283"/>
      <c r="AG14" s="283"/>
      <c r="AH14" s="335"/>
      <c r="AI14" s="224"/>
      <c r="AJ14" s="283"/>
      <c r="AK14" s="283"/>
      <c r="AL14" s="283"/>
      <c r="AM14" s="283"/>
      <c r="AN14" s="283"/>
      <c r="AO14" s="283"/>
      <c r="AP14" s="283"/>
      <c r="AQ14" s="283"/>
      <c r="AR14" s="283"/>
      <c r="AS14" s="33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314"/>
      <c r="D15" s="314"/>
      <c r="E15" s="314"/>
      <c r="F15" s="314"/>
      <c r="G15" s="314"/>
      <c r="H15" s="314"/>
      <c r="I15" s="314"/>
      <c r="J15" s="314"/>
      <c r="K15" s="314"/>
      <c r="L15" s="315"/>
      <c r="M15" s="224"/>
      <c r="N15" s="283"/>
      <c r="O15" s="283"/>
      <c r="P15" s="283"/>
      <c r="Q15" s="283"/>
      <c r="R15" s="283"/>
      <c r="S15" s="283"/>
      <c r="T15" s="283"/>
      <c r="U15" s="283"/>
      <c r="V15" s="283"/>
      <c r="W15" s="335"/>
      <c r="X15" s="224"/>
      <c r="Y15" s="283"/>
      <c r="Z15" s="283"/>
      <c r="AA15" s="283"/>
      <c r="AB15" s="283"/>
      <c r="AC15" s="283"/>
      <c r="AD15" s="283"/>
      <c r="AE15" s="283"/>
      <c r="AF15" s="283"/>
      <c r="AG15" s="283"/>
      <c r="AH15" s="335"/>
      <c r="AI15" s="224"/>
      <c r="AJ15" s="283"/>
      <c r="AK15" s="283"/>
      <c r="AL15" s="283"/>
      <c r="AM15" s="283"/>
      <c r="AN15" s="283"/>
      <c r="AO15" s="283"/>
      <c r="AP15" s="283"/>
      <c r="AQ15" s="283"/>
      <c r="AR15" s="283"/>
      <c r="AS15" s="33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314"/>
      <c r="D16" s="314"/>
      <c r="E16" s="314"/>
      <c r="F16" s="314"/>
      <c r="G16" s="314"/>
      <c r="H16" s="314"/>
      <c r="I16" s="314"/>
      <c r="J16" s="314"/>
      <c r="K16" s="314"/>
      <c r="L16" s="315"/>
      <c r="M16" s="224"/>
      <c r="N16" s="283"/>
      <c r="O16" s="283"/>
      <c r="P16" s="283"/>
      <c r="Q16" s="283"/>
      <c r="R16" s="283"/>
      <c r="S16" s="283"/>
      <c r="T16" s="283"/>
      <c r="U16" s="283"/>
      <c r="V16" s="283"/>
      <c r="W16" s="335"/>
      <c r="X16" s="224"/>
      <c r="Y16" s="283"/>
      <c r="Z16" s="283"/>
      <c r="AA16" s="283"/>
      <c r="AB16" s="283"/>
      <c r="AC16" s="283"/>
      <c r="AD16" s="283"/>
      <c r="AE16" s="283"/>
      <c r="AF16" s="283"/>
      <c r="AG16" s="283"/>
      <c r="AH16" s="335"/>
      <c r="AI16" s="224"/>
      <c r="AJ16" s="283"/>
      <c r="AK16" s="283"/>
      <c r="AL16" s="283"/>
      <c r="AM16" s="283"/>
      <c r="AN16" s="283"/>
      <c r="AO16" s="283"/>
      <c r="AP16" s="283"/>
      <c r="AQ16" s="283"/>
      <c r="AR16" s="283"/>
      <c r="AS16" s="33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339"/>
      <c r="C17" s="340"/>
      <c r="D17" s="340"/>
      <c r="E17" s="340"/>
      <c r="F17" s="340"/>
      <c r="G17" s="340"/>
      <c r="H17" s="340"/>
      <c r="I17" s="340"/>
      <c r="J17" s="340"/>
      <c r="K17" s="340"/>
      <c r="L17" s="341"/>
      <c r="M17" s="336"/>
      <c r="N17" s="337"/>
      <c r="O17" s="337"/>
      <c r="P17" s="337"/>
      <c r="Q17" s="337"/>
      <c r="R17" s="337"/>
      <c r="S17" s="337"/>
      <c r="T17" s="337"/>
      <c r="U17" s="337"/>
      <c r="V17" s="337"/>
      <c r="W17" s="338"/>
      <c r="X17" s="336"/>
      <c r="Y17" s="337"/>
      <c r="Z17" s="337"/>
      <c r="AA17" s="337"/>
      <c r="AB17" s="337"/>
      <c r="AC17" s="337"/>
      <c r="AD17" s="337"/>
      <c r="AE17" s="337"/>
      <c r="AF17" s="337"/>
      <c r="AG17" s="337"/>
      <c r="AH17" s="338"/>
      <c r="AI17" s="336"/>
      <c r="AJ17" s="337"/>
      <c r="AK17" s="337"/>
      <c r="AL17" s="337"/>
      <c r="AM17" s="337"/>
      <c r="AN17" s="337"/>
      <c r="AO17" s="337"/>
      <c r="AP17" s="337"/>
      <c r="AQ17" s="337"/>
      <c r="AR17" s="337"/>
      <c r="AS17" s="338"/>
      <c r="AT17" s="178"/>
      <c r="AU17" s="327"/>
      <c r="AV17" s="327"/>
      <c r="AW17" s="327"/>
      <c r="AX17" s="327"/>
      <c r="AY17" s="327"/>
      <c r="AZ17" s="327"/>
      <c r="BA17" s="327"/>
      <c r="BB17" s="327"/>
      <c r="BC17" s="327"/>
      <c r="BD17" s="328"/>
    </row>
    <row r="18" spans="2:56" ht="12" customHeight="1" x14ac:dyDescent="0.25">
      <c r="B18" s="210" t="s">
        <v>233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326"/>
      <c r="M18" s="211" t="s">
        <v>234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326"/>
      <c r="X18" s="211" t="s">
        <v>235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326"/>
      <c r="AI18" s="233" t="s">
        <v>236</v>
      </c>
      <c r="AJ18" s="368"/>
      <c r="AK18" s="368"/>
      <c r="AL18" s="368"/>
      <c r="AM18" s="368"/>
      <c r="AN18" s="368"/>
      <c r="AO18" s="368"/>
      <c r="AP18" s="368"/>
      <c r="AQ18" s="368"/>
      <c r="AR18" s="368"/>
      <c r="AS18" s="369"/>
      <c r="AT18" s="180" t="s">
        <v>237</v>
      </c>
      <c r="AU18" s="319"/>
      <c r="AV18" s="319"/>
      <c r="AW18" s="319"/>
      <c r="AX18" s="319"/>
      <c r="AY18" s="319"/>
      <c r="AZ18" s="319"/>
      <c r="BA18" s="319"/>
      <c r="BB18" s="319"/>
      <c r="BC18" s="319"/>
      <c r="BD18" s="320"/>
    </row>
    <row r="19" spans="2:56" ht="12" customHeight="1" x14ac:dyDescent="0.25">
      <c r="B19" s="186"/>
      <c r="C19" s="312"/>
      <c r="D19" s="312"/>
      <c r="E19" s="312"/>
      <c r="F19" s="312"/>
      <c r="G19" s="312"/>
      <c r="H19" s="312"/>
      <c r="I19" s="312"/>
      <c r="J19" s="312"/>
      <c r="K19" s="312"/>
      <c r="L19" s="313"/>
      <c r="M19" s="205"/>
      <c r="N19" s="361"/>
      <c r="O19" s="361"/>
      <c r="P19" s="361"/>
      <c r="Q19" s="361"/>
      <c r="R19" s="361"/>
      <c r="S19" s="361"/>
      <c r="T19" s="361"/>
      <c r="U19" s="361"/>
      <c r="V19" s="361"/>
      <c r="W19" s="362"/>
      <c r="X19" s="234"/>
      <c r="Y19" s="354"/>
      <c r="Z19" s="354"/>
      <c r="AA19" s="354"/>
      <c r="AB19" s="354"/>
      <c r="AC19" s="354"/>
      <c r="AD19" s="354"/>
      <c r="AE19" s="354"/>
      <c r="AF19" s="354"/>
      <c r="AG19" s="354"/>
      <c r="AH19" s="355"/>
      <c r="AI19" s="198"/>
      <c r="AJ19" s="347"/>
      <c r="AK19" s="347"/>
      <c r="AL19" s="347"/>
      <c r="AM19" s="347"/>
      <c r="AN19" s="347"/>
      <c r="AO19" s="347"/>
      <c r="AP19" s="347"/>
      <c r="AQ19" s="347"/>
      <c r="AR19" s="347"/>
      <c r="AS19" s="348"/>
      <c r="AT19" s="203"/>
      <c r="AU19" s="279"/>
      <c r="AV19" s="279"/>
      <c r="AW19" s="279"/>
      <c r="AX19" s="279"/>
      <c r="AY19" s="279"/>
      <c r="AZ19" s="279"/>
      <c r="BA19" s="279"/>
      <c r="BB19" s="279"/>
      <c r="BC19" s="279"/>
      <c r="BD19" s="290"/>
    </row>
    <row r="20" spans="2:56" ht="12" customHeight="1" x14ac:dyDescent="0.25">
      <c r="B20" s="204"/>
      <c r="C20" s="314"/>
      <c r="D20" s="314"/>
      <c r="E20" s="314"/>
      <c r="F20" s="314"/>
      <c r="G20" s="314"/>
      <c r="H20" s="314"/>
      <c r="I20" s="314"/>
      <c r="J20" s="314"/>
      <c r="K20" s="314"/>
      <c r="L20" s="315"/>
      <c r="M20" s="206"/>
      <c r="N20" s="363"/>
      <c r="O20" s="363"/>
      <c r="P20" s="363"/>
      <c r="Q20" s="363"/>
      <c r="R20" s="363"/>
      <c r="S20" s="363"/>
      <c r="T20" s="363"/>
      <c r="U20" s="363"/>
      <c r="V20" s="363"/>
      <c r="W20" s="364"/>
      <c r="X20" s="235"/>
      <c r="Y20" s="356"/>
      <c r="Z20" s="356"/>
      <c r="AA20" s="356"/>
      <c r="AB20" s="356"/>
      <c r="AC20" s="356"/>
      <c r="AD20" s="356"/>
      <c r="AE20" s="356"/>
      <c r="AF20" s="356"/>
      <c r="AG20" s="356"/>
      <c r="AH20" s="357"/>
      <c r="AI20" s="236"/>
      <c r="AJ20" s="349"/>
      <c r="AK20" s="349"/>
      <c r="AL20" s="349"/>
      <c r="AM20" s="349"/>
      <c r="AN20" s="349"/>
      <c r="AO20" s="349"/>
      <c r="AP20" s="349"/>
      <c r="AQ20" s="349"/>
      <c r="AR20" s="349"/>
      <c r="AS20" s="350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314"/>
      <c r="D21" s="314"/>
      <c r="E21" s="314"/>
      <c r="F21" s="314"/>
      <c r="G21" s="314"/>
      <c r="H21" s="314"/>
      <c r="I21" s="314"/>
      <c r="J21" s="314"/>
      <c r="K21" s="314"/>
      <c r="L21" s="315"/>
      <c r="M21" s="206"/>
      <c r="N21" s="363"/>
      <c r="O21" s="363"/>
      <c r="P21" s="363"/>
      <c r="Q21" s="363"/>
      <c r="R21" s="363"/>
      <c r="S21" s="363"/>
      <c r="T21" s="363"/>
      <c r="U21" s="363"/>
      <c r="V21" s="363"/>
      <c r="W21" s="364"/>
      <c r="X21" s="235"/>
      <c r="Y21" s="356"/>
      <c r="Z21" s="356"/>
      <c r="AA21" s="356"/>
      <c r="AB21" s="356"/>
      <c r="AC21" s="356"/>
      <c r="AD21" s="356"/>
      <c r="AE21" s="356"/>
      <c r="AF21" s="356"/>
      <c r="AG21" s="356"/>
      <c r="AH21" s="357"/>
      <c r="AI21" s="236"/>
      <c r="AJ21" s="349"/>
      <c r="AK21" s="349"/>
      <c r="AL21" s="349"/>
      <c r="AM21" s="349"/>
      <c r="AN21" s="349"/>
      <c r="AO21" s="349"/>
      <c r="AP21" s="349"/>
      <c r="AQ21" s="349"/>
      <c r="AR21" s="349"/>
      <c r="AS21" s="350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314"/>
      <c r="D22" s="314"/>
      <c r="E22" s="314"/>
      <c r="F22" s="314"/>
      <c r="G22" s="314"/>
      <c r="H22" s="314"/>
      <c r="I22" s="314"/>
      <c r="J22" s="314"/>
      <c r="K22" s="314"/>
      <c r="L22" s="315"/>
      <c r="M22" s="206"/>
      <c r="N22" s="363"/>
      <c r="O22" s="363"/>
      <c r="P22" s="363"/>
      <c r="Q22" s="363"/>
      <c r="R22" s="363"/>
      <c r="S22" s="363"/>
      <c r="T22" s="363"/>
      <c r="U22" s="363"/>
      <c r="V22" s="363"/>
      <c r="W22" s="364"/>
      <c r="X22" s="235"/>
      <c r="Y22" s="356"/>
      <c r="Z22" s="356"/>
      <c r="AA22" s="356"/>
      <c r="AB22" s="356"/>
      <c r="AC22" s="356"/>
      <c r="AD22" s="356"/>
      <c r="AE22" s="356"/>
      <c r="AF22" s="356"/>
      <c r="AG22" s="356"/>
      <c r="AH22" s="357"/>
      <c r="AI22" s="236"/>
      <c r="AJ22" s="349"/>
      <c r="AK22" s="349"/>
      <c r="AL22" s="349"/>
      <c r="AM22" s="349"/>
      <c r="AN22" s="349"/>
      <c r="AO22" s="349"/>
      <c r="AP22" s="349"/>
      <c r="AQ22" s="349"/>
      <c r="AR22" s="349"/>
      <c r="AS22" s="350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314"/>
      <c r="D23" s="314"/>
      <c r="E23" s="314"/>
      <c r="F23" s="314"/>
      <c r="G23" s="314"/>
      <c r="H23" s="314"/>
      <c r="I23" s="314"/>
      <c r="J23" s="314"/>
      <c r="K23" s="314"/>
      <c r="L23" s="315"/>
      <c r="M23" s="206"/>
      <c r="N23" s="363"/>
      <c r="O23" s="363"/>
      <c r="P23" s="363"/>
      <c r="Q23" s="363"/>
      <c r="R23" s="363"/>
      <c r="S23" s="363"/>
      <c r="T23" s="363"/>
      <c r="U23" s="363"/>
      <c r="V23" s="363"/>
      <c r="W23" s="364"/>
      <c r="X23" s="235"/>
      <c r="Y23" s="356"/>
      <c r="Z23" s="356"/>
      <c r="AA23" s="356"/>
      <c r="AB23" s="356"/>
      <c r="AC23" s="356"/>
      <c r="AD23" s="356"/>
      <c r="AE23" s="356"/>
      <c r="AF23" s="356"/>
      <c r="AG23" s="356"/>
      <c r="AH23" s="357"/>
      <c r="AI23" s="236"/>
      <c r="AJ23" s="349"/>
      <c r="AK23" s="349"/>
      <c r="AL23" s="349"/>
      <c r="AM23" s="349"/>
      <c r="AN23" s="349"/>
      <c r="AO23" s="349"/>
      <c r="AP23" s="349"/>
      <c r="AQ23" s="349"/>
      <c r="AR23" s="349"/>
      <c r="AS23" s="350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314"/>
      <c r="D24" s="314"/>
      <c r="E24" s="314"/>
      <c r="F24" s="314"/>
      <c r="G24" s="314"/>
      <c r="H24" s="314"/>
      <c r="I24" s="314"/>
      <c r="J24" s="314"/>
      <c r="K24" s="314"/>
      <c r="L24" s="315"/>
      <c r="M24" s="206"/>
      <c r="N24" s="363"/>
      <c r="O24" s="363"/>
      <c r="P24" s="363"/>
      <c r="Q24" s="363"/>
      <c r="R24" s="363"/>
      <c r="S24" s="363"/>
      <c r="T24" s="363"/>
      <c r="U24" s="363"/>
      <c r="V24" s="363"/>
      <c r="W24" s="364"/>
      <c r="X24" s="235"/>
      <c r="Y24" s="356"/>
      <c r="Z24" s="356"/>
      <c r="AA24" s="356"/>
      <c r="AB24" s="356"/>
      <c r="AC24" s="356"/>
      <c r="AD24" s="356"/>
      <c r="AE24" s="356"/>
      <c r="AF24" s="356"/>
      <c r="AG24" s="356"/>
      <c r="AH24" s="357"/>
      <c r="AI24" s="236"/>
      <c r="AJ24" s="349"/>
      <c r="AK24" s="349"/>
      <c r="AL24" s="349"/>
      <c r="AM24" s="349"/>
      <c r="AN24" s="349"/>
      <c r="AO24" s="349"/>
      <c r="AP24" s="349"/>
      <c r="AQ24" s="349"/>
      <c r="AR24" s="349"/>
      <c r="AS24" s="350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339"/>
      <c r="C25" s="340"/>
      <c r="D25" s="340"/>
      <c r="E25" s="340"/>
      <c r="F25" s="340"/>
      <c r="G25" s="340"/>
      <c r="H25" s="340"/>
      <c r="I25" s="340"/>
      <c r="J25" s="340"/>
      <c r="K25" s="340"/>
      <c r="L25" s="341"/>
      <c r="M25" s="365"/>
      <c r="N25" s="366"/>
      <c r="O25" s="366"/>
      <c r="P25" s="366"/>
      <c r="Q25" s="366"/>
      <c r="R25" s="366"/>
      <c r="S25" s="366"/>
      <c r="T25" s="366"/>
      <c r="U25" s="366"/>
      <c r="V25" s="366"/>
      <c r="W25" s="367"/>
      <c r="X25" s="358"/>
      <c r="Y25" s="359"/>
      <c r="Z25" s="359"/>
      <c r="AA25" s="359"/>
      <c r="AB25" s="359"/>
      <c r="AC25" s="359"/>
      <c r="AD25" s="359"/>
      <c r="AE25" s="359"/>
      <c r="AF25" s="359"/>
      <c r="AG25" s="359"/>
      <c r="AH25" s="360"/>
      <c r="AI25" s="351"/>
      <c r="AJ25" s="352"/>
      <c r="AK25" s="352"/>
      <c r="AL25" s="352"/>
      <c r="AM25" s="352"/>
      <c r="AN25" s="352"/>
      <c r="AO25" s="352"/>
      <c r="AP25" s="352"/>
      <c r="AQ25" s="352"/>
      <c r="AR25" s="352"/>
      <c r="AS25" s="353"/>
      <c r="AT25" s="178"/>
      <c r="AU25" s="327"/>
      <c r="AV25" s="327"/>
      <c r="AW25" s="327"/>
      <c r="AX25" s="327"/>
      <c r="AY25" s="327"/>
      <c r="AZ25" s="327"/>
      <c r="BA25" s="327"/>
      <c r="BB25" s="327"/>
      <c r="BC25" s="327"/>
      <c r="BD25" s="328"/>
    </row>
    <row r="26" spans="2:56" ht="12" customHeight="1" x14ac:dyDescent="0.25">
      <c r="B26" s="210" t="s">
        <v>238</v>
      </c>
      <c r="C26" s="207"/>
      <c r="D26" s="207"/>
      <c r="E26" s="207"/>
      <c r="F26" s="207"/>
      <c r="G26" s="207"/>
      <c r="H26" s="207"/>
      <c r="I26" s="207"/>
      <c r="J26" s="207"/>
      <c r="K26" s="207"/>
      <c r="L26" s="326"/>
      <c r="M26" s="226" t="s">
        <v>239</v>
      </c>
      <c r="N26" s="342"/>
      <c r="O26" s="342"/>
      <c r="P26" s="342"/>
      <c r="Q26" s="342"/>
      <c r="R26" s="342"/>
      <c r="S26" s="342"/>
      <c r="T26" s="342"/>
      <c r="U26" s="342"/>
      <c r="V26" s="342"/>
      <c r="W26" s="343"/>
      <c r="X26" s="214" t="s">
        <v>240</v>
      </c>
      <c r="Y26" s="322"/>
      <c r="Z26" s="322"/>
      <c r="AA26" s="322"/>
      <c r="AB26" s="322"/>
      <c r="AC26" s="322"/>
      <c r="AD26" s="322"/>
      <c r="AE26" s="322"/>
      <c r="AF26" s="322"/>
      <c r="AG26" s="322"/>
      <c r="AH26" s="323"/>
      <c r="AI26" s="180" t="s">
        <v>241</v>
      </c>
      <c r="AJ26" s="319"/>
      <c r="AK26" s="319"/>
      <c r="AL26" s="319"/>
      <c r="AM26" s="319"/>
      <c r="AN26" s="319"/>
      <c r="AO26" s="319"/>
      <c r="AP26" s="319"/>
      <c r="AQ26" s="319"/>
      <c r="AR26" s="319"/>
      <c r="AS26" s="321"/>
      <c r="AT26" s="180" t="s">
        <v>242</v>
      </c>
      <c r="AU26" s="319"/>
      <c r="AV26" s="319"/>
      <c r="AW26" s="319"/>
      <c r="AX26" s="319"/>
      <c r="AY26" s="319"/>
      <c r="AZ26" s="319"/>
      <c r="BA26" s="319"/>
      <c r="BB26" s="319"/>
      <c r="BC26" s="319"/>
      <c r="BD26" s="320"/>
    </row>
    <row r="27" spans="2:56" ht="12" customHeight="1" x14ac:dyDescent="0.25">
      <c r="B27" s="186"/>
      <c r="C27" s="312"/>
      <c r="D27" s="312"/>
      <c r="E27" s="312"/>
      <c r="F27" s="312"/>
      <c r="G27" s="312"/>
      <c r="H27" s="312"/>
      <c r="I27" s="312"/>
      <c r="J27" s="312"/>
      <c r="K27" s="312"/>
      <c r="L27" s="313"/>
      <c r="M27" s="212"/>
      <c r="N27" s="305"/>
      <c r="O27" s="305"/>
      <c r="P27" s="305"/>
      <c r="Q27" s="305"/>
      <c r="R27" s="305"/>
      <c r="S27" s="305"/>
      <c r="T27" s="305"/>
      <c r="U27" s="305"/>
      <c r="V27" s="305"/>
      <c r="W27" s="306"/>
      <c r="X27" s="197"/>
      <c r="Y27" s="298"/>
      <c r="Z27" s="298"/>
      <c r="AA27" s="298"/>
      <c r="AB27" s="298"/>
      <c r="AC27" s="298"/>
      <c r="AD27" s="298"/>
      <c r="AE27" s="298"/>
      <c r="AF27" s="298"/>
      <c r="AG27" s="298"/>
      <c r="AH27" s="299"/>
      <c r="AI27" s="203"/>
      <c r="AJ27" s="279"/>
      <c r="AK27" s="279"/>
      <c r="AL27" s="279"/>
      <c r="AM27" s="279"/>
      <c r="AN27" s="279"/>
      <c r="AO27" s="279"/>
      <c r="AP27" s="279"/>
      <c r="AQ27" s="279"/>
      <c r="AR27" s="279"/>
      <c r="AS27" s="280"/>
      <c r="AT27" s="203"/>
      <c r="AU27" s="279"/>
      <c r="AV27" s="279"/>
      <c r="AW27" s="279"/>
      <c r="AX27" s="279"/>
      <c r="AY27" s="279"/>
      <c r="AZ27" s="279"/>
      <c r="BA27" s="279"/>
      <c r="BB27" s="279"/>
      <c r="BC27" s="279"/>
      <c r="BD27" s="290"/>
    </row>
    <row r="28" spans="2:56" ht="12" customHeight="1" x14ac:dyDescent="0.25">
      <c r="B28" s="204"/>
      <c r="C28" s="314"/>
      <c r="D28" s="314"/>
      <c r="E28" s="314"/>
      <c r="F28" s="314"/>
      <c r="G28" s="314"/>
      <c r="H28" s="314"/>
      <c r="I28" s="314"/>
      <c r="J28" s="314"/>
      <c r="K28" s="314"/>
      <c r="L28" s="315"/>
      <c r="M28" s="219"/>
      <c r="N28" s="307"/>
      <c r="O28" s="307"/>
      <c r="P28" s="307"/>
      <c r="Q28" s="307"/>
      <c r="R28" s="307"/>
      <c r="S28" s="307"/>
      <c r="T28" s="307"/>
      <c r="U28" s="307"/>
      <c r="V28" s="307"/>
      <c r="W28" s="308"/>
      <c r="X28" s="221"/>
      <c r="Y28" s="300"/>
      <c r="Z28" s="300"/>
      <c r="AA28" s="300"/>
      <c r="AB28" s="300"/>
      <c r="AC28" s="300"/>
      <c r="AD28" s="300"/>
      <c r="AE28" s="300"/>
      <c r="AF28" s="300"/>
      <c r="AG28" s="300"/>
      <c r="AH28" s="301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296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314"/>
      <c r="D29" s="314"/>
      <c r="E29" s="314"/>
      <c r="F29" s="314"/>
      <c r="G29" s="314"/>
      <c r="H29" s="314"/>
      <c r="I29" s="314"/>
      <c r="J29" s="314"/>
      <c r="K29" s="314"/>
      <c r="L29" s="315"/>
      <c r="M29" s="219"/>
      <c r="N29" s="307"/>
      <c r="O29" s="307"/>
      <c r="P29" s="307"/>
      <c r="Q29" s="307"/>
      <c r="R29" s="307"/>
      <c r="S29" s="307"/>
      <c r="T29" s="307"/>
      <c r="U29" s="307"/>
      <c r="V29" s="307"/>
      <c r="W29" s="308"/>
      <c r="X29" s="221"/>
      <c r="Y29" s="300"/>
      <c r="Z29" s="300"/>
      <c r="AA29" s="300"/>
      <c r="AB29" s="300"/>
      <c r="AC29" s="300"/>
      <c r="AD29" s="300"/>
      <c r="AE29" s="300"/>
      <c r="AF29" s="300"/>
      <c r="AG29" s="300"/>
      <c r="AH29" s="301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296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314"/>
      <c r="D30" s="314"/>
      <c r="E30" s="314"/>
      <c r="F30" s="314"/>
      <c r="G30" s="314"/>
      <c r="H30" s="314"/>
      <c r="I30" s="314"/>
      <c r="J30" s="314"/>
      <c r="K30" s="314"/>
      <c r="L30" s="315"/>
      <c r="M30" s="219"/>
      <c r="N30" s="307"/>
      <c r="O30" s="307"/>
      <c r="P30" s="307"/>
      <c r="Q30" s="307"/>
      <c r="R30" s="307"/>
      <c r="S30" s="307"/>
      <c r="T30" s="307"/>
      <c r="U30" s="307"/>
      <c r="V30" s="307"/>
      <c r="W30" s="308"/>
      <c r="X30" s="221"/>
      <c r="Y30" s="300"/>
      <c r="Z30" s="300"/>
      <c r="AA30" s="300"/>
      <c r="AB30" s="300"/>
      <c r="AC30" s="300"/>
      <c r="AD30" s="300"/>
      <c r="AE30" s="300"/>
      <c r="AF30" s="300"/>
      <c r="AG30" s="300"/>
      <c r="AH30" s="301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296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314"/>
      <c r="D31" s="314"/>
      <c r="E31" s="314"/>
      <c r="F31" s="314"/>
      <c r="G31" s="314"/>
      <c r="H31" s="314"/>
      <c r="I31" s="314"/>
      <c r="J31" s="314"/>
      <c r="K31" s="314"/>
      <c r="L31" s="315"/>
      <c r="M31" s="219"/>
      <c r="N31" s="307"/>
      <c r="O31" s="307"/>
      <c r="P31" s="307"/>
      <c r="Q31" s="307"/>
      <c r="R31" s="307"/>
      <c r="S31" s="307"/>
      <c r="T31" s="307"/>
      <c r="U31" s="307"/>
      <c r="V31" s="307"/>
      <c r="W31" s="308"/>
      <c r="X31" s="221"/>
      <c r="Y31" s="300"/>
      <c r="Z31" s="300"/>
      <c r="AA31" s="300"/>
      <c r="AB31" s="300"/>
      <c r="AC31" s="300"/>
      <c r="AD31" s="300"/>
      <c r="AE31" s="300"/>
      <c r="AF31" s="300"/>
      <c r="AG31" s="300"/>
      <c r="AH31" s="301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296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314"/>
      <c r="D32" s="314"/>
      <c r="E32" s="314"/>
      <c r="F32" s="314"/>
      <c r="G32" s="314"/>
      <c r="H32" s="314"/>
      <c r="I32" s="314"/>
      <c r="J32" s="314"/>
      <c r="K32" s="314"/>
      <c r="L32" s="315"/>
      <c r="M32" s="219"/>
      <c r="N32" s="307"/>
      <c r="O32" s="307"/>
      <c r="P32" s="307"/>
      <c r="Q32" s="307"/>
      <c r="R32" s="307"/>
      <c r="S32" s="307"/>
      <c r="T32" s="307"/>
      <c r="U32" s="307"/>
      <c r="V32" s="307"/>
      <c r="W32" s="308"/>
      <c r="X32" s="221"/>
      <c r="Y32" s="300"/>
      <c r="Z32" s="300"/>
      <c r="AA32" s="300"/>
      <c r="AB32" s="300"/>
      <c r="AC32" s="300"/>
      <c r="AD32" s="300"/>
      <c r="AE32" s="300"/>
      <c r="AF32" s="300"/>
      <c r="AG32" s="300"/>
      <c r="AH32" s="301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296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339"/>
      <c r="C33" s="340"/>
      <c r="D33" s="340"/>
      <c r="E33" s="340"/>
      <c r="F33" s="340"/>
      <c r="G33" s="340"/>
      <c r="H33" s="340"/>
      <c r="I33" s="340"/>
      <c r="J33" s="340"/>
      <c r="K33" s="340"/>
      <c r="L33" s="341"/>
      <c r="M33" s="344"/>
      <c r="N33" s="345"/>
      <c r="O33" s="345"/>
      <c r="P33" s="345"/>
      <c r="Q33" s="345"/>
      <c r="R33" s="345"/>
      <c r="S33" s="345"/>
      <c r="T33" s="345"/>
      <c r="U33" s="345"/>
      <c r="V33" s="345"/>
      <c r="W33" s="346"/>
      <c r="X33" s="330"/>
      <c r="Y33" s="331"/>
      <c r="Z33" s="331"/>
      <c r="AA33" s="331"/>
      <c r="AB33" s="331"/>
      <c r="AC33" s="331"/>
      <c r="AD33" s="331"/>
      <c r="AE33" s="331"/>
      <c r="AF33" s="331"/>
      <c r="AG33" s="331"/>
      <c r="AH33" s="332"/>
      <c r="AI33" s="178"/>
      <c r="AJ33" s="327"/>
      <c r="AK33" s="327"/>
      <c r="AL33" s="327"/>
      <c r="AM33" s="327"/>
      <c r="AN33" s="327"/>
      <c r="AO33" s="327"/>
      <c r="AP33" s="327"/>
      <c r="AQ33" s="327"/>
      <c r="AR33" s="327"/>
      <c r="AS33" s="329"/>
      <c r="AT33" s="178"/>
      <c r="AU33" s="327"/>
      <c r="AV33" s="327"/>
      <c r="AW33" s="327"/>
      <c r="AX33" s="327"/>
      <c r="AY33" s="327"/>
      <c r="AZ33" s="327"/>
      <c r="BA33" s="327"/>
      <c r="BB33" s="327"/>
      <c r="BC33" s="327"/>
      <c r="BD33" s="328"/>
    </row>
    <row r="34" spans="2:56" ht="12" customHeight="1" x14ac:dyDescent="0.25">
      <c r="B34" s="210" t="s">
        <v>243</v>
      </c>
      <c r="C34" s="207"/>
      <c r="D34" s="207"/>
      <c r="E34" s="207"/>
      <c r="F34" s="207"/>
      <c r="G34" s="207"/>
      <c r="H34" s="207"/>
      <c r="I34" s="207"/>
      <c r="J34" s="207"/>
      <c r="K34" s="207"/>
      <c r="L34" s="326"/>
      <c r="M34" s="213" t="s">
        <v>244</v>
      </c>
      <c r="N34" s="324"/>
      <c r="O34" s="324"/>
      <c r="P34" s="324"/>
      <c r="Q34" s="324"/>
      <c r="R34" s="324"/>
      <c r="S34" s="324"/>
      <c r="T34" s="324"/>
      <c r="U34" s="324"/>
      <c r="V34" s="324"/>
      <c r="W34" s="325"/>
      <c r="X34" s="214" t="s">
        <v>245</v>
      </c>
      <c r="Y34" s="322"/>
      <c r="Z34" s="322"/>
      <c r="AA34" s="322"/>
      <c r="AB34" s="322"/>
      <c r="AC34" s="322"/>
      <c r="AD34" s="322"/>
      <c r="AE34" s="322"/>
      <c r="AF34" s="322"/>
      <c r="AG34" s="322"/>
      <c r="AH34" s="323"/>
      <c r="AI34" s="180" t="s">
        <v>246</v>
      </c>
      <c r="AJ34" s="319"/>
      <c r="AK34" s="319"/>
      <c r="AL34" s="319"/>
      <c r="AM34" s="319"/>
      <c r="AN34" s="319"/>
      <c r="AO34" s="319"/>
      <c r="AP34" s="319"/>
      <c r="AQ34" s="319"/>
      <c r="AR34" s="319"/>
      <c r="AS34" s="321"/>
      <c r="AT34" s="180" t="s">
        <v>247</v>
      </c>
      <c r="AU34" s="319"/>
      <c r="AV34" s="319"/>
      <c r="AW34" s="319"/>
      <c r="AX34" s="319"/>
      <c r="AY34" s="319"/>
      <c r="AZ34" s="319"/>
      <c r="BA34" s="319"/>
      <c r="BB34" s="319"/>
      <c r="BC34" s="319"/>
      <c r="BD34" s="320"/>
    </row>
    <row r="35" spans="2:56" ht="12" customHeight="1" x14ac:dyDescent="0.25">
      <c r="B35" s="186"/>
      <c r="C35" s="312"/>
      <c r="D35" s="312"/>
      <c r="E35" s="312"/>
      <c r="F35" s="312"/>
      <c r="G35" s="312"/>
      <c r="H35" s="312"/>
      <c r="I35" s="312"/>
      <c r="J35" s="312"/>
      <c r="K35" s="312"/>
      <c r="L35" s="313"/>
      <c r="M35" s="194"/>
      <c r="N35" s="333"/>
      <c r="O35" s="333"/>
      <c r="P35" s="333"/>
      <c r="Q35" s="333"/>
      <c r="R35" s="333"/>
      <c r="S35" s="333"/>
      <c r="T35" s="333"/>
      <c r="U35" s="333"/>
      <c r="V35" s="333"/>
      <c r="W35" s="334"/>
      <c r="X35" s="197"/>
      <c r="Y35" s="298"/>
      <c r="Z35" s="298"/>
      <c r="AA35" s="298"/>
      <c r="AB35" s="298"/>
      <c r="AC35" s="298"/>
      <c r="AD35" s="298"/>
      <c r="AE35" s="298"/>
      <c r="AF35" s="298"/>
      <c r="AG35" s="298"/>
      <c r="AH35" s="299"/>
      <c r="AI35" s="203"/>
      <c r="AJ35" s="279"/>
      <c r="AK35" s="279"/>
      <c r="AL35" s="279"/>
      <c r="AM35" s="279"/>
      <c r="AN35" s="279"/>
      <c r="AO35" s="279"/>
      <c r="AP35" s="279"/>
      <c r="AQ35" s="279"/>
      <c r="AR35" s="279"/>
      <c r="AS35" s="280"/>
      <c r="AT35" s="203"/>
      <c r="AU35" s="279"/>
      <c r="AV35" s="279"/>
      <c r="AW35" s="279"/>
      <c r="AX35" s="279"/>
      <c r="AY35" s="279"/>
      <c r="AZ35" s="279"/>
      <c r="BA35" s="279"/>
      <c r="BB35" s="279"/>
      <c r="BC35" s="279"/>
      <c r="BD35" s="290"/>
    </row>
    <row r="36" spans="2:56" ht="12" customHeight="1" x14ac:dyDescent="0.25">
      <c r="B36" s="204"/>
      <c r="C36" s="314"/>
      <c r="D36" s="314"/>
      <c r="E36" s="314"/>
      <c r="F36" s="314"/>
      <c r="G36" s="314"/>
      <c r="H36" s="314"/>
      <c r="I36" s="314"/>
      <c r="J36" s="314"/>
      <c r="K36" s="314"/>
      <c r="L36" s="315"/>
      <c r="M36" s="224"/>
      <c r="N36" s="283"/>
      <c r="O36" s="283"/>
      <c r="P36" s="283"/>
      <c r="Q36" s="283"/>
      <c r="R36" s="283"/>
      <c r="S36" s="283"/>
      <c r="T36" s="283"/>
      <c r="U36" s="283"/>
      <c r="V36" s="283"/>
      <c r="W36" s="335"/>
      <c r="X36" s="221"/>
      <c r="Y36" s="300"/>
      <c r="Z36" s="300"/>
      <c r="AA36" s="300"/>
      <c r="AB36" s="300"/>
      <c r="AC36" s="300"/>
      <c r="AD36" s="300"/>
      <c r="AE36" s="300"/>
      <c r="AF36" s="300"/>
      <c r="AG36" s="300"/>
      <c r="AH36" s="301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296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314"/>
      <c r="D37" s="314"/>
      <c r="E37" s="314"/>
      <c r="F37" s="314"/>
      <c r="G37" s="314"/>
      <c r="H37" s="314"/>
      <c r="I37" s="314"/>
      <c r="J37" s="314"/>
      <c r="K37" s="314"/>
      <c r="L37" s="315"/>
      <c r="M37" s="224"/>
      <c r="N37" s="283"/>
      <c r="O37" s="283"/>
      <c r="P37" s="283"/>
      <c r="Q37" s="283"/>
      <c r="R37" s="283"/>
      <c r="S37" s="283"/>
      <c r="T37" s="283"/>
      <c r="U37" s="283"/>
      <c r="V37" s="283"/>
      <c r="W37" s="335"/>
      <c r="X37" s="221"/>
      <c r="Y37" s="300"/>
      <c r="Z37" s="300"/>
      <c r="AA37" s="300"/>
      <c r="AB37" s="300"/>
      <c r="AC37" s="300"/>
      <c r="AD37" s="300"/>
      <c r="AE37" s="300"/>
      <c r="AF37" s="300"/>
      <c r="AG37" s="300"/>
      <c r="AH37" s="301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296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314"/>
      <c r="D38" s="314"/>
      <c r="E38" s="314"/>
      <c r="F38" s="314"/>
      <c r="G38" s="314"/>
      <c r="H38" s="314"/>
      <c r="I38" s="314"/>
      <c r="J38" s="314"/>
      <c r="K38" s="314"/>
      <c r="L38" s="315"/>
      <c r="M38" s="224"/>
      <c r="N38" s="283"/>
      <c r="O38" s="283"/>
      <c r="P38" s="283"/>
      <c r="Q38" s="283"/>
      <c r="R38" s="283"/>
      <c r="S38" s="283"/>
      <c r="T38" s="283"/>
      <c r="U38" s="283"/>
      <c r="V38" s="283"/>
      <c r="W38" s="335"/>
      <c r="X38" s="221"/>
      <c r="Y38" s="300"/>
      <c r="Z38" s="300"/>
      <c r="AA38" s="300"/>
      <c r="AB38" s="300"/>
      <c r="AC38" s="300"/>
      <c r="AD38" s="300"/>
      <c r="AE38" s="300"/>
      <c r="AF38" s="300"/>
      <c r="AG38" s="300"/>
      <c r="AH38" s="301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296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314"/>
      <c r="D39" s="314"/>
      <c r="E39" s="314"/>
      <c r="F39" s="314"/>
      <c r="G39" s="314"/>
      <c r="H39" s="314"/>
      <c r="I39" s="314"/>
      <c r="J39" s="314"/>
      <c r="K39" s="314"/>
      <c r="L39" s="315"/>
      <c r="M39" s="224"/>
      <c r="N39" s="283"/>
      <c r="O39" s="283"/>
      <c r="P39" s="283"/>
      <c r="Q39" s="283"/>
      <c r="R39" s="283"/>
      <c r="S39" s="283"/>
      <c r="T39" s="283"/>
      <c r="U39" s="283"/>
      <c r="V39" s="283"/>
      <c r="W39" s="335"/>
      <c r="X39" s="221"/>
      <c r="Y39" s="300"/>
      <c r="Z39" s="300"/>
      <c r="AA39" s="300"/>
      <c r="AB39" s="300"/>
      <c r="AC39" s="300"/>
      <c r="AD39" s="300"/>
      <c r="AE39" s="300"/>
      <c r="AF39" s="300"/>
      <c r="AG39" s="300"/>
      <c r="AH39" s="301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296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314"/>
      <c r="D40" s="314"/>
      <c r="E40" s="314"/>
      <c r="F40" s="314"/>
      <c r="G40" s="314"/>
      <c r="H40" s="314"/>
      <c r="I40" s="314"/>
      <c r="J40" s="314"/>
      <c r="K40" s="314"/>
      <c r="L40" s="315"/>
      <c r="M40" s="224"/>
      <c r="N40" s="283"/>
      <c r="O40" s="283"/>
      <c r="P40" s="283"/>
      <c r="Q40" s="283"/>
      <c r="R40" s="283"/>
      <c r="S40" s="283"/>
      <c r="T40" s="283"/>
      <c r="U40" s="283"/>
      <c r="V40" s="283"/>
      <c r="W40" s="335"/>
      <c r="X40" s="221"/>
      <c r="Y40" s="300"/>
      <c r="Z40" s="300"/>
      <c r="AA40" s="300"/>
      <c r="AB40" s="300"/>
      <c r="AC40" s="300"/>
      <c r="AD40" s="300"/>
      <c r="AE40" s="300"/>
      <c r="AF40" s="300"/>
      <c r="AG40" s="300"/>
      <c r="AH40" s="301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296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339"/>
      <c r="C41" s="340"/>
      <c r="D41" s="340"/>
      <c r="E41" s="340"/>
      <c r="F41" s="340"/>
      <c r="G41" s="340"/>
      <c r="H41" s="340"/>
      <c r="I41" s="340"/>
      <c r="J41" s="340"/>
      <c r="K41" s="340"/>
      <c r="L41" s="341"/>
      <c r="M41" s="336"/>
      <c r="N41" s="337"/>
      <c r="O41" s="337"/>
      <c r="P41" s="337"/>
      <c r="Q41" s="337"/>
      <c r="R41" s="337"/>
      <c r="S41" s="337"/>
      <c r="T41" s="337"/>
      <c r="U41" s="337"/>
      <c r="V41" s="337"/>
      <c r="W41" s="338"/>
      <c r="X41" s="330"/>
      <c r="Y41" s="331"/>
      <c r="Z41" s="331"/>
      <c r="AA41" s="331"/>
      <c r="AB41" s="331"/>
      <c r="AC41" s="331"/>
      <c r="AD41" s="331"/>
      <c r="AE41" s="331"/>
      <c r="AF41" s="331"/>
      <c r="AG41" s="331"/>
      <c r="AH41" s="332"/>
      <c r="AI41" s="178"/>
      <c r="AJ41" s="327"/>
      <c r="AK41" s="327"/>
      <c r="AL41" s="327"/>
      <c r="AM41" s="327"/>
      <c r="AN41" s="327"/>
      <c r="AO41" s="327"/>
      <c r="AP41" s="327"/>
      <c r="AQ41" s="327"/>
      <c r="AR41" s="327"/>
      <c r="AS41" s="329"/>
      <c r="AT41" s="178"/>
      <c r="AU41" s="327"/>
      <c r="AV41" s="327"/>
      <c r="AW41" s="327"/>
      <c r="AX41" s="327"/>
      <c r="AY41" s="327"/>
      <c r="AZ41" s="327"/>
      <c r="BA41" s="327"/>
      <c r="BB41" s="327"/>
      <c r="BC41" s="327"/>
      <c r="BD41" s="328"/>
    </row>
    <row r="42" spans="2:56" ht="12" customHeight="1" x14ac:dyDescent="0.25">
      <c r="B42" s="210" t="s">
        <v>248</v>
      </c>
      <c r="C42" s="207"/>
      <c r="D42" s="207"/>
      <c r="E42" s="207"/>
      <c r="F42" s="207"/>
      <c r="G42" s="207"/>
      <c r="H42" s="207"/>
      <c r="I42" s="207"/>
      <c r="J42" s="207"/>
      <c r="K42" s="207"/>
      <c r="L42" s="326"/>
      <c r="M42" s="213" t="s">
        <v>249</v>
      </c>
      <c r="N42" s="324"/>
      <c r="O42" s="324"/>
      <c r="P42" s="324"/>
      <c r="Q42" s="324"/>
      <c r="R42" s="324"/>
      <c r="S42" s="324"/>
      <c r="T42" s="324"/>
      <c r="U42" s="324"/>
      <c r="V42" s="324"/>
      <c r="W42" s="325"/>
      <c r="X42" s="214" t="s">
        <v>362</v>
      </c>
      <c r="Y42" s="322"/>
      <c r="Z42" s="322"/>
      <c r="AA42" s="322"/>
      <c r="AB42" s="322"/>
      <c r="AC42" s="322"/>
      <c r="AD42" s="322"/>
      <c r="AE42" s="322"/>
      <c r="AF42" s="322"/>
      <c r="AG42" s="322"/>
      <c r="AH42" s="323"/>
      <c r="AI42" s="180" t="s">
        <v>250</v>
      </c>
      <c r="AJ42" s="319"/>
      <c r="AK42" s="319"/>
      <c r="AL42" s="319"/>
      <c r="AM42" s="319"/>
      <c r="AN42" s="319"/>
      <c r="AO42" s="319"/>
      <c r="AP42" s="319"/>
      <c r="AQ42" s="319"/>
      <c r="AR42" s="319"/>
      <c r="AS42" s="321"/>
      <c r="AT42" s="180" t="s">
        <v>251</v>
      </c>
      <c r="AU42" s="319"/>
      <c r="AV42" s="319"/>
      <c r="AW42" s="319"/>
      <c r="AX42" s="319"/>
      <c r="AY42" s="319"/>
      <c r="AZ42" s="319"/>
      <c r="BA42" s="319"/>
      <c r="BB42" s="319"/>
      <c r="BC42" s="319"/>
      <c r="BD42" s="320"/>
    </row>
    <row r="43" spans="2:56" ht="12" customHeight="1" x14ac:dyDescent="0.25">
      <c r="B43" s="186"/>
      <c r="C43" s="312"/>
      <c r="D43" s="312"/>
      <c r="E43" s="312"/>
      <c r="F43" s="312"/>
      <c r="G43" s="312"/>
      <c r="H43" s="312"/>
      <c r="I43" s="312"/>
      <c r="J43" s="312"/>
      <c r="K43" s="312"/>
      <c r="L43" s="313"/>
      <c r="M43" s="194"/>
      <c r="N43" s="333"/>
      <c r="O43" s="333"/>
      <c r="P43" s="333"/>
      <c r="Q43" s="333"/>
      <c r="R43" s="333"/>
      <c r="S43" s="333"/>
      <c r="T43" s="333"/>
      <c r="U43" s="333"/>
      <c r="V43" s="333"/>
      <c r="W43" s="334"/>
      <c r="X43" s="197"/>
      <c r="Y43" s="298"/>
      <c r="Z43" s="298"/>
      <c r="AA43" s="298"/>
      <c r="AB43" s="298"/>
      <c r="AC43" s="298"/>
      <c r="AD43" s="298"/>
      <c r="AE43" s="298"/>
      <c r="AF43" s="298"/>
      <c r="AG43" s="298"/>
      <c r="AH43" s="299"/>
      <c r="AI43" s="203"/>
      <c r="AJ43" s="279"/>
      <c r="AK43" s="279"/>
      <c r="AL43" s="279"/>
      <c r="AM43" s="279"/>
      <c r="AN43" s="279"/>
      <c r="AO43" s="279"/>
      <c r="AP43" s="279"/>
      <c r="AQ43" s="279"/>
      <c r="AR43" s="279"/>
      <c r="AS43" s="280"/>
      <c r="AT43" s="203"/>
      <c r="AU43" s="279"/>
      <c r="AV43" s="279"/>
      <c r="AW43" s="279"/>
      <c r="AX43" s="279"/>
      <c r="AY43" s="279"/>
      <c r="AZ43" s="279"/>
      <c r="BA43" s="279"/>
      <c r="BB43" s="279"/>
      <c r="BC43" s="279"/>
      <c r="BD43" s="290"/>
    </row>
    <row r="44" spans="2:56" ht="12" customHeight="1" x14ac:dyDescent="0.25">
      <c r="B44" s="204"/>
      <c r="C44" s="314"/>
      <c r="D44" s="314"/>
      <c r="E44" s="314"/>
      <c r="F44" s="314"/>
      <c r="G44" s="314"/>
      <c r="H44" s="314"/>
      <c r="I44" s="314"/>
      <c r="J44" s="314"/>
      <c r="K44" s="314"/>
      <c r="L44" s="315"/>
      <c r="M44" s="224"/>
      <c r="N44" s="283"/>
      <c r="O44" s="283"/>
      <c r="P44" s="283"/>
      <c r="Q44" s="283"/>
      <c r="R44" s="283"/>
      <c r="S44" s="283"/>
      <c r="T44" s="283"/>
      <c r="U44" s="283"/>
      <c r="V44" s="283"/>
      <c r="W44" s="335"/>
      <c r="X44" s="221"/>
      <c r="Y44" s="300"/>
      <c r="Z44" s="300"/>
      <c r="AA44" s="300"/>
      <c r="AB44" s="300"/>
      <c r="AC44" s="300"/>
      <c r="AD44" s="300"/>
      <c r="AE44" s="300"/>
      <c r="AF44" s="300"/>
      <c r="AG44" s="300"/>
      <c r="AH44" s="301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296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314"/>
      <c r="D45" s="314"/>
      <c r="E45" s="314"/>
      <c r="F45" s="314"/>
      <c r="G45" s="314"/>
      <c r="H45" s="314"/>
      <c r="I45" s="314"/>
      <c r="J45" s="314"/>
      <c r="K45" s="314"/>
      <c r="L45" s="315"/>
      <c r="M45" s="224"/>
      <c r="N45" s="283"/>
      <c r="O45" s="283"/>
      <c r="P45" s="283"/>
      <c r="Q45" s="283"/>
      <c r="R45" s="283"/>
      <c r="S45" s="283"/>
      <c r="T45" s="283"/>
      <c r="U45" s="283"/>
      <c r="V45" s="283"/>
      <c r="W45" s="335"/>
      <c r="X45" s="221"/>
      <c r="Y45" s="300"/>
      <c r="Z45" s="300"/>
      <c r="AA45" s="300"/>
      <c r="AB45" s="300"/>
      <c r="AC45" s="300"/>
      <c r="AD45" s="300"/>
      <c r="AE45" s="300"/>
      <c r="AF45" s="300"/>
      <c r="AG45" s="300"/>
      <c r="AH45" s="301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296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314"/>
      <c r="D46" s="314"/>
      <c r="E46" s="314"/>
      <c r="F46" s="314"/>
      <c r="G46" s="314"/>
      <c r="H46" s="314"/>
      <c r="I46" s="314"/>
      <c r="J46" s="314"/>
      <c r="K46" s="314"/>
      <c r="L46" s="315"/>
      <c r="M46" s="224"/>
      <c r="N46" s="283"/>
      <c r="O46" s="283"/>
      <c r="P46" s="283"/>
      <c r="Q46" s="283"/>
      <c r="R46" s="283"/>
      <c r="S46" s="283"/>
      <c r="T46" s="283"/>
      <c r="U46" s="283"/>
      <c r="V46" s="283"/>
      <c r="W46" s="335"/>
      <c r="X46" s="221"/>
      <c r="Y46" s="300"/>
      <c r="Z46" s="300"/>
      <c r="AA46" s="300"/>
      <c r="AB46" s="300"/>
      <c r="AC46" s="300"/>
      <c r="AD46" s="300"/>
      <c r="AE46" s="300"/>
      <c r="AF46" s="300"/>
      <c r="AG46" s="300"/>
      <c r="AH46" s="301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296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314"/>
      <c r="D47" s="314"/>
      <c r="E47" s="314"/>
      <c r="F47" s="314"/>
      <c r="G47" s="314"/>
      <c r="H47" s="314"/>
      <c r="I47" s="314"/>
      <c r="J47" s="314"/>
      <c r="K47" s="314"/>
      <c r="L47" s="315"/>
      <c r="M47" s="224"/>
      <c r="N47" s="283"/>
      <c r="O47" s="283"/>
      <c r="P47" s="283"/>
      <c r="Q47" s="283"/>
      <c r="R47" s="283"/>
      <c r="S47" s="283"/>
      <c r="T47" s="283"/>
      <c r="U47" s="283"/>
      <c r="V47" s="283"/>
      <c r="W47" s="335"/>
      <c r="X47" s="221"/>
      <c r="Y47" s="300"/>
      <c r="Z47" s="300"/>
      <c r="AA47" s="300"/>
      <c r="AB47" s="300"/>
      <c r="AC47" s="300"/>
      <c r="AD47" s="300"/>
      <c r="AE47" s="300"/>
      <c r="AF47" s="300"/>
      <c r="AG47" s="300"/>
      <c r="AH47" s="301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296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314"/>
      <c r="D48" s="314"/>
      <c r="E48" s="314"/>
      <c r="F48" s="314"/>
      <c r="G48" s="314"/>
      <c r="H48" s="314"/>
      <c r="I48" s="314"/>
      <c r="J48" s="314"/>
      <c r="K48" s="314"/>
      <c r="L48" s="315"/>
      <c r="M48" s="224"/>
      <c r="N48" s="283"/>
      <c r="O48" s="283"/>
      <c r="P48" s="283"/>
      <c r="Q48" s="283"/>
      <c r="R48" s="283"/>
      <c r="S48" s="283"/>
      <c r="T48" s="283"/>
      <c r="U48" s="283"/>
      <c r="V48" s="283"/>
      <c r="W48" s="335"/>
      <c r="X48" s="221"/>
      <c r="Y48" s="300"/>
      <c r="Z48" s="300"/>
      <c r="AA48" s="300"/>
      <c r="AB48" s="300"/>
      <c r="AC48" s="300"/>
      <c r="AD48" s="300"/>
      <c r="AE48" s="300"/>
      <c r="AF48" s="300"/>
      <c r="AG48" s="300"/>
      <c r="AH48" s="301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296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339"/>
      <c r="C49" s="340"/>
      <c r="D49" s="340"/>
      <c r="E49" s="340"/>
      <c r="F49" s="340"/>
      <c r="G49" s="340"/>
      <c r="H49" s="340"/>
      <c r="I49" s="340"/>
      <c r="J49" s="340"/>
      <c r="K49" s="340"/>
      <c r="L49" s="341"/>
      <c r="M49" s="336"/>
      <c r="N49" s="337"/>
      <c r="O49" s="337"/>
      <c r="P49" s="337"/>
      <c r="Q49" s="337"/>
      <c r="R49" s="337"/>
      <c r="S49" s="337"/>
      <c r="T49" s="337"/>
      <c r="U49" s="337"/>
      <c r="V49" s="337"/>
      <c r="W49" s="338"/>
      <c r="X49" s="330"/>
      <c r="Y49" s="331"/>
      <c r="Z49" s="331"/>
      <c r="AA49" s="331"/>
      <c r="AB49" s="331"/>
      <c r="AC49" s="331"/>
      <c r="AD49" s="331"/>
      <c r="AE49" s="331"/>
      <c r="AF49" s="331"/>
      <c r="AG49" s="331"/>
      <c r="AH49" s="332"/>
      <c r="AI49" s="178"/>
      <c r="AJ49" s="327"/>
      <c r="AK49" s="327"/>
      <c r="AL49" s="327"/>
      <c r="AM49" s="327"/>
      <c r="AN49" s="327"/>
      <c r="AO49" s="327"/>
      <c r="AP49" s="327"/>
      <c r="AQ49" s="327"/>
      <c r="AR49" s="327"/>
      <c r="AS49" s="329"/>
      <c r="AT49" s="178"/>
      <c r="AU49" s="327"/>
      <c r="AV49" s="327"/>
      <c r="AW49" s="327"/>
      <c r="AX49" s="327"/>
      <c r="AY49" s="327"/>
      <c r="AZ49" s="327"/>
      <c r="BA49" s="327"/>
      <c r="BB49" s="327"/>
      <c r="BC49" s="327"/>
      <c r="BD49" s="328"/>
    </row>
    <row r="50" spans="2:56" ht="12" customHeight="1" x14ac:dyDescent="0.25">
      <c r="B50" s="210" t="s">
        <v>363</v>
      </c>
      <c r="C50" s="207"/>
      <c r="D50" s="207"/>
      <c r="E50" s="207"/>
      <c r="F50" s="207"/>
      <c r="G50" s="207"/>
      <c r="H50" s="207"/>
      <c r="I50" s="207"/>
      <c r="J50" s="207"/>
      <c r="K50" s="207"/>
      <c r="L50" s="326"/>
      <c r="M50" s="226" t="s">
        <v>252</v>
      </c>
      <c r="N50" s="342"/>
      <c r="O50" s="342"/>
      <c r="P50" s="342"/>
      <c r="Q50" s="342"/>
      <c r="R50" s="342"/>
      <c r="S50" s="342"/>
      <c r="T50" s="342"/>
      <c r="U50" s="342"/>
      <c r="V50" s="342"/>
      <c r="W50" s="343"/>
      <c r="X50" s="214" t="s">
        <v>253</v>
      </c>
      <c r="Y50" s="322"/>
      <c r="Z50" s="322"/>
      <c r="AA50" s="322"/>
      <c r="AB50" s="322"/>
      <c r="AC50" s="322"/>
      <c r="AD50" s="322"/>
      <c r="AE50" s="322"/>
      <c r="AF50" s="322"/>
      <c r="AG50" s="322"/>
      <c r="AH50" s="323"/>
      <c r="AI50" s="180" t="s">
        <v>254</v>
      </c>
      <c r="AJ50" s="319"/>
      <c r="AK50" s="319"/>
      <c r="AL50" s="319"/>
      <c r="AM50" s="319"/>
      <c r="AN50" s="319"/>
      <c r="AO50" s="319"/>
      <c r="AP50" s="319"/>
      <c r="AQ50" s="319"/>
      <c r="AR50" s="319"/>
      <c r="AS50" s="321"/>
      <c r="AT50" s="180" t="s">
        <v>255</v>
      </c>
      <c r="AU50" s="319"/>
      <c r="AV50" s="319"/>
      <c r="AW50" s="319"/>
      <c r="AX50" s="319"/>
      <c r="AY50" s="319"/>
      <c r="AZ50" s="319"/>
      <c r="BA50" s="319"/>
      <c r="BB50" s="319"/>
      <c r="BC50" s="319"/>
      <c r="BD50" s="320"/>
    </row>
    <row r="51" spans="2:56" ht="12" customHeight="1" x14ac:dyDescent="0.25">
      <c r="B51" s="186"/>
      <c r="C51" s="312"/>
      <c r="D51" s="312"/>
      <c r="E51" s="312"/>
      <c r="F51" s="312"/>
      <c r="G51" s="312"/>
      <c r="H51" s="312"/>
      <c r="I51" s="312"/>
      <c r="J51" s="312"/>
      <c r="K51" s="312"/>
      <c r="L51" s="313"/>
      <c r="M51" s="194"/>
      <c r="N51" s="333"/>
      <c r="O51" s="333"/>
      <c r="P51" s="333"/>
      <c r="Q51" s="333"/>
      <c r="R51" s="333"/>
      <c r="S51" s="333"/>
      <c r="T51" s="333"/>
      <c r="U51" s="333"/>
      <c r="V51" s="333"/>
      <c r="W51" s="334"/>
      <c r="X51" s="197"/>
      <c r="Y51" s="298"/>
      <c r="Z51" s="298"/>
      <c r="AA51" s="298"/>
      <c r="AB51" s="298"/>
      <c r="AC51" s="298"/>
      <c r="AD51" s="298"/>
      <c r="AE51" s="298"/>
      <c r="AF51" s="298"/>
      <c r="AG51" s="298"/>
      <c r="AH51" s="299"/>
      <c r="AI51" s="203"/>
      <c r="AJ51" s="279"/>
      <c r="AK51" s="279"/>
      <c r="AL51" s="279"/>
      <c r="AM51" s="279"/>
      <c r="AN51" s="279"/>
      <c r="AO51" s="279"/>
      <c r="AP51" s="279"/>
      <c r="AQ51" s="279"/>
      <c r="AR51" s="279"/>
      <c r="AS51" s="280"/>
      <c r="AT51" s="203"/>
      <c r="AU51" s="279"/>
      <c r="AV51" s="279"/>
      <c r="AW51" s="279"/>
      <c r="AX51" s="279"/>
      <c r="AY51" s="279"/>
      <c r="AZ51" s="279"/>
      <c r="BA51" s="279"/>
      <c r="BB51" s="279"/>
      <c r="BC51" s="279"/>
      <c r="BD51" s="290"/>
    </row>
    <row r="52" spans="2:56" ht="12" customHeight="1" x14ac:dyDescent="0.25">
      <c r="B52" s="204"/>
      <c r="C52" s="314"/>
      <c r="D52" s="314"/>
      <c r="E52" s="314"/>
      <c r="F52" s="314"/>
      <c r="G52" s="314"/>
      <c r="H52" s="314"/>
      <c r="I52" s="314"/>
      <c r="J52" s="314"/>
      <c r="K52" s="314"/>
      <c r="L52" s="315"/>
      <c r="M52" s="224"/>
      <c r="N52" s="283"/>
      <c r="O52" s="283"/>
      <c r="P52" s="283"/>
      <c r="Q52" s="283"/>
      <c r="R52" s="283"/>
      <c r="S52" s="283"/>
      <c r="T52" s="283"/>
      <c r="U52" s="283"/>
      <c r="V52" s="283"/>
      <c r="W52" s="335"/>
      <c r="X52" s="221"/>
      <c r="Y52" s="300"/>
      <c r="Z52" s="300"/>
      <c r="AA52" s="300"/>
      <c r="AB52" s="300"/>
      <c r="AC52" s="300"/>
      <c r="AD52" s="300"/>
      <c r="AE52" s="300"/>
      <c r="AF52" s="300"/>
      <c r="AG52" s="300"/>
      <c r="AH52" s="301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296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314"/>
      <c r="D53" s="314"/>
      <c r="E53" s="314"/>
      <c r="F53" s="314"/>
      <c r="G53" s="314"/>
      <c r="H53" s="314"/>
      <c r="I53" s="314"/>
      <c r="J53" s="314"/>
      <c r="K53" s="314"/>
      <c r="L53" s="315"/>
      <c r="M53" s="224"/>
      <c r="N53" s="283"/>
      <c r="O53" s="283"/>
      <c r="P53" s="283"/>
      <c r="Q53" s="283"/>
      <c r="R53" s="283"/>
      <c r="S53" s="283"/>
      <c r="T53" s="283"/>
      <c r="U53" s="283"/>
      <c r="V53" s="283"/>
      <c r="W53" s="335"/>
      <c r="X53" s="221"/>
      <c r="Y53" s="300"/>
      <c r="Z53" s="300"/>
      <c r="AA53" s="300"/>
      <c r="AB53" s="300"/>
      <c r="AC53" s="300"/>
      <c r="AD53" s="300"/>
      <c r="AE53" s="300"/>
      <c r="AF53" s="300"/>
      <c r="AG53" s="300"/>
      <c r="AH53" s="301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296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314"/>
      <c r="D54" s="314"/>
      <c r="E54" s="314"/>
      <c r="F54" s="314"/>
      <c r="G54" s="314"/>
      <c r="H54" s="314"/>
      <c r="I54" s="314"/>
      <c r="J54" s="314"/>
      <c r="K54" s="314"/>
      <c r="L54" s="315"/>
      <c r="M54" s="224"/>
      <c r="N54" s="283"/>
      <c r="O54" s="283"/>
      <c r="P54" s="283"/>
      <c r="Q54" s="283"/>
      <c r="R54" s="283"/>
      <c r="S54" s="283"/>
      <c r="T54" s="283"/>
      <c r="U54" s="283"/>
      <c r="V54" s="283"/>
      <c r="W54" s="335"/>
      <c r="X54" s="221"/>
      <c r="Y54" s="300"/>
      <c r="Z54" s="300"/>
      <c r="AA54" s="300"/>
      <c r="AB54" s="300"/>
      <c r="AC54" s="300"/>
      <c r="AD54" s="300"/>
      <c r="AE54" s="300"/>
      <c r="AF54" s="300"/>
      <c r="AG54" s="300"/>
      <c r="AH54" s="301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296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314"/>
      <c r="D55" s="314"/>
      <c r="E55" s="314"/>
      <c r="F55" s="314"/>
      <c r="G55" s="314"/>
      <c r="H55" s="314"/>
      <c r="I55" s="314"/>
      <c r="J55" s="314"/>
      <c r="K55" s="314"/>
      <c r="L55" s="315"/>
      <c r="M55" s="224"/>
      <c r="N55" s="283"/>
      <c r="O55" s="283"/>
      <c r="P55" s="283"/>
      <c r="Q55" s="283"/>
      <c r="R55" s="283"/>
      <c r="S55" s="283"/>
      <c r="T55" s="283"/>
      <c r="U55" s="283"/>
      <c r="V55" s="283"/>
      <c r="W55" s="335"/>
      <c r="X55" s="221"/>
      <c r="Y55" s="300"/>
      <c r="Z55" s="300"/>
      <c r="AA55" s="300"/>
      <c r="AB55" s="300"/>
      <c r="AC55" s="300"/>
      <c r="AD55" s="300"/>
      <c r="AE55" s="300"/>
      <c r="AF55" s="300"/>
      <c r="AG55" s="300"/>
      <c r="AH55" s="301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296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314"/>
      <c r="D56" s="314"/>
      <c r="E56" s="314"/>
      <c r="F56" s="314"/>
      <c r="G56" s="314"/>
      <c r="H56" s="314"/>
      <c r="I56" s="314"/>
      <c r="J56" s="314"/>
      <c r="K56" s="314"/>
      <c r="L56" s="315"/>
      <c r="M56" s="224"/>
      <c r="N56" s="283"/>
      <c r="O56" s="283"/>
      <c r="P56" s="283"/>
      <c r="Q56" s="283"/>
      <c r="R56" s="283"/>
      <c r="S56" s="283"/>
      <c r="T56" s="283"/>
      <c r="U56" s="283"/>
      <c r="V56" s="283"/>
      <c r="W56" s="335"/>
      <c r="X56" s="221"/>
      <c r="Y56" s="300"/>
      <c r="Z56" s="300"/>
      <c r="AA56" s="300"/>
      <c r="AB56" s="300"/>
      <c r="AC56" s="300"/>
      <c r="AD56" s="300"/>
      <c r="AE56" s="300"/>
      <c r="AF56" s="300"/>
      <c r="AG56" s="300"/>
      <c r="AH56" s="301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296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339"/>
      <c r="C57" s="340"/>
      <c r="D57" s="340"/>
      <c r="E57" s="340"/>
      <c r="F57" s="340"/>
      <c r="G57" s="340"/>
      <c r="H57" s="340"/>
      <c r="I57" s="340"/>
      <c r="J57" s="340"/>
      <c r="K57" s="340"/>
      <c r="L57" s="341"/>
      <c r="M57" s="336"/>
      <c r="N57" s="337"/>
      <c r="O57" s="337"/>
      <c r="P57" s="337"/>
      <c r="Q57" s="337"/>
      <c r="R57" s="337"/>
      <c r="S57" s="337"/>
      <c r="T57" s="337"/>
      <c r="U57" s="337"/>
      <c r="V57" s="337"/>
      <c r="W57" s="338"/>
      <c r="X57" s="330"/>
      <c r="Y57" s="331"/>
      <c r="Z57" s="331"/>
      <c r="AA57" s="331"/>
      <c r="AB57" s="331"/>
      <c r="AC57" s="331"/>
      <c r="AD57" s="331"/>
      <c r="AE57" s="331"/>
      <c r="AF57" s="331"/>
      <c r="AG57" s="331"/>
      <c r="AH57" s="332"/>
      <c r="AI57" s="178"/>
      <c r="AJ57" s="327"/>
      <c r="AK57" s="327"/>
      <c r="AL57" s="327"/>
      <c r="AM57" s="327"/>
      <c r="AN57" s="327"/>
      <c r="AO57" s="327"/>
      <c r="AP57" s="327"/>
      <c r="AQ57" s="327"/>
      <c r="AR57" s="327"/>
      <c r="AS57" s="329"/>
      <c r="AT57" s="178"/>
      <c r="AU57" s="327"/>
      <c r="AV57" s="327"/>
      <c r="AW57" s="327"/>
      <c r="AX57" s="327"/>
      <c r="AY57" s="327"/>
      <c r="AZ57" s="327"/>
      <c r="BA57" s="327"/>
      <c r="BB57" s="327"/>
      <c r="BC57" s="327"/>
      <c r="BD57" s="328"/>
    </row>
    <row r="58" spans="2:56" ht="12" customHeight="1" x14ac:dyDescent="0.25">
      <c r="B58" s="210" t="s">
        <v>256</v>
      </c>
      <c r="C58" s="207"/>
      <c r="D58" s="207"/>
      <c r="E58" s="207"/>
      <c r="F58" s="207"/>
      <c r="G58" s="207"/>
      <c r="H58" s="207"/>
      <c r="I58" s="207"/>
      <c r="J58" s="207"/>
      <c r="K58" s="207"/>
      <c r="L58" s="326"/>
      <c r="M58" s="213" t="s">
        <v>257</v>
      </c>
      <c r="N58" s="324"/>
      <c r="O58" s="324"/>
      <c r="P58" s="324"/>
      <c r="Q58" s="324"/>
      <c r="R58" s="324"/>
      <c r="S58" s="324"/>
      <c r="T58" s="324"/>
      <c r="U58" s="324"/>
      <c r="V58" s="324"/>
      <c r="W58" s="325"/>
      <c r="X58" s="214" t="s">
        <v>258</v>
      </c>
      <c r="Y58" s="322"/>
      <c r="Z58" s="322"/>
      <c r="AA58" s="322"/>
      <c r="AB58" s="322"/>
      <c r="AC58" s="322"/>
      <c r="AD58" s="322"/>
      <c r="AE58" s="322"/>
      <c r="AF58" s="322"/>
      <c r="AG58" s="322"/>
      <c r="AH58" s="323"/>
      <c r="AI58" s="180" t="s">
        <v>259</v>
      </c>
      <c r="AJ58" s="319"/>
      <c r="AK58" s="319"/>
      <c r="AL58" s="319"/>
      <c r="AM58" s="319"/>
      <c r="AN58" s="319"/>
      <c r="AO58" s="319"/>
      <c r="AP58" s="319"/>
      <c r="AQ58" s="319"/>
      <c r="AR58" s="319"/>
      <c r="AS58" s="321"/>
      <c r="AT58" s="180" t="s">
        <v>260</v>
      </c>
      <c r="AU58" s="319"/>
      <c r="AV58" s="319"/>
      <c r="AW58" s="319"/>
      <c r="AX58" s="319"/>
      <c r="AY58" s="319"/>
      <c r="AZ58" s="319"/>
      <c r="BA58" s="319"/>
      <c r="BB58" s="319"/>
      <c r="BC58" s="319"/>
      <c r="BD58" s="320"/>
    </row>
    <row r="59" spans="2:56" ht="12" customHeight="1" x14ac:dyDescent="0.25">
      <c r="B59" s="186"/>
      <c r="C59" s="312"/>
      <c r="D59" s="312"/>
      <c r="E59" s="312"/>
      <c r="F59" s="312"/>
      <c r="G59" s="312"/>
      <c r="H59" s="312"/>
      <c r="I59" s="312"/>
      <c r="J59" s="312"/>
      <c r="K59" s="312"/>
      <c r="L59" s="313"/>
      <c r="M59" s="212"/>
      <c r="N59" s="305"/>
      <c r="O59" s="305"/>
      <c r="P59" s="305"/>
      <c r="Q59" s="305"/>
      <c r="R59" s="305"/>
      <c r="S59" s="305"/>
      <c r="T59" s="305"/>
      <c r="U59" s="305"/>
      <c r="V59" s="305"/>
      <c r="W59" s="306"/>
      <c r="X59" s="197"/>
      <c r="Y59" s="298"/>
      <c r="Z59" s="298"/>
      <c r="AA59" s="298"/>
      <c r="AB59" s="298"/>
      <c r="AC59" s="298"/>
      <c r="AD59" s="298"/>
      <c r="AE59" s="298"/>
      <c r="AF59" s="298"/>
      <c r="AG59" s="298"/>
      <c r="AH59" s="299"/>
      <c r="AI59" s="203"/>
      <c r="AJ59" s="279"/>
      <c r="AK59" s="279"/>
      <c r="AL59" s="279"/>
      <c r="AM59" s="279"/>
      <c r="AN59" s="279"/>
      <c r="AO59" s="279"/>
      <c r="AP59" s="279"/>
      <c r="AQ59" s="279"/>
      <c r="AR59" s="279"/>
      <c r="AS59" s="280"/>
      <c r="AT59" s="203"/>
      <c r="AU59" s="279"/>
      <c r="AV59" s="279"/>
      <c r="AW59" s="279"/>
      <c r="AX59" s="279"/>
      <c r="AY59" s="279"/>
      <c r="AZ59" s="279"/>
      <c r="BA59" s="279"/>
      <c r="BB59" s="279"/>
      <c r="BC59" s="279"/>
      <c r="BD59" s="290"/>
    </row>
    <row r="60" spans="2:56" ht="12" customHeight="1" x14ac:dyDescent="0.25">
      <c r="B60" s="204"/>
      <c r="C60" s="314"/>
      <c r="D60" s="314"/>
      <c r="E60" s="314"/>
      <c r="F60" s="314"/>
      <c r="G60" s="314"/>
      <c r="H60" s="314"/>
      <c r="I60" s="314"/>
      <c r="J60" s="314"/>
      <c r="K60" s="314"/>
      <c r="L60" s="315"/>
      <c r="M60" s="219"/>
      <c r="N60" s="307"/>
      <c r="O60" s="307"/>
      <c r="P60" s="307"/>
      <c r="Q60" s="307"/>
      <c r="R60" s="307"/>
      <c r="S60" s="307"/>
      <c r="T60" s="307"/>
      <c r="U60" s="307"/>
      <c r="V60" s="307"/>
      <c r="W60" s="308"/>
      <c r="X60" s="221"/>
      <c r="Y60" s="300"/>
      <c r="Z60" s="300"/>
      <c r="AA60" s="300"/>
      <c r="AB60" s="300"/>
      <c r="AC60" s="300"/>
      <c r="AD60" s="300"/>
      <c r="AE60" s="300"/>
      <c r="AF60" s="300"/>
      <c r="AG60" s="300"/>
      <c r="AH60" s="301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296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314"/>
      <c r="D61" s="314"/>
      <c r="E61" s="314"/>
      <c r="F61" s="314"/>
      <c r="G61" s="314"/>
      <c r="H61" s="314"/>
      <c r="I61" s="314"/>
      <c r="J61" s="314"/>
      <c r="K61" s="314"/>
      <c r="L61" s="315"/>
      <c r="M61" s="219"/>
      <c r="N61" s="307"/>
      <c r="O61" s="307"/>
      <c r="P61" s="307"/>
      <c r="Q61" s="307"/>
      <c r="R61" s="307"/>
      <c r="S61" s="307"/>
      <c r="T61" s="307"/>
      <c r="U61" s="307"/>
      <c r="V61" s="307"/>
      <c r="W61" s="308"/>
      <c r="X61" s="221"/>
      <c r="Y61" s="300"/>
      <c r="Z61" s="300"/>
      <c r="AA61" s="300"/>
      <c r="AB61" s="300"/>
      <c r="AC61" s="300"/>
      <c r="AD61" s="300"/>
      <c r="AE61" s="300"/>
      <c r="AF61" s="300"/>
      <c r="AG61" s="300"/>
      <c r="AH61" s="301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296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314"/>
      <c r="D62" s="314"/>
      <c r="E62" s="314"/>
      <c r="F62" s="314"/>
      <c r="G62" s="314"/>
      <c r="H62" s="314"/>
      <c r="I62" s="314"/>
      <c r="J62" s="314"/>
      <c r="K62" s="314"/>
      <c r="L62" s="315"/>
      <c r="M62" s="219"/>
      <c r="N62" s="307"/>
      <c r="O62" s="307"/>
      <c r="P62" s="307"/>
      <c r="Q62" s="307"/>
      <c r="R62" s="307"/>
      <c r="S62" s="307"/>
      <c r="T62" s="307"/>
      <c r="U62" s="307"/>
      <c r="V62" s="307"/>
      <c r="W62" s="308"/>
      <c r="X62" s="221"/>
      <c r="Y62" s="300"/>
      <c r="Z62" s="300"/>
      <c r="AA62" s="300"/>
      <c r="AB62" s="300"/>
      <c r="AC62" s="300"/>
      <c r="AD62" s="300"/>
      <c r="AE62" s="300"/>
      <c r="AF62" s="300"/>
      <c r="AG62" s="300"/>
      <c r="AH62" s="301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296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314"/>
      <c r="D63" s="314"/>
      <c r="E63" s="314"/>
      <c r="F63" s="314"/>
      <c r="G63" s="314"/>
      <c r="H63" s="314"/>
      <c r="I63" s="314"/>
      <c r="J63" s="314"/>
      <c r="K63" s="314"/>
      <c r="L63" s="315"/>
      <c r="M63" s="219"/>
      <c r="N63" s="307"/>
      <c r="O63" s="307"/>
      <c r="P63" s="307"/>
      <c r="Q63" s="307"/>
      <c r="R63" s="307"/>
      <c r="S63" s="307"/>
      <c r="T63" s="307"/>
      <c r="U63" s="307"/>
      <c r="V63" s="307"/>
      <c r="W63" s="308"/>
      <c r="X63" s="221"/>
      <c r="Y63" s="300"/>
      <c r="Z63" s="300"/>
      <c r="AA63" s="300"/>
      <c r="AB63" s="300"/>
      <c r="AC63" s="300"/>
      <c r="AD63" s="300"/>
      <c r="AE63" s="300"/>
      <c r="AF63" s="300"/>
      <c r="AG63" s="300"/>
      <c r="AH63" s="301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296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314"/>
      <c r="D64" s="314"/>
      <c r="E64" s="314"/>
      <c r="F64" s="314"/>
      <c r="G64" s="314"/>
      <c r="H64" s="314"/>
      <c r="I64" s="314"/>
      <c r="J64" s="314"/>
      <c r="K64" s="314"/>
      <c r="L64" s="315"/>
      <c r="M64" s="219"/>
      <c r="N64" s="307"/>
      <c r="O64" s="307"/>
      <c r="P64" s="307"/>
      <c r="Q64" s="307"/>
      <c r="R64" s="307"/>
      <c r="S64" s="307"/>
      <c r="T64" s="307"/>
      <c r="U64" s="307"/>
      <c r="V64" s="307"/>
      <c r="W64" s="308"/>
      <c r="X64" s="221"/>
      <c r="Y64" s="300"/>
      <c r="Z64" s="300"/>
      <c r="AA64" s="300"/>
      <c r="AB64" s="300"/>
      <c r="AC64" s="300"/>
      <c r="AD64" s="300"/>
      <c r="AE64" s="300"/>
      <c r="AF64" s="300"/>
      <c r="AG64" s="300"/>
      <c r="AH64" s="301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296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16"/>
      <c r="C65" s="317"/>
      <c r="D65" s="317"/>
      <c r="E65" s="317"/>
      <c r="F65" s="317"/>
      <c r="G65" s="317"/>
      <c r="H65" s="317"/>
      <c r="I65" s="317"/>
      <c r="J65" s="317"/>
      <c r="K65" s="317"/>
      <c r="L65" s="318"/>
      <c r="M65" s="309"/>
      <c r="N65" s="310"/>
      <c r="O65" s="310"/>
      <c r="P65" s="310"/>
      <c r="Q65" s="310"/>
      <c r="R65" s="310"/>
      <c r="S65" s="310"/>
      <c r="T65" s="310"/>
      <c r="U65" s="310"/>
      <c r="V65" s="310"/>
      <c r="W65" s="311"/>
      <c r="X65" s="302"/>
      <c r="Y65" s="303"/>
      <c r="Z65" s="303"/>
      <c r="AA65" s="303"/>
      <c r="AB65" s="303"/>
      <c r="AC65" s="303"/>
      <c r="AD65" s="303"/>
      <c r="AE65" s="303"/>
      <c r="AF65" s="303"/>
      <c r="AG65" s="303"/>
      <c r="AH65" s="304"/>
      <c r="AI65" s="293"/>
      <c r="AJ65" s="294"/>
      <c r="AK65" s="294"/>
      <c r="AL65" s="294"/>
      <c r="AM65" s="294"/>
      <c r="AN65" s="294"/>
      <c r="AO65" s="294"/>
      <c r="AP65" s="294"/>
      <c r="AQ65" s="294"/>
      <c r="AR65" s="294"/>
      <c r="AS65" s="297"/>
      <c r="AT65" s="293"/>
      <c r="AU65" s="294"/>
      <c r="AV65" s="294"/>
      <c r="AW65" s="294"/>
      <c r="AX65" s="294"/>
      <c r="AY65" s="294"/>
      <c r="AZ65" s="294"/>
      <c r="BA65" s="294"/>
      <c r="BB65" s="294"/>
      <c r="BC65" s="294"/>
      <c r="BD65" s="295"/>
    </row>
    <row r="66" spans="2:56" ht="12" customHeight="1" x14ac:dyDescent="0.25">
      <c r="B66" s="288">
        <f>白班过程记录!B52</f>
        <v>0</v>
      </c>
      <c r="C66" s="289"/>
      <c r="D66" s="2" t="s">
        <v>19</v>
      </c>
      <c r="E66" s="285" t="s">
        <v>20</v>
      </c>
      <c r="F66" s="282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278"/>
      <c r="C67" s="279"/>
      <c r="D67" s="280"/>
      <c r="E67" s="286"/>
      <c r="F67" s="224"/>
      <c r="G67" s="283"/>
      <c r="H67" s="283"/>
      <c r="I67" s="283"/>
      <c r="J67" s="283"/>
      <c r="K67" s="283"/>
      <c r="L67" s="283"/>
      <c r="M67" s="283"/>
      <c r="N67" s="283"/>
      <c r="O67" s="283"/>
      <c r="P67" s="283"/>
      <c r="Q67" s="283"/>
      <c r="R67" s="283"/>
      <c r="S67" s="283"/>
      <c r="T67" s="283"/>
      <c r="U67" s="283"/>
      <c r="V67" s="283"/>
      <c r="W67" s="283"/>
      <c r="X67" s="283"/>
      <c r="Y67" s="283"/>
      <c r="Z67" s="283"/>
      <c r="AA67" s="283"/>
      <c r="AB67" s="283"/>
      <c r="AC67" s="283"/>
      <c r="AD67" s="283"/>
      <c r="AE67" s="283"/>
      <c r="AF67" s="283"/>
      <c r="AG67" s="283"/>
      <c r="AH67" s="283"/>
      <c r="AI67" s="283"/>
      <c r="AJ67" s="283"/>
      <c r="AK67" s="283"/>
      <c r="AL67" s="283"/>
      <c r="AM67" s="283"/>
      <c r="AN67" s="283"/>
      <c r="AO67" s="283"/>
      <c r="AP67" s="283"/>
      <c r="AQ67" s="283"/>
      <c r="AR67" s="283"/>
      <c r="AS67" s="283"/>
      <c r="AT67" s="283"/>
      <c r="AU67" s="283"/>
      <c r="AV67" s="283"/>
      <c r="AW67" s="283"/>
      <c r="AX67" s="283"/>
      <c r="AY67" s="283"/>
      <c r="AZ67" s="283"/>
      <c r="BA67" s="283"/>
      <c r="BB67" s="283"/>
      <c r="BC67" s="283"/>
      <c r="BD67" s="152"/>
    </row>
    <row r="68" spans="2:56" ht="12" customHeight="1" thickBot="1" x14ac:dyDescent="0.3">
      <c r="B68" s="159"/>
      <c r="C68" s="160"/>
      <c r="D68" s="281"/>
      <c r="E68" s="287"/>
      <c r="F68" s="28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>
    <pageSetUpPr fitToPage="1"/>
  </sheetPr>
  <dimension ref="B2:T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6384" width="9.81640625" style="55"/>
  </cols>
  <sheetData>
    <row r="2" spans="2:20" ht="14" x14ac:dyDescent="0.25">
      <c r="B2" s="242" t="s">
        <v>339</v>
      </c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4"/>
      <c r="T2" s="61"/>
    </row>
    <row r="3" spans="2:20" ht="14" x14ac:dyDescent="0.25">
      <c r="B3" s="245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7"/>
      <c r="T3" s="61"/>
    </row>
    <row r="4" spans="2:20" x14ac:dyDescent="0.25">
      <c r="B4" s="248" t="s">
        <v>340</v>
      </c>
      <c r="C4" s="41" t="s">
        <v>281</v>
      </c>
      <c r="D4" s="56" t="s">
        <v>341</v>
      </c>
      <c r="E4" s="56" t="s">
        <v>276</v>
      </c>
      <c r="F4" s="56" t="s">
        <v>277</v>
      </c>
      <c r="G4" s="41" t="s">
        <v>342</v>
      </c>
      <c r="H4" s="41" t="s">
        <v>343</v>
      </c>
      <c r="I4" s="41" t="s">
        <v>344</v>
      </c>
      <c r="J4" s="41" t="s">
        <v>345</v>
      </c>
      <c r="K4" s="56" t="s">
        <v>346</v>
      </c>
      <c r="L4" s="56" t="s">
        <v>347</v>
      </c>
      <c r="M4" s="41" t="s">
        <v>348</v>
      </c>
      <c r="N4" s="41" t="s">
        <v>349</v>
      </c>
      <c r="O4" s="41" t="s">
        <v>350</v>
      </c>
      <c r="P4" s="41" t="s">
        <v>351</v>
      </c>
      <c r="Q4" s="41" t="s">
        <v>352</v>
      </c>
      <c r="R4" s="41" t="s">
        <v>359</v>
      </c>
      <c r="S4" s="41" t="s">
        <v>358</v>
      </c>
      <c r="T4" s="41" t="s">
        <v>360</v>
      </c>
    </row>
    <row r="5" spans="2:20" x14ac:dyDescent="0.25">
      <c r="B5" s="248"/>
      <c r="C5" s="41" t="s">
        <v>282</v>
      </c>
      <c r="D5" s="57" t="s">
        <v>353</v>
      </c>
      <c r="E5" s="41" t="s">
        <v>354</v>
      </c>
      <c r="F5" s="41" t="s">
        <v>355</v>
      </c>
      <c r="G5" s="41" t="s">
        <v>355</v>
      </c>
      <c r="H5" s="41" t="s">
        <v>355</v>
      </c>
      <c r="I5" s="41" t="s">
        <v>355</v>
      </c>
      <c r="J5" s="41" t="s">
        <v>355</v>
      </c>
      <c r="K5" s="41" t="s">
        <v>273</v>
      </c>
      <c r="L5" s="41" t="s">
        <v>271</v>
      </c>
      <c r="M5" s="41" t="s">
        <v>272</v>
      </c>
      <c r="N5" s="41" t="s">
        <v>272</v>
      </c>
      <c r="O5" s="41" t="s">
        <v>272</v>
      </c>
      <c r="P5" s="41" t="s">
        <v>270</v>
      </c>
      <c r="Q5" s="41" t="s">
        <v>270</v>
      </c>
      <c r="R5" s="41" t="s">
        <v>270</v>
      </c>
      <c r="S5" s="41" t="s">
        <v>270</v>
      </c>
      <c r="T5" s="41" t="s">
        <v>270</v>
      </c>
    </row>
    <row r="6" spans="2:20" x14ac:dyDescent="0.25">
      <c r="B6" s="249"/>
      <c r="C6" s="249"/>
      <c r="D6" s="58"/>
      <c r="E6" s="58"/>
      <c r="F6" s="58"/>
      <c r="G6" s="250">
        <f>F6+F7+F8</f>
        <v>0</v>
      </c>
      <c r="H6" s="59">
        <f t="shared" ref="H6:H11" si="0">F6*D6/100</f>
        <v>0</v>
      </c>
      <c r="I6" s="251">
        <f>H6+H7+H8</f>
        <v>0</v>
      </c>
      <c r="J6" s="251">
        <f>I6</f>
        <v>0</v>
      </c>
      <c r="K6" s="251"/>
      <c r="L6" s="251"/>
      <c r="M6" s="251">
        <f>K6*L6/1000</f>
        <v>0</v>
      </c>
      <c r="N6" s="251">
        <f>M6</f>
        <v>0</v>
      </c>
      <c r="O6" s="251" t="e">
        <f>I6/M6*1.2/10</f>
        <v>#DIV/0!</v>
      </c>
      <c r="P6" s="60" t="s">
        <v>356</v>
      </c>
      <c r="Q6" s="251" t="e">
        <f>(I6+I9)/(K6+K9)/AVERAGE(L6:L11)*1.2*100</f>
        <v>#DIV/0!</v>
      </c>
      <c r="R6" s="251"/>
      <c r="S6" s="251"/>
      <c r="T6" s="251" t="e">
        <f>SUM(K6:K11)*AVERAGE(L6:L11)/SUM(I6:I11)*1000</f>
        <v>#DIV/0!</v>
      </c>
    </row>
    <row r="7" spans="2:20" x14ac:dyDescent="0.25">
      <c r="B7" s="249"/>
      <c r="C7" s="249"/>
      <c r="D7" s="58"/>
      <c r="E7" s="58"/>
      <c r="F7" s="58"/>
      <c r="G7" s="250"/>
      <c r="H7" s="59">
        <f t="shared" si="0"/>
        <v>0</v>
      </c>
      <c r="I7" s="251"/>
      <c r="J7" s="251"/>
      <c r="K7" s="251"/>
      <c r="L7" s="251"/>
      <c r="M7" s="251"/>
      <c r="N7" s="251"/>
      <c r="O7" s="251"/>
      <c r="P7" s="60" t="s">
        <v>356</v>
      </c>
      <c r="Q7" s="251"/>
      <c r="R7" s="251"/>
      <c r="S7" s="251"/>
      <c r="T7" s="251"/>
    </row>
    <row r="8" spans="2:20" x14ac:dyDescent="0.25">
      <c r="B8" s="249"/>
      <c r="C8" s="249"/>
      <c r="D8" s="58"/>
      <c r="E8" s="58"/>
      <c r="F8" s="58"/>
      <c r="G8" s="250"/>
      <c r="H8" s="59">
        <f t="shared" si="0"/>
        <v>0</v>
      </c>
      <c r="I8" s="251"/>
      <c r="J8" s="251"/>
      <c r="K8" s="251"/>
      <c r="L8" s="251"/>
      <c r="M8" s="251"/>
      <c r="N8" s="251"/>
      <c r="O8" s="251"/>
      <c r="P8" s="60" t="s">
        <v>357</v>
      </c>
      <c r="Q8" s="251"/>
      <c r="R8" s="251"/>
      <c r="S8" s="251"/>
      <c r="T8" s="251"/>
    </row>
    <row r="9" spans="2:20" x14ac:dyDescent="0.25">
      <c r="B9" s="249"/>
      <c r="C9" s="249"/>
      <c r="D9" s="58"/>
      <c r="E9" s="58"/>
      <c r="F9" s="58"/>
      <c r="G9" s="250">
        <f>F9+F10+F11</f>
        <v>0</v>
      </c>
      <c r="H9" s="59">
        <f t="shared" si="0"/>
        <v>0</v>
      </c>
      <c r="I9" s="251">
        <f>H9+H10+H11</f>
        <v>0</v>
      </c>
      <c r="J9" s="251">
        <f>J6+I9</f>
        <v>0</v>
      </c>
      <c r="K9" s="251"/>
      <c r="L9" s="251"/>
      <c r="M9" s="251">
        <f>K9*L9/1000</f>
        <v>0</v>
      </c>
      <c r="N9" s="251">
        <f>M9+N6</f>
        <v>0</v>
      </c>
      <c r="O9" s="251" t="e">
        <f>I9/M9*1.2/10</f>
        <v>#DIV/0!</v>
      </c>
      <c r="P9" s="60" t="s">
        <v>356</v>
      </c>
      <c r="Q9" s="251"/>
      <c r="R9" s="251"/>
      <c r="S9" s="251"/>
      <c r="T9" s="251"/>
    </row>
    <row r="10" spans="2:20" x14ac:dyDescent="0.25">
      <c r="B10" s="249"/>
      <c r="C10" s="249"/>
      <c r="D10" s="58"/>
      <c r="E10" s="58"/>
      <c r="F10" s="58"/>
      <c r="G10" s="250"/>
      <c r="H10" s="59">
        <f t="shared" si="0"/>
        <v>0</v>
      </c>
      <c r="I10" s="251"/>
      <c r="J10" s="251"/>
      <c r="K10" s="251"/>
      <c r="L10" s="251"/>
      <c r="M10" s="251"/>
      <c r="N10" s="251"/>
      <c r="O10" s="251"/>
      <c r="P10" s="60" t="s">
        <v>356</v>
      </c>
      <c r="Q10" s="251"/>
      <c r="R10" s="251"/>
      <c r="S10" s="251"/>
      <c r="T10" s="251"/>
    </row>
    <row r="11" spans="2:20" x14ac:dyDescent="0.25">
      <c r="B11" s="249"/>
      <c r="C11" s="249"/>
      <c r="D11" s="58"/>
      <c r="E11" s="58"/>
      <c r="F11" s="58"/>
      <c r="G11" s="250"/>
      <c r="H11" s="59">
        <f t="shared" si="0"/>
        <v>0</v>
      </c>
      <c r="I11" s="251"/>
      <c r="J11" s="251"/>
      <c r="K11" s="251"/>
      <c r="L11" s="251"/>
      <c r="M11" s="251"/>
      <c r="N11" s="251"/>
      <c r="O11" s="251"/>
      <c r="P11" s="60" t="s">
        <v>357</v>
      </c>
      <c r="Q11" s="251"/>
      <c r="R11" s="251"/>
      <c r="S11" s="251"/>
      <c r="T11" s="251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B1:J35"/>
  <sheetViews>
    <sheetView tabSelected="1" zoomScaleNormal="100" workbookViewId="0">
      <selection activeCell="N24" sqref="N24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269" t="s">
        <v>338</v>
      </c>
      <c r="C2" s="270"/>
      <c r="D2" s="270"/>
      <c r="E2" s="270"/>
      <c r="F2" s="270"/>
      <c r="G2" s="270"/>
      <c r="H2" s="270"/>
      <c r="I2" s="270"/>
      <c r="J2" s="271"/>
    </row>
    <row r="3" spans="2:10" ht="20.149999999999999" customHeight="1" x14ac:dyDescent="0.25">
      <c r="B3" s="35"/>
      <c r="C3" s="36"/>
      <c r="D3" s="36"/>
      <c r="E3" s="36"/>
      <c r="F3" s="36"/>
      <c r="G3" s="37"/>
      <c r="H3" s="272"/>
      <c r="I3" s="272"/>
      <c r="J3" s="273"/>
    </row>
    <row r="4" spans="2:10" ht="21" x14ac:dyDescent="0.25">
      <c r="B4" s="274" t="s">
        <v>281</v>
      </c>
      <c r="C4" s="275"/>
      <c r="D4" s="276"/>
      <c r="E4" s="38" t="s">
        <v>282</v>
      </c>
      <c r="F4" s="38" t="s">
        <v>283</v>
      </c>
      <c r="G4" s="38" t="s">
        <v>284</v>
      </c>
      <c r="H4" s="277" t="s">
        <v>285</v>
      </c>
      <c r="I4" s="276"/>
      <c r="J4" s="39" t="s">
        <v>286</v>
      </c>
    </row>
    <row r="5" spans="2:10" x14ac:dyDescent="0.25">
      <c r="B5" s="40" t="s">
        <v>287</v>
      </c>
      <c r="C5" s="248" t="s">
        <v>288</v>
      </c>
      <c r="D5" s="248"/>
      <c r="E5" s="41" t="s">
        <v>272</v>
      </c>
      <c r="F5" s="42">
        <v>90</v>
      </c>
      <c r="G5" s="43">
        <v>0</v>
      </c>
      <c r="H5" s="44">
        <f>(G5-F5)/F5*100</f>
        <v>-100</v>
      </c>
      <c r="I5" s="45" t="s">
        <v>272</v>
      </c>
      <c r="J5" s="46"/>
    </row>
    <row r="6" spans="2:10" x14ac:dyDescent="0.25">
      <c r="B6" s="253" t="s">
        <v>289</v>
      </c>
      <c r="C6" s="248" t="s">
        <v>290</v>
      </c>
      <c r="D6" s="248"/>
      <c r="E6" s="41" t="s">
        <v>269</v>
      </c>
      <c r="F6" s="42" t="s">
        <v>291</v>
      </c>
      <c r="G6" s="43"/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267"/>
      <c r="C7" s="248" t="s">
        <v>292</v>
      </c>
      <c r="D7" s="248"/>
      <c r="E7" s="41" t="s">
        <v>269</v>
      </c>
      <c r="F7" s="42" t="s">
        <v>293</v>
      </c>
      <c r="G7" s="43"/>
      <c r="H7" s="47" t="str">
        <f>IF($G7="","",IF(AND($G7&gt;=210,$G7&lt;=220),"合格","不合格"))</f>
        <v/>
      </c>
      <c r="I7" s="48" t="s">
        <v>4</v>
      </c>
      <c r="J7" s="46"/>
    </row>
    <row r="8" spans="2:10" x14ac:dyDescent="0.25">
      <c r="B8" s="268"/>
      <c r="C8" s="248" t="s">
        <v>294</v>
      </c>
      <c r="D8" s="248"/>
      <c r="E8" s="41" t="s">
        <v>269</v>
      </c>
      <c r="F8" s="42" t="s">
        <v>295</v>
      </c>
      <c r="G8" s="43"/>
      <c r="H8" s="47" t="str">
        <f>IF($G8="","",IF(AND($G8&gt;=190,$G8&lt;=210),"合格","不合格"))</f>
        <v/>
      </c>
      <c r="I8" s="48" t="s">
        <v>4</v>
      </c>
      <c r="J8" s="46"/>
    </row>
    <row r="9" spans="2:10" x14ac:dyDescent="0.25">
      <c r="B9" s="253" t="s">
        <v>296</v>
      </c>
      <c r="C9" s="41" t="s">
        <v>297</v>
      </c>
      <c r="D9" s="41" t="s">
        <v>298</v>
      </c>
      <c r="E9" s="41" t="s">
        <v>299</v>
      </c>
      <c r="F9" s="42" t="s">
        <v>300</v>
      </c>
      <c r="G9" s="43"/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267"/>
      <c r="C10" s="248" t="s">
        <v>301</v>
      </c>
      <c r="D10" s="41" t="s">
        <v>302</v>
      </c>
      <c r="E10" s="48" t="s">
        <v>4</v>
      </c>
      <c r="F10" s="42" t="s">
        <v>303</v>
      </c>
      <c r="G10" s="43"/>
      <c r="H10" s="47" t="str">
        <f>IF($G10="","",IF(AND($G10&gt;=0.525,$G10&lt;=0.5357),"合格","不合格"))</f>
        <v/>
      </c>
      <c r="I10" s="48" t="s">
        <v>4</v>
      </c>
      <c r="J10" s="46"/>
    </row>
    <row r="11" spans="2:10" x14ac:dyDescent="0.25">
      <c r="B11" s="267"/>
      <c r="C11" s="248"/>
      <c r="D11" s="41" t="s">
        <v>304</v>
      </c>
      <c r="E11" s="41" t="s">
        <v>305</v>
      </c>
      <c r="F11" s="42">
        <v>46.63</v>
      </c>
      <c r="G11" s="43"/>
      <c r="H11" s="47" t="s">
        <v>306</v>
      </c>
      <c r="I11" s="48" t="s">
        <v>4</v>
      </c>
      <c r="J11" s="46"/>
    </row>
    <row r="12" spans="2:10" x14ac:dyDescent="0.25">
      <c r="B12" s="267"/>
      <c r="C12" s="248"/>
      <c r="D12" s="41" t="s">
        <v>307</v>
      </c>
      <c r="E12" s="41" t="s">
        <v>274</v>
      </c>
      <c r="F12" s="42" t="s">
        <v>308</v>
      </c>
      <c r="G12" s="43"/>
      <c r="H12" s="47" t="str">
        <f>IF($G12="","",IF(AND($G12&gt;=0.745,$G12&lt;=0.755),"合格","不合格"))</f>
        <v/>
      </c>
      <c r="I12" s="48" t="s">
        <v>4</v>
      </c>
      <c r="J12" s="46"/>
    </row>
    <row r="13" spans="2:10" x14ac:dyDescent="0.25">
      <c r="B13" s="267"/>
      <c r="C13" s="248"/>
      <c r="D13" s="41" t="s">
        <v>309</v>
      </c>
      <c r="E13" s="41" t="s">
        <v>275</v>
      </c>
      <c r="F13" s="42" t="s">
        <v>310</v>
      </c>
      <c r="G13" s="43"/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267"/>
      <c r="C14" s="248"/>
      <c r="D14" s="41" t="s">
        <v>311</v>
      </c>
      <c r="E14" s="41" t="s">
        <v>275</v>
      </c>
      <c r="F14" s="42" t="s">
        <v>312</v>
      </c>
      <c r="G14" s="43"/>
      <c r="H14" s="47" t="str">
        <f>IF($G14="","",IF(AND($G14&gt;=143,$G14&lt;=147),"合格","不合格"))</f>
        <v/>
      </c>
      <c r="I14" s="48" t="s">
        <v>4</v>
      </c>
      <c r="J14" s="46"/>
    </row>
    <row r="15" spans="2:10" x14ac:dyDescent="0.25">
      <c r="B15" s="267"/>
      <c r="C15" s="248"/>
      <c r="D15" s="41" t="s">
        <v>313</v>
      </c>
      <c r="E15" s="41" t="s">
        <v>275</v>
      </c>
      <c r="F15" s="42" t="s">
        <v>314</v>
      </c>
      <c r="G15" s="43"/>
      <c r="H15" s="47" t="str">
        <f>IF($G15="","",IF(AND($G15&gt;=166,$G15&lt;=170),"合格","不合格"))</f>
        <v/>
      </c>
      <c r="I15" s="48" t="s">
        <v>4</v>
      </c>
      <c r="J15" s="46"/>
    </row>
    <row r="16" spans="2:10" x14ac:dyDescent="0.25">
      <c r="B16" s="267"/>
      <c r="C16" s="248" t="s">
        <v>315</v>
      </c>
      <c r="D16" s="41" t="s">
        <v>316</v>
      </c>
      <c r="E16" s="41" t="s">
        <v>275</v>
      </c>
      <c r="F16" s="42" t="s">
        <v>317</v>
      </c>
      <c r="G16" s="43"/>
      <c r="H16" s="47" t="str">
        <f>IF($G16="","",IF(AND($G16&gt;=0,$G16&lt;=45),"合格","不合格"))</f>
        <v/>
      </c>
      <c r="I16" s="48" t="s">
        <v>4</v>
      </c>
      <c r="J16" s="46"/>
    </row>
    <row r="17" spans="2:10" x14ac:dyDescent="0.25">
      <c r="B17" s="267"/>
      <c r="C17" s="248"/>
      <c r="D17" s="41" t="s">
        <v>318</v>
      </c>
      <c r="E17" s="41" t="s">
        <v>275</v>
      </c>
      <c r="F17" s="42" t="s">
        <v>319</v>
      </c>
      <c r="G17" s="43"/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267"/>
      <c r="C18" s="248"/>
      <c r="D18" s="41" t="s">
        <v>320</v>
      </c>
      <c r="E18" s="41" t="s">
        <v>275</v>
      </c>
      <c r="F18" s="42" t="s">
        <v>321</v>
      </c>
      <c r="G18" s="43"/>
      <c r="H18" s="47" t="str">
        <f>IF($G18="","",IF(AND($G18&gt;=46,$G18&lt;=50),"合格","不合格"))</f>
        <v/>
      </c>
      <c r="I18" s="48" t="s">
        <v>4</v>
      </c>
      <c r="J18" s="46"/>
    </row>
    <row r="19" spans="2:10" x14ac:dyDescent="0.25">
      <c r="B19" s="267"/>
      <c r="C19" s="248"/>
      <c r="D19" s="41" t="s">
        <v>322</v>
      </c>
      <c r="E19" s="41" t="s">
        <v>275</v>
      </c>
      <c r="F19" s="42" t="s">
        <v>323</v>
      </c>
      <c r="G19" s="43"/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267"/>
      <c r="C20" s="248" t="s">
        <v>324</v>
      </c>
      <c r="D20" s="41" t="s">
        <v>83</v>
      </c>
      <c r="E20" s="41" t="s">
        <v>272</v>
      </c>
      <c r="F20" s="49" t="s">
        <v>76</v>
      </c>
      <c r="G20" s="43"/>
      <c r="H20" s="50" t="s">
        <v>325</v>
      </c>
      <c r="I20" s="48" t="s">
        <v>4</v>
      </c>
      <c r="J20" s="46"/>
    </row>
    <row r="21" spans="2:10" x14ac:dyDescent="0.25">
      <c r="B21" s="267"/>
      <c r="C21" s="248"/>
      <c r="D21" s="41" t="s">
        <v>86</v>
      </c>
      <c r="E21" s="41" t="s">
        <v>272</v>
      </c>
      <c r="F21" s="49" t="s">
        <v>76</v>
      </c>
      <c r="G21" s="43"/>
      <c r="H21" s="50" t="s">
        <v>325</v>
      </c>
      <c r="I21" s="48" t="s">
        <v>4</v>
      </c>
      <c r="J21" s="46"/>
    </row>
    <row r="22" spans="2:10" x14ac:dyDescent="0.25">
      <c r="B22" s="267"/>
      <c r="C22" s="248"/>
      <c r="D22" s="41" t="s">
        <v>326</v>
      </c>
      <c r="E22" s="48" t="s">
        <v>4</v>
      </c>
      <c r="F22" s="49" t="s">
        <v>76</v>
      </c>
      <c r="G22" s="43"/>
      <c r="H22" s="50" t="s">
        <v>325</v>
      </c>
      <c r="I22" s="48" t="s">
        <v>4</v>
      </c>
      <c r="J22" s="46"/>
    </row>
    <row r="23" spans="2:10" x14ac:dyDescent="0.25">
      <c r="B23" s="267"/>
      <c r="C23" s="248"/>
      <c r="D23" s="41" t="s">
        <v>160</v>
      </c>
      <c r="E23" s="41" t="s">
        <v>299</v>
      </c>
      <c r="F23" s="49" t="s">
        <v>76</v>
      </c>
      <c r="G23" s="43"/>
      <c r="H23" s="50" t="s">
        <v>325</v>
      </c>
      <c r="I23" s="48" t="s">
        <v>4</v>
      </c>
      <c r="J23" s="46"/>
    </row>
    <row r="24" spans="2:10" x14ac:dyDescent="0.25">
      <c r="B24" s="268"/>
      <c r="C24" s="248"/>
      <c r="D24" s="41" t="s">
        <v>161</v>
      </c>
      <c r="E24" s="41" t="s">
        <v>299</v>
      </c>
      <c r="F24" s="49" t="s">
        <v>76</v>
      </c>
      <c r="G24" s="43"/>
      <c r="H24" s="50" t="s">
        <v>325</v>
      </c>
      <c r="I24" s="48" t="s">
        <v>4</v>
      </c>
      <c r="J24" s="46"/>
    </row>
    <row r="25" spans="2:10" x14ac:dyDescent="0.25">
      <c r="B25" s="252" t="s">
        <v>327</v>
      </c>
      <c r="C25" s="41" t="s">
        <v>328</v>
      </c>
      <c r="D25" s="41" t="s">
        <v>329</v>
      </c>
      <c r="E25" s="41" t="s">
        <v>330</v>
      </c>
      <c r="F25" s="42" t="s">
        <v>331</v>
      </c>
      <c r="G25" s="43"/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252"/>
      <c r="C26" s="248" t="s">
        <v>332</v>
      </c>
      <c r="D26" s="41" t="s">
        <v>10</v>
      </c>
      <c r="E26" s="41" t="s">
        <v>272</v>
      </c>
      <c r="F26" s="42">
        <v>7</v>
      </c>
      <c r="G26" s="43"/>
      <c r="H26" s="44">
        <f t="shared" ref="H26:H32" si="0">(G26-F26)</f>
        <v>-7</v>
      </c>
      <c r="I26" s="48" t="s">
        <v>272</v>
      </c>
      <c r="J26" s="46"/>
    </row>
    <row r="27" spans="2:10" x14ac:dyDescent="0.25">
      <c r="B27" s="252"/>
      <c r="C27" s="248"/>
      <c r="D27" s="41" t="s">
        <v>333</v>
      </c>
      <c r="E27" s="41" t="s">
        <v>272</v>
      </c>
      <c r="F27" s="42">
        <v>15</v>
      </c>
      <c r="G27" s="43"/>
      <c r="H27" s="44">
        <f t="shared" si="0"/>
        <v>-15</v>
      </c>
      <c r="I27" s="48" t="s">
        <v>272</v>
      </c>
      <c r="J27" s="46"/>
    </row>
    <row r="28" spans="2:10" x14ac:dyDescent="0.25">
      <c r="B28" s="252"/>
      <c r="C28" s="248"/>
      <c r="D28" s="41" t="s">
        <v>334</v>
      </c>
      <c r="E28" s="41" t="s">
        <v>272</v>
      </c>
      <c r="F28" s="42">
        <v>4</v>
      </c>
      <c r="G28" s="43"/>
      <c r="H28" s="44">
        <f t="shared" si="0"/>
        <v>-4</v>
      </c>
      <c r="I28" s="48" t="s">
        <v>272</v>
      </c>
      <c r="J28" s="46"/>
    </row>
    <row r="29" spans="2:10" x14ac:dyDescent="0.25">
      <c r="B29" s="252"/>
      <c r="C29" s="248"/>
      <c r="D29" s="41" t="s">
        <v>160</v>
      </c>
      <c r="E29" s="41" t="s">
        <v>272</v>
      </c>
      <c r="F29" s="42">
        <v>7</v>
      </c>
      <c r="G29" s="43"/>
      <c r="H29" s="44">
        <f t="shared" si="0"/>
        <v>-7</v>
      </c>
      <c r="I29" s="48" t="s">
        <v>272</v>
      </c>
      <c r="J29" s="46"/>
    </row>
    <row r="30" spans="2:10" x14ac:dyDescent="0.25">
      <c r="B30" s="252"/>
      <c r="C30" s="248"/>
      <c r="D30" s="41" t="s">
        <v>161</v>
      </c>
      <c r="E30" s="41" t="s">
        <v>272</v>
      </c>
      <c r="F30" s="42">
        <v>7</v>
      </c>
      <c r="G30" s="43"/>
      <c r="H30" s="44">
        <f t="shared" si="0"/>
        <v>-7</v>
      </c>
      <c r="I30" s="48" t="s">
        <v>272</v>
      </c>
      <c r="J30" s="46"/>
    </row>
    <row r="31" spans="2:10" x14ac:dyDescent="0.25">
      <c r="B31" s="252"/>
      <c r="C31" s="248"/>
      <c r="D31" s="41" t="s">
        <v>335</v>
      </c>
      <c r="E31" s="41" t="s">
        <v>336</v>
      </c>
      <c r="F31" s="42">
        <v>10</v>
      </c>
      <c r="G31" s="43"/>
      <c r="H31" s="44">
        <f t="shared" si="0"/>
        <v>-10</v>
      </c>
      <c r="I31" s="48" t="s">
        <v>272</v>
      </c>
      <c r="J31" s="46"/>
    </row>
    <row r="32" spans="2:10" ht="14.5" thickBot="1" x14ac:dyDescent="0.3">
      <c r="B32" s="253"/>
      <c r="C32" s="254"/>
      <c r="D32" s="51" t="s">
        <v>276</v>
      </c>
      <c r="E32" s="51" t="s">
        <v>272</v>
      </c>
      <c r="F32" s="52">
        <v>50</v>
      </c>
      <c r="G32" s="53"/>
      <c r="H32" s="44">
        <f t="shared" si="0"/>
        <v>-50</v>
      </c>
      <c r="I32" s="48" t="s">
        <v>272</v>
      </c>
      <c r="J32" s="54"/>
    </row>
    <row r="33" spans="2:10" x14ac:dyDescent="0.25">
      <c r="B33" s="255" t="s">
        <v>337</v>
      </c>
      <c r="C33" s="258"/>
      <c r="D33" s="259"/>
      <c r="E33" s="259"/>
      <c r="F33" s="259"/>
      <c r="G33" s="259"/>
      <c r="H33" s="259"/>
      <c r="I33" s="259"/>
      <c r="J33" s="260"/>
    </row>
    <row r="34" spans="2:10" x14ac:dyDescent="0.25">
      <c r="B34" s="256"/>
      <c r="C34" s="261"/>
      <c r="D34" s="262"/>
      <c r="E34" s="262"/>
      <c r="F34" s="262"/>
      <c r="G34" s="262"/>
      <c r="H34" s="262"/>
      <c r="I34" s="262"/>
      <c r="J34" s="263"/>
    </row>
    <row r="35" spans="2:10" ht="14.5" thickBot="1" x14ac:dyDescent="0.3">
      <c r="B35" s="257"/>
      <c r="C35" s="264"/>
      <c r="D35" s="265"/>
      <c r="E35" s="265"/>
      <c r="F35" s="265"/>
      <c r="G35" s="265"/>
      <c r="H35" s="265"/>
      <c r="I35" s="265"/>
      <c r="J35" s="266"/>
    </row>
  </sheetData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2026-06-02T10:58:51Z</dcterms:modified>
</cp:coreProperties>
</file>