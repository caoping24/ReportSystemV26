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24226"/>
  <xr:revisionPtr revIDLastSave="0" documentId="13_ncr:1_{BF17CF5A-CD80-418B-8434-F98CF799800F}" xr6:coauthVersionLast="47" xr6:coauthVersionMax="47" xr10:uidLastSave="{00000000-0000-0000-0000-000000000000}"/>
  <bookViews>
    <workbookView xWindow="-120" yWindow="-16320" windowWidth="29040" windowHeight="15720" activeTab="4" xr2:uid="{00000000-000D-0000-FFFF-FFFF00000000}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台账" sheetId="11" r:id="rId5"/>
    <sheet name="日报表" sheetId="12" r:id="rId6"/>
  </sheets>
  <externalReferences>
    <externalReference r:id="rId7"/>
  </externalReferences>
  <definedNames>
    <definedName name="_xlnm.Print_Area" localSheetId="4">台账!#REF!</definedName>
  </definedNames>
  <calcPr calcId="191029"/>
</workbook>
</file>

<file path=xl/calcChain.xml><?xml version="1.0" encoding="utf-8"?>
<calcChain xmlns="http://schemas.openxmlformats.org/spreadsheetml/2006/main">
  <c r="H11" i="11" l="1"/>
  <c r="H10" i="11"/>
  <c r="M9" i="11"/>
  <c r="H9" i="11"/>
  <c r="I9" i="11" s="1"/>
  <c r="G9" i="11"/>
  <c r="H8" i="11"/>
  <c r="H7" i="11"/>
  <c r="M6" i="11"/>
  <c r="N6" i="11" s="1"/>
  <c r="H6" i="11"/>
  <c r="G6" i="11"/>
  <c r="N9" i="11" l="1"/>
  <c r="I6" i="11"/>
  <c r="O9" i="11"/>
  <c r="J6" i="11"/>
  <c r="J9" i="11" s="1"/>
  <c r="Q6" i="11"/>
  <c r="O6" i="11"/>
  <c r="H32" i="12" l="1"/>
  <c r="H31" i="12"/>
  <c r="H30" i="12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A9A84C14-28C1-4DE7-B8E9-F59C3C7F87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308442AD-CF00-4A0F-BEF7-59DA0EABFEA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A56CCC72-971B-40CA-B444-1B80F6132FC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E6CFAD59-AC96-4FE2-9E98-2D8308917C2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115E47-2824-41CE-9978-5C32A1E8AC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7FC6C82F-827F-4AA8-8403-762F41BE765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877197E2-96E1-4C17-9DBB-5A0A6B1FD32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92129967-F845-43FE-8F5A-C25BDBEAF3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E76EBC0D-5E30-4F24-92C8-3B07F0258D8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8B41A775-4705-4AD5-804B-2F1C9142AFC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06CBEB-4D72-474B-BA25-C641E9AD115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28A1A1ED-E2EC-42D7-BCAB-DD8D5A67B90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<sst xmlns="http://schemas.openxmlformats.org/spreadsheetml/2006/main" count="878" uniqueCount="372">
  <si>
    <t>LT-04441
(%)</t>
    <phoneticPr fontId="1" type="noConversion"/>
  </si>
  <si>
    <t>压力</t>
    <phoneticPr fontId="1" type="noConversion"/>
  </si>
  <si>
    <t>瞬时流量</t>
    <phoneticPr fontId="1" type="noConversion"/>
  </si>
  <si>
    <t>累计量</t>
    <phoneticPr fontId="1" type="noConversion"/>
  </si>
  <si>
    <t>/</t>
    <phoneticPr fontId="1" type="noConversion"/>
  </si>
  <si>
    <t>8:00</t>
    <phoneticPr fontId="1" type="noConversion"/>
  </si>
  <si>
    <t>气化温度</t>
    <phoneticPr fontId="1" type="noConversion"/>
  </si>
  <si>
    <t>气氨流量
FT-05141</t>
    <phoneticPr fontId="1" type="noConversion"/>
  </si>
  <si>
    <t>液氨气化</t>
    <phoneticPr fontId="1" type="noConversion"/>
  </si>
  <si>
    <t>预热后
温度</t>
    <phoneticPr fontId="1" type="noConversion"/>
  </si>
  <si>
    <t>羟基乙腈</t>
    <phoneticPr fontId="1" type="noConversion"/>
  </si>
  <si>
    <t>反应前</t>
    <phoneticPr fontId="1" type="noConversion"/>
  </si>
  <si>
    <t>温度</t>
    <phoneticPr fontId="1" type="noConversion"/>
  </si>
  <si>
    <t>反应中</t>
    <phoneticPr fontId="1" type="noConversion"/>
  </si>
  <si>
    <t>反应后</t>
    <phoneticPr fontId="1" type="noConversion"/>
  </si>
  <si>
    <t>液位</t>
    <phoneticPr fontId="1" type="noConversion"/>
  </si>
  <si>
    <t>闪发器</t>
    <phoneticPr fontId="1" type="noConversion"/>
  </si>
  <si>
    <t>冷凝液罐</t>
    <phoneticPr fontId="1" type="noConversion"/>
  </si>
  <si>
    <t>稀硫酸中和</t>
    <phoneticPr fontId="1" type="noConversion"/>
  </si>
  <si>
    <t>白班</t>
    <phoneticPr fontId="1" type="noConversion"/>
  </si>
  <si>
    <t>特殊
情况
说明</t>
    <phoneticPr fontId="1" type="noConversion"/>
  </si>
  <si>
    <t>AT-06111</t>
    <phoneticPr fontId="1" type="noConversion"/>
  </si>
  <si>
    <t>TT-06125</t>
    <phoneticPr fontId="1" type="noConversion"/>
  </si>
  <si>
    <t>TT-06126</t>
    <phoneticPr fontId="1" type="noConversion"/>
  </si>
  <si>
    <t>一次结晶分离</t>
    <phoneticPr fontId="1" type="noConversion"/>
  </si>
  <si>
    <t>TT-07152</t>
    <phoneticPr fontId="1" type="noConversion"/>
  </si>
  <si>
    <t>气相温度</t>
    <phoneticPr fontId="1" type="noConversion"/>
  </si>
  <si>
    <t>液相温度</t>
    <phoneticPr fontId="1" type="noConversion"/>
  </si>
  <si>
    <t>TT-07151</t>
    <phoneticPr fontId="1" type="noConversion"/>
  </si>
  <si>
    <t>TT-07126</t>
    <phoneticPr fontId="1" type="noConversion"/>
  </si>
  <si>
    <t>循环频率</t>
    <phoneticPr fontId="1" type="noConversion"/>
  </si>
  <si>
    <t>SIC-07P01</t>
    <phoneticPr fontId="1" type="noConversion"/>
  </si>
  <si>
    <t>一次母液进料</t>
    <phoneticPr fontId="1" type="noConversion"/>
  </si>
  <si>
    <t>脱色液进料</t>
    <phoneticPr fontId="1" type="noConversion"/>
  </si>
  <si>
    <t>温度
TT-09171</t>
    <phoneticPr fontId="1" type="noConversion"/>
  </si>
  <si>
    <t>真空水箱
液位</t>
    <phoneticPr fontId="1" type="noConversion"/>
  </si>
  <si>
    <t>真空泵
水温</t>
    <phoneticPr fontId="1" type="noConversion"/>
  </si>
  <si>
    <t>FT-07137</t>
    <phoneticPr fontId="1" type="noConversion"/>
  </si>
  <si>
    <t>低蒸结晶器</t>
    <phoneticPr fontId="1" type="noConversion"/>
  </si>
  <si>
    <t>LT-08181</t>
    <phoneticPr fontId="1" type="noConversion"/>
  </si>
  <si>
    <t>TT-08171</t>
    <phoneticPr fontId="1" type="noConversion"/>
  </si>
  <si>
    <t>SIC-08P01</t>
    <phoneticPr fontId="1" type="noConversion"/>
  </si>
  <si>
    <t>FT-08122</t>
    <phoneticPr fontId="1" type="noConversion"/>
  </si>
  <si>
    <t>FT-08132</t>
    <phoneticPr fontId="1" type="noConversion"/>
  </si>
  <si>
    <t>TT-06135</t>
    <phoneticPr fontId="1" type="noConversion"/>
  </si>
  <si>
    <t>TT-06136</t>
    <phoneticPr fontId="1" type="noConversion"/>
  </si>
  <si>
    <t>废液槽</t>
    <phoneticPr fontId="1" type="noConversion"/>
  </si>
  <si>
    <t>一次清洗水箱</t>
    <phoneticPr fontId="1" type="noConversion"/>
  </si>
  <si>
    <t>二次清洗水箱</t>
    <phoneticPr fontId="1" type="noConversion"/>
  </si>
  <si>
    <t>2025-11-12</t>
    <phoneticPr fontId="1" type="noConversion"/>
  </si>
  <si>
    <t>20:00</t>
    <phoneticPr fontId="1" type="noConversion"/>
  </si>
  <si>
    <t>氨+汽
混合温度</t>
    <phoneticPr fontId="1" type="noConversion"/>
  </si>
  <si>
    <t>配料罐
液位</t>
    <phoneticPr fontId="1" type="noConversion"/>
  </si>
  <si>
    <t>羟基乙腈
温度</t>
    <phoneticPr fontId="1" type="noConversion"/>
  </si>
  <si>
    <r>
      <t>TT-04751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</si>
  <si>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AT-04112
(g/L)</t>
    <phoneticPr fontId="1" type="noConversion"/>
  </si>
  <si>
    <t>原料
浓度</t>
    <phoneticPr fontId="1" type="noConversion"/>
  </si>
  <si>
    <t>原料
累计</t>
    <phoneticPr fontId="1" type="noConversion"/>
  </si>
  <si>
    <t>FQ-04111
(m3)</t>
    <phoneticPr fontId="1" type="noConversion"/>
  </si>
  <si>
    <t>脱盐水
累计</t>
    <phoneticPr fontId="1" type="noConversion"/>
  </si>
  <si>
    <t>FQ-04113
(m3)</t>
    <phoneticPr fontId="1" type="noConversion"/>
  </si>
  <si>
    <t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</si>
  <si>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>FT-05112</t>
    </r>
    <phoneticPr fontId="1" type="noConversion"/>
  </si>
  <si>
    <r>
      <rPr>
        <sz val="6"/>
        <rFont val="宋体"/>
        <family val="1"/>
        <charset val="134"/>
      </rPr>
      <t>瞬时流量（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</si>
  <si>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kg</t>
    </r>
    <r>
      <rPr>
        <sz val="6"/>
        <rFont val="宋体"/>
        <family val="1"/>
        <charset val="134"/>
      </rPr>
      <t>）</t>
    </r>
    <phoneticPr fontId="1" type="noConversion"/>
  </si>
  <si>
    <r>
      <t>TT-05151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</si>
  <si>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气化压力</t>
    <phoneticPr fontId="1" type="noConversion"/>
  </si>
  <si>
    <t>PT-05115
(Mpa)</t>
    <phoneticPr fontId="1" type="noConversion"/>
  </si>
  <si>
    <r>
      <t>TT-05121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</si>
  <si>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TT-05131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</si>
  <si>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</si>
  <si>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配料蒸汽流量
（</t>
    </r>
    <r>
      <rPr>
        <sz val="6"/>
        <rFont val="Times New Roman"/>
        <family val="1"/>
      </rPr>
      <t>FT-05142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</si>
  <si>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</si>
  <si>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</si>
  <si>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r>
      <t>TT-05143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</si>
  <si>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羟基乙腈
进料压力</t>
    <phoneticPr fontId="1" type="noConversion"/>
  </si>
  <si>
    <t>PT-05212
(Mpa)</t>
    <phoneticPr fontId="1" type="noConversion"/>
  </si>
  <si>
    <t>（氨+汽）混合</t>
    <phoneticPr fontId="1" type="noConversion"/>
  </si>
  <si>
    <r>
      <rPr>
        <sz val="6"/>
        <rFont val="宋体"/>
        <family val="1"/>
        <charset val="134"/>
      </rPr>
      <t>羟基乙腈进料流量
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</si>
  <si>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t>TT-05214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</si>
  <si>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摩尔比
（气氨/羟基乙腈）</t>
    <phoneticPr fontId="1" type="noConversion"/>
  </si>
  <si>
    <t>AT-05140</t>
    <phoneticPr fontId="1" type="noConversion"/>
  </si>
  <si>
    <t>/</t>
  </si>
  <si>
    <t>PT-05311
(Mpa)</t>
    <phoneticPr fontId="1" type="noConversion"/>
  </si>
  <si>
    <r>
      <t>TT-05312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</si>
  <si>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TT-05300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</si>
  <si>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PT-05317
(Mpa)</t>
    <phoneticPr fontId="1" type="noConversion"/>
  </si>
  <si>
    <r>
      <t>TT-05316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</si>
  <si>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反应液检测数据</t>
    <phoneticPr fontId="1" type="noConversion"/>
  </si>
  <si>
    <t>二乙腈含量</t>
    <phoneticPr fontId="1" type="noConversion"/>
  </si>
  <si>
    <t>化分
（%）</t>
    <phoneticPr fontId="1" type="noConversion"/>
  </si>
  <si>
    <t>色谱
（%）</t>
    <phoneticPr fontId="1" type="noConversion"/>
  </si>
  <si>
    <t>羟基乙腈残余</t>
    <phoneticPr fontId="1" type="noConversion"/>
  </si>
  <si>
    <t>（%）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</si>
  <si>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g/L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</si>
  <si>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</si>
  <si>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t>TT-05324
(℃)</t>
    <phoneticPr fontId="1" type="noConversion"/>
  </si>
  <si>
    <t>PT-05325
(MPA)</t>
    <phoneticPr fontId="1" type="noConversion"/>
  </si>
  <si>
    <t>瞬时流量
(L/h)</t>
    <phoneticPr fontId="1" type="noConversion"/>
  </si>
  <si>
    <t>LT-05344
(%)</t>
    <phoneticPr fontId="1" type="noConversion"/>
  </si>
  <si>
    <t>采出流量
FT-05343</t>
    <phoneticPr fontId="1" type="noConversion"/>
  </si>
  <si>
    <t>瞬时流量
（L/h）</t>
    <phoneticPr fontId="1" type="noConversion"/>
  </si>
  <si>
    <t>累积量
(m3)</t>
    <phoneticPr fontId="1" type="noConversion"/>
  </si>
  <si>
    <t>COD</t>
    <phoneticPr fontId="1" type="noConversion"/>
  </si>
  <si>
    <t>(mg/L)</t>
    <phoneticPr fontId="1" type="noConversion"/>
  </si>
  <si>
    <t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</si>
  <si>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</si>
  <si>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>甲醛</t>
    </r>
    <phoneticPr fontId="1" type="noConversion"/>
  </si>
  <si>
    <t>闪发器冷凝液检测数据记录</t>
    <phoneticPr fontId="1" type="noConversion"/>
  </si>
  <si>
    <t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</si>
  <si>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>FT-05411</t>
    </r>
    <phoneticPr fontId="1" type="noConversion"/>
  </si>
  <si>
    <t>硫酸桶
液位</t>
  </si>
  <si>
    <t>LT-05417
（%）</t>
  </si>
  <si>
    <t>真空度</t>
  </si>
  <si>
    <t>PT-05332
(Mpa)</t>
  </si>
  <si>
    <t>pH</t>
  </si>
  <si>
    <t>预冷器
液位</t>
    <phoneticPr fontId="1" type="noConversion"/>
  </si>
  <si>
    <t>LT-06945
(%)</t>
    <phoneticPr fontId="1" type="noConversion"/>
  </si>
  <si>
    <t>预冷器
温度</t>
    <phoneticPr fontId="1" type="noConversion"/>
  </si>
  <si>
    <t>TT-06971
(℃)</t>
    <phoneticPr fontId="1" type="noConversion"/>
  </si>
  <si>
    <t>SIC-06P01
(HZ)</t>
    <phoneticPr fontId="1" type="noConversion"/>
  </si>
  <si>
    <t>SIC-06P02
(HZ)</t>
    <phoneticPr fontId="1" type="noConversion"/>
  </si>
  <si>
    <t>料液pH</t>
    <phoneticPr fontId="1" type="noConversion"/>
  </si>
  <si>
    <t>预冷器</t>
    <phoneticPr fontId="1" type="noConversion"/>
  </si>
  <si>
    <t>结晶器
温度</t>
    <phoneticPr fontId="1" type="noConversion"/>
  </si>
  <si>
    <t>TT-06171
(℃)</t>
    <phoneticPr fontId="1" type="noConversion"/>
  </si>
  <si>
    <t>结晶器
液位</t>
    <phoneticPr fontId="1" type="noConversion"/>
  </si>
  <si>
    <t>LT-06181
(%)</t>
    <phoneticPr fontId="1" type="noConversion"/>
  </si>
  <si>
    <t>FT-06122
(m3/h)</t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</si>
  <si>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</si>
  <si>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</si>
  <si>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</si>
  <si>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</si>
  <si>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</si>
  <si>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B</t>
    </r>
    <phoneticPr fontId="1" type="noConversion"/>
  </si>
  <si>
    <t>SIC-06P03
(HZ)</t>
    <phoneticPr fontId="1" type="noConversion"/>
  </si>
  <si>
    <t>FT-06132
(m3/h)</t>
    <phoneticPr fontId="1" type="noConversion"/>
  </si>
  <si>
    <r>
      <t>TT-06135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</si>
  <si>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t>TT-06136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</si>
  <si>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t>结晶液
密度</t>
    <phoneticPr fontId="1" type="noConversion"/>
  </si>
  <si>
    <t>AT-06149
(Kg/m3)</t>
    <phoneticPr fontId="1" type="noConversion"/>
  </si>
  <si>
    <t>冷却循环频率A</t>
    <phoneticPr fontId="1" type="noConversion"/>
  </si>
  <si>
    <t>冷却循环频率B</t>
    <phoneticPr fontId="1" type="noConversion"/>
  </si>
  <si>
    <t>冷却循环流量B</t>
    <phoneticPr fontId="1" type="noConversion"/>
  </si>
  <si>
    <t>冷却循环流量A</t>
    <phoneticPr fontId="1" type="noConversion"/>
  </si>
  <si>
    <t>物料循环
流量</t>
    <phoneticPr fontId="1" type="noConversion"/>
  </si>
  <si>
    <t>AT-06149
(m3/h)</t>
    <phoneticPr fontId="1" type="noConversion"/>
  </si>
  <si>
    <t>一次结晶器</t>
    <phoneticPr fontId="1" type="noConversion"/>
  </si>
  <si>
    <t>排料流量
FT-06149</t>
    <phoneticPr fontId="1" type="noConversion"/>
  </si>
  <si>
    <t>即时流量
（L/h）</t>
    <phoneticPr fontId="1" type="noConversion"/>
  </si>
  <si>
    <t>累计量
（m3）</t>
    <phoneticPr fontId="1" type="noConversion"/>
  </si>
  <si>
    <t>溢流槽
液位</t>
    <phoneticPr fontId="1" type="noConversion"/>
  </si>
  <si>
    <t>LT-06471
(%)</t>
    <phoneticPr fontId="1" type="noConversion"/>
  </si>
  <si>
    <t>母液槽
液位</t>
    <phoneticPr fontId="1" type="noConversion"/>
  </si>
  <si>
    <t>LT-06524
(%)</t>
    <phoneticPr fontId="1" type="noConversion"/>
  </si>
  <si>
    <t>一次分离
产量</t>
    <phoneticPr fontId="1" type="noConversion"/>
  </si>
  <si>
    <t>（Kg）</t>
    <phoneticPr fontId="1" type="noConversion"/>
  </si>
  <si>
    <t>瞬时
配比</t>
    <phoneticPr fontId="1" type="noConversion"/>
  </si>
  <si>
    <t>累计
配比</t>
    <phoneticPr fontId="1" type="noConversion"/>
  </si>
  <si>
    <t>热点
温度</t>
    <phoneticPr fontId="1" type="noConversion"/>
  </si>
  <si>
    <t>累计量
(m3)</t>
  </si>
  <si>
    <t>采出流量
FT-05323</t>
    <phoneticPr fontId="1" type="noConversion"/>
  </si>
  <si>
    <t>配后
浓度</t>
    <phoneticPr fontId="1" type="noConversion"/>
  </si>
  <si>
    <t>羟基乙腈配料</t>
    <phoneticPr fontId="1" type="noConversion"/>
  </si>
  <si>
    <t>一级     加热器
温度</t>
    <phoneticPr fontId="1" type="noConversion"/>
  </si>
  <si>
    <t>二级       加热器
温度</t>
    <phoneticPr fontId="1" type="noConversion"/>
  </si>
  <si>
    <t>甘氨腈</t>
    <phoneticPr fontId="1" type="noConversion"/>
  </si>
  <si>
    <t>三乙腈</t>
    <phoneticPr fontId="1" type="noConversion"/>
  </si>
  <si>
    <t>高效
分离器</t>
  </si>
  <si>
    <t>压力</t>
  </si>
  <si>
    <t>PT-05327
(Mpa)</t>
  </si>
  <si>
    <t>真空
系统</t>
    <phoneticPr fontId="1" type="noConversion"/>
  </si>
  <si>
    <t>硫铵
含量</t>
    <phoneticPr fontId="1" type="noConversion"/>
  </si>
  <si>
    <t>一次母液分析数据</t>
    <phoneticPr fontId="1" type="noConversion"/>
  </si>
  <si>
    <t>TT-06311
(℃)</t>
    <phoneticPr fontId="1" type="noConversion"/>
  </si>
  <si>
    <t>LT-06315
(%)</t>
    <phoneticPr fontId="1" type="noConversion"/>
  </si>
  <si>
    <t>TT-07143
(℃)</t>
    <phoneticPr fontId="1" type="noConversion"/>
  </si>
  <si>
    <t>LT-07144
(%)</t>
    <phoneticPr fontId="1" type="noConversion"/>
  </si>
  <si>
    <t>真空度
PT-07145</t>
    <phoneticPr fontId="1" type="noConversion"/>
  </si>
  <si>
    <t>PT-07145
(Mpa)</t>
    <phoneticPr fontId="1" type="noConversion"/>
  </si>
  <si>
    <t>低蒸真空系统</t>
    <phoneticPr fontId="1" type="noConversion"/>
  </si>
  <si>
    <t>时
间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</si>
  <si>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</si>
  <si>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</si>
  <si>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t>（℃）</t>
  </si>
  <si>
    <t>（℃）</t>
    <phoneticPr fontId="1" type="noConversion"/>
  </si>
  <si>
    <t>瞬时流量
FT-06611</t>
    <phoneticPr fontId="1" type="noConversion"/>
  </si>
  <si>
    <t>累计量
FQ-06611</t>
    <phoneticPr fontId="1" type="noConversion"/>
  </si>
  <si>
    <t>瞬时流量
FT-06524</t>
    <phoneticPr fontId="1" type="noConversion"/>
  </si>
  <si>
    <t>累计量
FQ-06524</t>
    <phoneticPr fontId="1" type="noConversion"/>
  </si>
  <si>
    <t>(HZ)</t>
    <phoneticPr fontId="1" type="noConversion"/>
  </si>
  <si>
    <t>加热温度</t>
    <phoneticPr fontId="1" type="noConversion"/>
  </si>
  <si>
    <t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</si>
  <si>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</si>
  <si>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>FQ-07126</t>
    </r>
    <phoneticPr fontId="1" type="noConversion"/>
  </si>
  <si>
    <t>(m3/h)</t>
    <phoneticPr fontId="1" type="noConversion"/>
  </si>
  <si>
    <t>(m3)</t>
    <phoneticPr fontId="1" type="noConversion"/>
  </si>
  <si>
    <t>浓缩液
密度</t>
    <phoneticPr fontId="1" type="noConversion"/>
  </si>
  <si>
    <t>(kg/m3)</t>
    <phoneticPr fontId="1" type="noConversion"/>
  </si>
  <si>
    <t>低蒸出料
FT-07122</t>
    <phoneticPr fontId="1" type="noConversion"/>
  </si>
  <si>
    <t>（m3/h）</t>
    <phoneticPr fontId="1" type="noConversion"/>
  </si>
  <si>
    <t>冷凝水采出
FT-07174-2</t>
    <phoneticPr fontId="1" type="noConversion"/>
  </si>
  <si>
    <t>冷凝液采出
FT-07174-1</t>
    <phoneticPr fontId="1" type="noConversion"/>
  </si>
  <si>
    <t>(%)</t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</si>
  <si>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</si>
  <si>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</si>
  <si>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A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</si>
  <si>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</si>
  <si>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</rPr>
      <t>B</t>
    </r>
    <phoneticPr fontId="1" type="noConversion"/>
  </si>
  <si>
    <t>SIC-08P03</t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</si>
  <si>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</si>
  <si>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B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</si>
  <si>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</rPr>
      <t>B</t>
    </r>
    <phoneticPr fontId="1" type="noConversion"/>
  </si>
  <si>
    <t>二次
分离</t>
    <phoneticPr fontId="1" type="noConversion"/>
  </si>
  <si>
    <t>累计
产量</t>
    <phoneticPr fontId="1" type="noConversion"/>
  </si>
  <si>
    <t>(kg)</t>
    <phoneticPr fontId="1" type="noConversion"/>
  </si>
  <si>
    <t>二次结晶器/分离</t>
    <phoneticPr fontId="1" type="noConversion"/>
  </si>
  <si>
    <t>液位
LT-08522</t>
    <phoneticPr fontId="1" type="noConversion"/>
  </si>
  <si>
    <t>排放流量
FT-08523</t>
    <phoneticPr fontId="1" type="noConversion"/>
  </si>
  <si>
    <t>排放累计
FQ-08523</t>
    <phoneticPr fontId="1" type="noConversion"/>
  </si>
  <si>
    <t>(℃)</t>
    <phoneticPr fontId="1" type="noConversion"/>
  </si>
  <si>
    <t>LT-08315</t>
    <phoneticPr fontId="1" type="noConversion"/>
  </si>
  <si>
    <t>TT-08311</t>
    <phoneticPr fontId="1" type="noConversion"/>
  </si>
  <si>
    <t>脱色数据记录</t>
    <phoneticPr fontId="1" type="noConversion"/>
  </si>
  <si>
    <t>脱色前
透光率</t>
    <phoneticPr fontId="1" type="noConversion"/>
  </si>
  <si>
    <t>脱色后
透光率</t>
    <phoneticPr fontId="1" type="noConversion"/>
  </si>
  <si>
    <t>甲班：熊茂盛</t>
    <phoneticPr fontId="1" type="noConversion"/>
  </si>
  <si>
    <t>二乙腈中试生产过程记录表</t>
    <phoneticPr fontId="1" type="noConversion"/>
  </si>
  <si>
    <t>循环
频率A</t>
    <phoneticPr fontId="1" type="noConversion"/>
  </si>
  <si>
    <t>循环
频率B</t>
    <phoneticPr fontId="1" type="noConversion"/>
  </si>
  <si>
    <t>二乙腈中试生产过程曲线</t>
    <phoneticPr fontId="1" type="noConversion"/>
  </si>
  <si>
    <r>
      <rPr>
        <sz val="6"/>
        <rFont val="宋体"/>
        <family val="1"/>
        <charset val="134"/>
      </rPr>
      <t>曲线02： 羟基乙腈浓度曲线（</t>
    </r>
    <r>
      <rPr>
        <sz val="6"/>
        <rFont val="Times New Roman"/>
        <family val="1"/>
      </rPr>
      <t>AT-04112 + AT-04212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</si>
  <si>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曲线01： 羟基乙腈配料罐温度曲线（</t>
    </r>
    <r>
      <rPr>
        <sz val="6"/>
        <rFont val="Times New Roman"/>
        <family val="1"/>
      </rPr>
      <t>TT-04751</t>
    </r>
    <r>
      <rPr>
        <sz val="6"/>
        <rFont val="宋体"/>
        <family val="1"/>
        <charset val="134"/>
      </rPr>
      <t>）</t>
    </r>
    <phoneticPr fontId="1" type="noConversion"/>
  </si>
  <si>
    <t>曲线03： 液氨汽化器液位曲线（LT-05113）</t>
    <phoneticPr fontId="1" type="noConversion"/>
  </si>
  <si>
    <r>
      <rPr>
        <sz val="6"/>
        <rFont val="宋体"/>
        <family val="1"/>
        <charset val="134"/>
      </rPr>
      <t>曲线04： 液氨汽化器温度曲线（</t>
    </r>
    <r>
      <rPr>
        <sz val="6"/>
        <rFont val="Times New Roman"/>
        <family val="1"/>
      </rPr>
      <t>TT-05151</t>
    </r>
    <r>
      <rPr>
        <sz val="6"/>
        <rFont val="宋体"/>
        <family val="1"/>
        <charset val="134"/>
      </rPr>
      <t>）</t>
    </r>
    <phoneticPr fontId="1" type="noConversion"/>
  </si>
  <si>
    <t>曲线05： 液氨汽化器压力曲线（PT-05115）</t>
    <phoneticPr fontId="1" type="noConversion"/>
  </si>
  <si>
    <r>
      <rPr>
        <sz val="6"/>
        <rFont val="宋体"/>
        <family val="1"/>
        <charset val="134"/>
      </rPr>
      <t>曲线06： 气氨一级加热器温度曲线（</t>
    </r>
    <r>
      <rPr>
        <sz val="6"/>
        <rFont val="Times New Roman"/>
        <family val="1"/>
      </rPr>
      <t>TT-05121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</si>
  <si>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3"/>
        <charset val="134"/>
      </rPr>
      <t>曲线07： 气氨流量曲线（</t>
    </r>
    <r>
      <rPr>
        <sz val="6"/>
        <rFont val="Times New Roman"/>
        <family val="1"/>
      </rPr>
      <t>FT-05141</t>
    </r>
    <r>
      <rPr>
        <sz val="6"/>
        <rFont val="宋体"/>
        <family val="3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</si>
  <si>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曲线08： 气氨二级加热器温度曲线（</t>
    </r>
    <r>
      <rPr>
        <sz val="6"/>
        <rFont val="Times New Roman"/>
        <family val="1"/>
      </rPr>
      <t>TT-05131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</si>
  <si>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曲线09： 气氨配汽后温度曲线（</t>
    </r>
    <r>
      <rPr>
        <sz val="6"/>
        <rFont val="Times New Roman"/>
        <family val="1"/>
      </rPr>
      <t>TT-05143</t>
    </r>
    <r>
      <rPr>
        <sz val="6"/>
        <rFont val="宋体"/>
        <family val="1"/>
        <charset val="134"/>
      </rPr>
      <t>）</t>
    </r>
    <phoneticPr fontId="1" type="noConversion"/>
  </si>
  <si>
    <t>曲线10： 气氨配汽蒸汽流量曲线（FT-05142）</t>
    <phoneticPr fontId="1" type="noConversion"/>
  </si>
  <si>
    <r>
      <rPr>
        <sz val="6"/>
        <rFont val="宋体"/>
        <family val="1"/>
        <charset val="134"/>
      </rPr>
      <t>曲线11： 羟基乙腈温度曲线（</t>
    </r>
    <r>
      <rPr>
        <sz val="6"/>
        <rFont val="Times New Roman"/>
        <family val="1"/>
      </rPr>
      <t>FT-05214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</si>
  <si>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曲线12： 羟基乙腈流量曲线（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</si>
  <si>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曲线13： 气氨/羟基乙腈摩尔比曲线（</t>
    </r>
    <r>
      <rPr>
        <sz val="6"/>
        <rFont val="Times New Roman"/>
        <family val="1"/>
      </rPr>
      <t>AT-05140</t>
    </r>
    <r>
      <rPr>
        <sz val="6"/>
        <rFont val="宋体"/>
        <family val="1"/>
        <charset val="134"/>
      </rPr>
      <t>）</t>
    </r>
    <phoneticPr fontId="1" type="noConversion"/>
  </si>
  <si>
    <t>曲线14： 反应前压力曲线（PT-05311）</t>
    <phoneticPr fontId="1" type="noConversion"/>
  </si>
  <si>
    <t>曲线15：反应前温度曲线（TT-05312）</t>
    <phoneticPr fontId="1" type="noConversion"/>
  </si>
  <si>
    <r>
      <rPr>
        <sz val="6"/>
        <rFont val="宋体"/>
        <family val="1"/>
        <charset val="134"/>
      </rPr>
      <t>曲线16： 反应温度曲线（</t>
    </r>
    <r>
      <rPr>
        <sz val="6"/>
        <rFont val="Times New Roman"/>
        <family val="1"/>
      </rPr>
      <t>TT-05300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</si>
  <si>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曲线17： 反应后压力曲线（</t>
    </r>
    <r>
      <rPr>
        <sz val="6"/>
        <rFont val="Times New Roman"/>
        <family val="1"/>
      </rPr>
      <t>PT-05317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</si>
  <si>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曲线18： 稀硫酸流量曲线（</t>
    </r>
    <r>
      <rPr>
        <sz val="6"/>
        <rFont val="Times New Roman"/>
        <family val="1"/>
      </rPr>
      <t>FT-05411</t>
    </r>
    <r>
      <rPr>
        <sz val="6"/>
        <rFont val="宋体"/>
        <family val="1"/>
        <charset val="134"/>
      </rPr>
      <t>）</t>
    </r>
    <phoneticPr fontId="1" type="noConversion"/>
  </si>
  <si>
    <t>曲线19： 闪发器pH曲线（AT-05411）</t>
    <phoneticPr fontId="1" type="noConversion"/>
  </si>
  <si>
    <t>曲线20： 闪发器温度曲线（TT-05352）</t>
    <phoneticPr fontId="1" type="noConversion"/>
  </si>
  <si>
    <r>
      <rPr>
        <sz val="6"/>
        <rFont val="宋体"/>
        <family val="1"/>
        <charset val="134"/>
      </rPr>
      <t>曲线21： 闪发器真空度曲线（</t>
    </r>
    <r>
      <rPr>
        <sz val="6"/>
        <rFont val="Times New Roman"/>
        <family val="1"/>
      </rPr>
      <t>PT-05325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</si>
  <si>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曲线22： 预冷器</t>
    </r>
    <r>
      <rPr>
        <sz val="6"/>
        <rFont val="Times New Roman"/>
        <family val="1"/>
      </rPr>
      <t>pH</t>
    </r>
    <r>
      <rPr>
        <sz val="6"/>
        <rFont val="宋体"/>
        <family val="1"/>
        <charset val="134"/>
      </rPr>
      <t>曲线（</t>
    </r>
    <r>
      <rPr>
        <sz val="6"/>
        <rFont val="Times New Roman"/>
        <family val="1"/>
      </rPr>
      <t>AT-06111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</si>
  <si>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曲线23： 预冷器温度曲线（</t>
    </r>
    <r>
      <rPr>
        <sz val="6"/>
        <rFont val="Times New Roman"/>
        <family val="1"/>
      </rPr>
      <t>TT-06971</t>
    </r>
    <r>
      <rPr>
        <sz val="6"/>
        <rFont val="宋体"/>
        <family val="1"/>
        <charset val="134"/>
      </rPr>
      <t>）</t>
    </r>
    <phoneticPr fontId="1" type="noConversion"/>
  </si>
  <si>
    <t>曲线24： 一次结晶器温度曲线（TT-06171）</t>
    <phoneticPr fontId="1" type="noConversion"/>
  </si>
  <si>
    <t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</si>
  <si>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>曲线26： 一次结晶外冷器温差曲线（</t>
    </r>
    <r>
      <rPr>
        <sz val="6"/>
        <rFont val="Times New Roman"/>
        <family val="1"/>
      </rPr>
      <t>TT-06171-06126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TT-06171-TT-06136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</si>
  <si>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曲线27： 一次结晶外循环流量曲线（</t>
    </r>
    <r>
      <rPr>
        <sz val="6"/>
        <rFont val="Times New Roman"/>
        <family val="1"/>
      </rPr>
      <t>FT-06122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FT-06132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</si>
  <si>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曲线28： 一次结晶固液比曲线（密度：</t>
    </r>
    <r>
      <rPr>
        <sz val="6"/>
        <rFont val="Times New Roman"/>
        <family val="1"/>
      </rPr>
      <t>FT-06149</t>
    </r>
    <r>
      <rPr>
        <sz val="6"/>
        <rFont val="宋体"/>
        <family val="1"/>
        <charset val="134"/>
      </rPr>
      <t>）</t>
    </r>
    <phoneticPr fontId="1" type="noConversion"/>
  </si>
  <si>
    <t>曲线29： 一次清洗水箱液位曲线（LT-06315）</t>
    <phoneticPr fontId="1" type="noConversion"/>
  </si>
  <si>
    <t>曲线30： 一次清洗水箱温度曲线（TT-06311）</t>
    <phoneticPr fontId="1" type="noConversion"/>
  </si>
  <si>
    <r>
      <rPr>
        <sz val="6"/>
        <rFont val="宋体"/>
        <family val="1"/>
        <charset val="134"/>
      </rPr>
      <t>曲线31： 低蒸结晶器液位曲线（</t>
    </r>
    <r>
      <rPr>
        <sz val="6"/>
        <rFont val="Times New Roman"/>
        <family val="1"/>
      </rPr>
      <t>LT-07171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</si>
  <si>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曲线32： 低蒸结晶器温度曲线（</t>
    </r>
    <r>
      <rPr>
        <sz val="6"/>
        <rFont val="Times New Roman"/>
        <family val="1"/>
      </rPr>
      <t>TT-07152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</si>
  <si>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曲线33： 低蒸结晶器真空度曲线（</t>
    </r>
    <r>
      <rPr>
        <sz val="6"/>
        <rFont val="Times New Roman"/>
        <family val="1"/>
      </rPr>
      <t>PT-07145</t>
    </r>
    <r>
      <rPr>
        <sz val="6"/>
        <rFont val="宋体"/>
        <family val="1"/>
        <charset val="134"/>
      </rPr>
      <t>）</t>
    </r>
    <phoneticPr fontId="1" type="noConversion"/>
  </si>
  <si>
    <t>曲线34： 低蒸结晶器浓度曲线（密度：AT-07137）</t>
    <phoneticPr fontId="1" type="noConversion"/>
  </si>
  <si>
    <t>曲线35： 二次结晶器温度曲线（TT-08171）</t>
    <phoneticPr fontId="1" type="noConversion"/>
  </si>
  <si>
    <r>
      <rPr>
        <sz val="6"/>
        <rFont val="宋体"/>
        <family val="1"/>
        <charset val="134"/>
      </rPr>
      <t>曲线36： 二次结晶器间壁温差曲线（</t>
    </r>
    <r>
      <rPr>
        <sz val="6"/>
        <rFont val="Times New Roman"/>
        <family val="1"/>
      </rPr>
      <t>TT-08171-TT-08125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</si>
  <si>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曲线37： 二次结晶外冷器温差曲线（</t>
    </r>
    <r>
      <rPr>
        <sz val="6"/>
        <rFont val="Times New Roman"/>
        <family val="1"/>
      </rPr>
      <t>TT-08171-TT-08126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</si>
  <si>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曲线38： 二次结晶器外循环流量曲线（</t>
    </r>
    <r>
      <rPr>
        <sz val="6"/>
        <rFont val="Times New Roman"/>
        <family val="1"/>
      </rPr>
      <t>FT-08122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FT-08132</t>
    </r>
    <r>
      <rPr>
        <sz val="6"/>
        <rFont val="宋体"/>
        <family val="1"/>
        <charset val="134"/>
      </rPr>
      <t>）</t>
    </r>
    <phoneticPr fontId="1" type="noConversion"/>
  </si>
  <si>
    <t>曲线39： 二次清洗水箱液位曲线（LT-08315）</t>
    <phoneticPr fontId="1" type="noConversion"/>
  </si>
  <si>
    <t>曲线40： 二次清洗水箱温度曲线（TT-08311）</t>
    <phoneticPr fontId="1" type="noConversion"/>
  </si>
  <si>
    <t>22:00</t>
    <phoneticPr fontId="1" type="noConversion"/>
  </si>
  <si>
    <t>0:00</t>
    <phoneticPr fontId="1" type="noConversion"/>
  </si>
  <si>
    <t>2:00</t>
    <phoneticPr fontId="1" type="noConversion"/>
  </si>
  <si>
    <t>夜班</t>
    <phoneticPr fontId="1" type="noConversion"/>
  </si>
  <si>
    <t>乙班：曹平</t>
    <phoneticPr fontId="1" type="noConversion"/>
  </si>
  <si>
    <t>低蒸进料</t>
    <phoneticPr fontId="1" type="noConversion"/>
  </si>
  <si>
    <t>瞬时流量
FT-07111</t>
    <phoneticPr fontId="1" type="noConversion"/>
  </si>
  <si>
    <t>累计量
FQ-07111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</si>
  <si>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</si>
  <si>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t>kg/t</t>
    <phoneticPr fontId="1" type="noConversion"/>
  </si>
  <si>
    <t>kg</t>
    <phoneticPr fontId="1" type="noConversion"/>
  </si>
  <si>
    <t>g/L</t>
    <phoneticPr fontId="1" type="noConversion"/>
  </si>
  <si>
    <t>%</t>
    <phoneticPr fontId="1" type="noConversion"/>
  </si>
  <si>
    <t>m3</t>
    <phoneticPr fontId="1" type="noConversion"/>
  </si>
  <si>
    <t>Mpa</t>
    <phoneticPr fontId="1" type="noConversion"/>
  </si>
  <si>
    <t>℃</t>
    <phoneticPr fontId="1" type="noConversion"/>
  </si>
  <si>
    <t>水分</t>
    <phoneticPr fontId="1" type="noConversion"/>
  </si>
  <si>
    <t>产量</t>
    <phoneticPr fontId="1" type="noConversion"/>
  </si>
  <si>
    <t>累计量
(m³)</t>
    <phoneticPr fontId="1" type="noConversion"/>
  </si>
  <si>
    <t>(t/h)</t>
    <phoneticPr fontId="1" type="noConversion"/>
  </si>
  <si>
    <t>(t)</t>
    <phoneticPr fontId="1" type="noConversion"/>
  </si>
  <si>
    <t>项目</t>
    <phoneticPr fontId="1" type="noConversion"/>
  </si>
  <si>
    <t>单位</t>
    <phoneticPr fontId="1" type="noConversion"/>
  </si>
  <si>
    <t>中试标准指标</t>
    <phoneticPr fontId="1" type="noConversion"/>
  </si>
  <si>
    <t>实际运行数据</t>
    <phoneticPr fontId="1" type="noConversion"/>
  </si>
  <si>
    <t>评价</t>
    <phoneticPr fontId="1" type="noConversion"/>
  </si>
  <si>
    <t>备注</t>
    <phoneticPr fontId="1" type="noConversion"/>
  </si>
  <si>
    <t>一、产品</t>
    <phoneticPr fontId="1" type="noConversion"/>
  </si>
  <si>
    <t>收率</t>
    <phoneticPr fontId="1" type="noConversion"/>
  </si>
  <si>
    <t>二、原料消耗</t>
    <phoneticPr fontId="1" type="noConversion"/>
  </si>
  <si>
    <t>羟基消耗</t>
  </si>
  <si>
    <t>≤1427</t>
    <phoneticPr fontId="1" type="noConversion"/>
  </si>
  <si>
    <t>氨消耗</t>
    <phoneticPr fontId="1" type="noConversion"/>
  </si>
  <si>
    <t>215±5</t>
  </si>
  <si>
    <t>硫酸消耗</t>
    <phoneticPr fontId="1" type="noConversion"/>
  </si>
  <si>
    <t>200±10</t>
  </si>
  <si>
    <t>三、工艺指标</t>
    <phoneticPr fontId="1" type="noConversion"/>
  </si>
  <si>
    <t>配料单元</t>
    <phoneticPr fontId="1" type="noConversion"/>
  </si>
  <si>
    <t xml:space="preserve">羟基浓度 </t>
    <phoneticPr fontId="1" type="noConversion"/>
  </si>
  <si>
    <t>g/l</t>
    <phoneticPr fontId="1" type="noConversion"/>
  </si>
  <si>
    <t>417±5</t>
  </si>
  <si>
    <t>反应单元</t>
    <phoneticPr fontId="1" type="noConversion"/>
  </si>
  <si>
    <t>氨腈摩尔比</t>
    <phoneticPr fontId="1" type="noConversion"/>
  </si>
  <si>
    <t>(0.530±0.005):1</t>
  </si>
  <si>
    <t>反应时间</t>
    <phoneticPr fontId="1" type="noConversion"/>
  </si>
  <si>
    <t>s</t>
    <phoneticPr fontId="1" type="noConversion"/>
  </si>
  <si>
    <t>合格</t>
    <phoneticPr fontId="1" type="noConversion"/>
  </si>
  <si>
    <t>反应压力</t>
    <phoneticPr fontId="1" type="noConversion"/>
  </si>
  <si>
    <t>0.75±0.05</t>
  </si>
  <si>
    <t>羟基加热温度</t>
    <phoneticPr fontId="1" type="noConversion"/>
  </si>
  <si>
    <t>90±2</t>
  </si>
  <si>
    <t>氨汽混合温度</t>
  </si>
  <si>
    <t>145±2</t>
  </si>
  <si>
    <t>管反热点温度</t>
  </si>
  <si>
    <t>168±2</t>
  </si>
  <si>
    <t>结晶单元</t>
    <phoneticPr fontId="1" type="noConversion"/>
  </si>
  <si>
    <t>预冷器结晶温度</t>
  </si>
  <si>
    <t>≤45</t>
    <phoneticPr fontId="1" type="noConversion"/>
  </si>
  <si>
    <t>一次结晶温度</t>
  </si>
  <si>
    <t>≤20</t>
    <phoneticPr fontId="1" type="noConversion"/>
  </si>
  <si>
    <t>降膜蒸发温度</t>
  </si>
  <si>
    <t>48±2</t>
  </si>
  <si>
    <t>二次结晶温度</t>
  </si>
  <si>
    <t>≤20</t>
  </si>
  <si>
    <t>反应液组成</t>
    <phoneticPr fontId="1" type="noConversion"/>
  </si>
  <si>
    <t>--</t>
    <phoneticPr fontId="1" type="noConversion"/>
  </si>
  <si>
    <t>pH值</t>
    <phoneticPr fontId="1" type="noConversion"/>
  </si>
  <si>
    <t>四、废液</t>
    <phoneticPr fontId="1" type="noConversion"/>
  </si>
  <si>
    <t>废液排放</t>
    <phoneticPr fontId="1" type="noConversion"/>
  </si>
  <si>
    <t>单位产品排放量</t>
    <phoneticPr fontId="1" type="noConversion"/>
  </si>
  <si>
    <t>m³/t</t>
    <phoneticPr fontId="1" type="noConversion"/>
  </si>
  <si>
    <t>≤0.38</t>
  </si>
  <si>
    <t>废液组成</t>
    <phoneticPr fontId="1" type="noConversion"/>
  </si>
  <si>
    <t>硫铵</t>
    <phoneticPr fontId="1" type="noConversion"/>
  </si>
  <si>
    <t>二乙腈</t>
    <phoneticPr fontId="1" type="noConversion"/>
  </si>
  <si>
    <t>其它</t>
    <phoneticPr fontId="1" type="noConversion"/>
  </si>
  <si>
    <t>%</t>
  </si>
  <si>
    <t>五、其他</t>
    <phoneticPr fontId="1" type="noConversion"/>
  </si>
  <si>
    <t>二乙睛中试车间日报</t>
    <phoneticPr fontId="1" type="noConversion"/>
  </si>
  <si>
    <t>产量台账</t>
    <phoneticPr fontId="1" type="noConversion"/>
  </si>
  <si>
    <t>日期</t>
    <phoneticPr fontId="1" type="noConversion"/>
  </si>
  <si>
    <t>含量</t>
    <phoneticPr fontId="1" type="noConversion"/>
  </si>
  <si>
    <t>累计</t>
    <phoneticPr fontId="1" type="noConversion"/>
  </si>
  <si>
    <t>折百产量(Kg)</t>
    <phoneticPr fontId="1" type="noConversion"/>
  </si>
  <si>
    <t>折百累计</t>
    <phoneticPr fontId="1" type="noConversion"/>
  </si>
  <si>
    <t>折百总累计</t>
    <phoneticPr fontId="1" type="noConversion"/>
  </si>
  <si>
    <t>羟基用量</t>
    <phoneticPr fontId="1" type="noConversion"/>
  </si>
  <si>
    <t>羟基含量</t>
    <phoneticPr fontId="1" type="noConversion"/>
  </si>
  <si>
    <t>羟基折百</t>
    <phoneticPr fontId="1" type="noConversion"/>
  </si>
  <si>
    <t>羟基累计(t)</t>
    <phoneticPr fontId="1" type="noConversion"/>
  </si>
  <si>
    <t>收率(%)班</t>
    <phoneticPr fontId="1" type="noConversion"/>
  </si>
  <si>
    <t>分类</t>
    <phoneticPr fontId="1" type="noConversion"/>
  </si>
  <si>
    <t>总收率天%</t>
    <phoneticPr fontId="1" type="noConversion"/>
  </si>
  <si>
    <t>%(化分)</t>
    <phoneticPr fontId="1" type="noConversion"/>
  </si>
  <si>
    <t>%(色谱)</t>
    <phoneticPr fontId="1" type="noConversion"/>
  </si>
  <si>
    <t>Kg</t>
    <phoneticPr fontId="1" type="noConversion"/>
  </si>
  <si>
    <t>星期一</t>
    <phoneticPr fontId="1" type="noConversion"/>
  </si>
  <si>
    <t>一次结晶</t>
    <phoneticPr fontId="24" type="noConversion"/>
  </si>
  <si>
    <t>二次结晶</t>
    <phoneticPr fontId="24" type="noConversion"/>
  </si>
  <si>
    <t>总产量</t>
    <phoneticPr fontId="1" type="noConversion"/>
  </si>
  <si>
    <t>总折百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</si>
</sst>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_);[Red]\(0.000\)"/>
    <numFmt numFmtId="177" formatCode="0.000_ "/>
    <numFmt numFmtId="178" formatCode="0.00_ "/>
    <numFmt numFmtId="179" formatCode="0.00_);[Red]\(0.00\)"/>
    <numFmt numFmtId="180" formatCode="0.0_ "/>
  </numFmts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0"/>
      <name val="仿宋"/>
      <family val="3"/>
      <charset val="134"/>
    </font>
    <font>
      <sz val="9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9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1">
    <xf numFmtId="0" fontId="0" fillId="0" borderId="0"/>
  </cellStyleXfs>
  <cellXfs count="253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2" fontId="3" fillId="0" borderId="47" xfId="0" applyNumberFormat="1" applyFont="1" applyBorder="1" applyAlignment="1">
      <alignment horizontal="center" vertical="center" wrapText="1"/>
    </xf>
    <xf numFmtId="2" fontId="5" fillId="0" borderId="47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7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7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4" xfId="0" applyNumberFormat="1" applyFont="1" applyBorder="1" applyAlignment="1">
      <alignment horizontal="center" vertical="center" wrapText="1"/>
    </xf>
    <xf numFmtId="0" fontId="3" fillId="0" borderId="37" xfId="0" applyFont="1" applyBorder="1" applyAlignment="1">
      <alignment vertical="center" wrapText="1"/>
    </xf>
    <xf numFmtId="0" fontId="3" fillId="0" borderId="43" xfId="0" applyFont="1" applyBorder="1" applyAlignment="1">
      <alignment vertical="center" wrapText="1"/>
    </xf>
    <xf numFmtId="176" fontId="4" fillId="0" borderId="4" xfId="0" applyNumberFormat="1" applyFont="1" applyBorder="1" applyAlignment="1">
      <alignment horizontal="center" vertical="center" wrapText="1"/>
    </xf>
    <xf numFmtId="176" fontId="4" fillId="2" borderId="4" xfId="0" applyNumberFormat="1" applyFont="1" applyFill="1" applyBorder="1" applyAlignment="1">
      <alignment horizontal="center" vertical="center" wrapText="1"/>
    </xf>
    <xf numFmtId="176" fontId="4" fillId="0" borderId="47" xfId="0" applyNumberFormat="1" applyFont="1" applyBorder="1" applyAlignment="1">
      <alignment horizontal="center" vertical="center" wrapText="1"/>
    </xf>
    <xf numFmtId="176" fontId="4" fillId="0" borderId="5" xfId="0" applyNumberFormat="1" applyFont="1" applyBorder="1" applyAlignment="1">
      <alignment horizontal="center" vertical="center" wrapText="1"/>
    </xf>
    <xf numFmtId="176" fontId="4" fillId="2" borderId="12" xfId="0" applyNumberFormat="1" applyFont="1" applyFill="1" applyBorder="1" applyAlignment="1">
      <alignment horizontal="center" vertical="center" wrapText="1"/>
    </xf>
    <xf numFmtId="176" fontId="17" fillId="0" borderId="4" xfId="0" applyNumberFormat="1" applyFont="1" applyBorder="1" applyAlignment="1">
      <alignment horizontal="center" vertical="center" wrapText="1"/>
    </xf>
    <xf numFmtId="176" fontId="18" fillId="0" borderId="4" xfId="0" applyNumberFormat="1" applyFont="1" applyBorder="1" applyAlignment="1">
      <alignment horizontal="center" vertical="center" wrapText="1"/>
    </xf>
    <xf numFmtId="176" fontId="18" fillId="0" borderId="47" xfId="0" applyNumberFormat="1" applyFont="1" applyBorder="1" applyAlignment="1">
      <alignment horizontal="center" vertical="center" wrapText="1"/>
    </xf>
    <xf numFmtId="176" fontId="18" fillId="0" borderId="51" xfId="0" applyNumberFormat="1" applyFont="1" applyBorder="1" applyAlignment="1">
      <alignment horizontal="center" vertical="center" wrapText="1"/>
    </xf>
    <xf numFmtId="177" fontId="17" fillId="0" borderId="4" xfId="0" applyNumberFormat="1" applyFont="1" applyBorder="1" applyAlignment="1">
      <alignment horizontal="center" vertical="center" wrapText="1"/>
    </xf>
    <xf numFmtId="177" fontId="17" fillId="0" borderId="47" xfId="0" applyNumberFormat="1" applyFont="1" applyBorder="1" applyAlignment="1">
      <alignment horizontal="center" vertical="center" wrapText="1"/>
    </xf>
    <xf numFmtId="177" fontId="17" fillId="0" borderId="51" xfId="0" applyNumberFormat="1" applyFont="1" applyBorder="1" applyAlignment="1">
      <alignment horizontal="center" vertical="center" wrapText="1"/>
    </xf>
    <xf numFmtId="177" fontId="17" fillId="2" borderId="4" xfId="0" applyNumberFormat="1" applyFont="1" applyFill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4" fillId="0" borderId="47" xfId="0" applyNumberFormat="1" applyFont="1" applyBorder="1" applyAlignment="1">
      <alignment horizontal="center" vertical="center" wrapText="1"/>
    </xf>
    <xf numFmtId="177" fontId="4" fillId="0" borderId="41" xfId="0" applyNumberFormat="1" applyFont="1" applyBorder="1" applyAlignment="1">
      <alignment horizontal="center" vertical="center" wrapText="1"/>
    </xf>
    <xf numFmtId="177" fontId="4" fillId="0" borderId="11" xfId="0" applyNumberFormat="1" applyFont="1" applyBorder="1" applyAlignment="1">
      <alignment horizontal="center" vertical="center" wrapText="1"/>
    </xf>
    <xf numFmtId="177" fontId="4" fillId="0" borderId="5" xfId="0" applyNumberFormat="1" applyFont="1" applyBorder="1" applyAlignment="1">
      <alignment horizontal="center" vertical="center" wrapText="1"/>
    </xf>
    <xf numFmtId="177" fontId="17" fillId="0" borderId="30" xfId="0" applyNumberFormat="1" applyFont="1" applyBorder="1" applyAlignment="1">
      <alignment horizontal="center" vertical="center" wrapText="1"/>
    </xf>
    <xf numFmtId="177" fontId="17" fillId="0" borderId="48" xfId="0" applyNumberFormat="1" applyFont="1" applyBorder="1" applyAlignment="1">
      <alignment horizontal="center" vertical="center" wrapText="1"/>
    </xf>
    <xf numFmtId="177" fontId="17" fillId="0" borderId="52" xfId="0" applyNumberFormat="1" applyFont="1" applyBorder="1" applyAlignment="1">
      <alignment horizontal="center" vertical="center" wrapText="1"/>
    </xf>
    <xf numFmtId="177" fontId="17" fillId="2" borderId="30" xfId="0" applyNumberFormat="1" applyFont="1" applyFill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48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17" fillId="0" borderId="12" xfId="0" applyNumberFormat="1" applyFont="1" applyBorder="1" applyAlignment="1">
      <alignment horizontal="center" vertical="center" wrapText="1"/>
    </xf>
    <xf numFmtId="177" fontId="18" fillId="0" borderId="4" xfId="0" applyNumberFormat="1" applyFont="1" applyBorder="1" applyAlignment="1">
      <alignment horizontal="center" vertical="center" wrapText="1"/>
    </xf>
    <xf numFmtId="177" fontId="4" fillId="2" borderId="4" xfId="0" applyNumberFormat="1" applyFont="1" applyFill="1" applyBorder="1" applyAlignment="1">
      <alignment horizontal="center" vertical="center" wrapText="1"/>
    </xf>
    <xf numFmtId="177" fontId="17" fillId="0" borderId="45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177" fontId="4" fillId="2" borderId="30" xfId="0" applyNumberFormat="1" applyFont="1" applyFill="1" applyBorder="1" applyAlignment="1">
      <alignment horizontal="center" vertical="center" wrapText="1"/>
    </xf>
    <xf numFmtId="177" fontId="4" fillId="0" borderId="57" xfId="0" applyNumberFormat="1" applyFont="1" applyBorder="1" applyAlignment="1">
      <alignment horizontal="center" vertical="center" wrapText="1"/>
    </xf>
    <xf numFmtId="177" fontId="4" fillId="0" borderId="39" xfId="0" applyNumberFormat="1" applyFont="1" applyBorder="1" applyAlignment="1">
      <alignment horizontal="center" vertical="center" wrapText="1"/>
    </xf>
    <xf numFmtId="177" fontId="4" fillId="0" borderId="31" xfId="0" applyNumberFormat="1" applyFont="1" applyBorder="1" applyAlignment="1">
      <alignment horizontal="center" vertical="center" wrapText="1"/>
    </xf>
    <xf numFmtId="177" fontId="18" fillId="0" borderId="47" xfId="0" applyNumberFormat="1" applyFont="1" applyBorder="1" applyAlignment="1">
      <alignment horizontal="center" vertical="center" wrapText="1"/>
    </xf>
    <xf numFmtId="177" fontId="18" fillId="0" borderId="51" xfId="0" applyNumberFormat="1" applyFont="1" applyBorder="1" applyAlignment="1">
      <alignment horizontal="center" vertical="center" wrapText="1"/>
    </xf>
    <xf numFmtId="177" fontId="4" fillId="2" borderId="12" xfId="0" applyNumberFormat="1" applyFont="1" applyFill="1" applyBorder="1" applyAlignment="1">
      <alignment horizontal="center" vertical="center" wrapText="1"/>
    </xf>
    <xf numFmtId="177" fontId="18" fillId="0" borderId="48" xfId="0" applyNumberFormat="1" applyFont="1" applyBorder="1" applyAlignment="1">
      <alignment horizontal="center" vertical="center" wrapText="1"/>
    </xf>
    <xf numFmtId="177" fontId="18" fillId="0" borderId="52" xfId="0" applyNumberFormat="1" applyFont="1" applyBorder="1" applyAlignment="1">
      <alignment horizontal="center" vertical="center" wrapText="1"/>
    </xf>
    <xf numFmtId="177" fontId="4" fillId="2" borderId="45" xfId="0" applyNumberFormat="1" applyFont="1" applyFill="1" applyBorder="1" applyAlignment="1">
      <alignment horizontal="center" vertical="center" wrapText="1"/>
    </xf>
    <xf numFmtId="0" fontId="20" fillId="3" borderId="61" xfId="0" applyFont="1" applyFill="1" applyBorder="1" applyAlignment="1">
      <alignment vertical="center"/>
    </xf>
    <xf numFmtId="0" fontId="20" fillId="3" borderId="62" xfId="0" applyFont="1" applyFill="1" applyBorder="1" applyAlignment="1">
      <alignment vertical="center"/>
    </xf>
    <xf numFmtId="0" fontId="20" fillId="3" borderId="62" xfId="0" applyFont="1" applyFill="1" applyBorder="1" applyAlignment="1">
      <alignment horizontal="right" vertical="center"/>
    </xf>
    <xf numFmtId="0" fontId="19" fillId="0" borderId="75" xfId="0" applyFont="1" applyBorder="1" applyAlignment="1">
      <alignment horizontal="center" vertical="center"/>
    </xf>
    <xf numFmtId="0" fontId="19" fillId="0" borderId="76" xfId="0" applyFont="1" applyBorder="1" applyAlignment="1">
      <alignment horizontal="center" vertical="center"/>
    </xf>
    <xf numFmtId="0" fontId="21" fillId="0" borderId="77" xfId="0" applyFont="1" applyBorder="1" applyAlignment="1">
      <alignment horizontal="left" vertical="center"/>
    </xf>
    <xf numFmtId="0" fontId="21" fillId="0" borderId="75" xfId="0" applyFont="1" applyBorder="1" applyAlignment="1">
      <alignment horizontal="center" vertical="center"/>
    </xf>
    <xf numFmtId="177" fontId="22" fillId="0" borderId="75" xfId="0" applyNumberFormat="1" applyFont="1" applyBorder="1" applyAlignment="1">
      <alignment horizontal="center" vertical="center"/>
    </xf>
    <xf numFmtId="177" fontId="16" fillId="0" borderId="75" xfId="0" applyNumberFormat="1" applyFont="1" applyBorder="1" applyAlignment="1">
      <alignment horizontal="center" vertical="center"/>
    </xf>
    <xf numFmtId="178" fontId="22" fillId="0" borderId="75" xfId="0" applyNumberFormat="1" applyFont="1" applyBorder="1" applyAlignment="1">
      <alignment horizontal="center" vertical="center"/>
    </xf>
    <xf numFmtId="178" fontId="22" fillId="0" borderId="72" xfId="0" applyNumberFormat="1" applyFont="1" applyBorder="1" applyAlignment="1">
      <alignment horizontal="center" vertical="center"/>
    </xf>
    <xf numFmtId="0" fontId="22" fillId="0" borderId="76" xfId="0" applyFont="1" applyBorder="1" applyAlignment="1">
      <alignment horizontal="center" vertical="center"/>
    </xf>
    <xf numFmtId="0" fontId="22" fillId="0" borderId="75" xfId="0" applyFont="1" applyBorder="1" applyAlignment="1">
      <alignment horizontal="center" vertical="center"/>
    </xf>
    <xf numFmtId="0" fontId="21" fillId="0" borderId="75" xfId="0" quotePrefix="1" applyFont="1" applyBorder="1" applyAlignment="1">
      <alignment horizontal="center" vertical="center"/>
    </xf>
    <xf numFmtId="177" fontId="21" fillId="0" borderId="75" xfId="0" quotePrefix="1" applyNumberFormat="1" applyFont="1" applyBorder="1" applyAlignment="1">
      <alignment horizontal="center" vertical="center"/>
    </xf>
    <xf numFmtId="0" fontId="22" fillId="0" borderId="75" xfId="0" quotePrefix="1" applyFont="1" applyBorder="1" applyAlignment="1">
      <alignment horizontal="center" vertical="center"/>
    </xf>
    <xf numFmtId="0" fontId="21" fillId="0" borderId="81" xfId="0" applyFont="1" applyBorder="1" applyAlignment="1">
      <alignment horizontal="center" vertical="center"/>
    </xf>
    <xf numFmtId="177" fontId="22" fillId="0" borderId="81" xfId="0" applyNumberFormat="1" applyFont="1" applyBorder="1" applyAlignment="1">
      <alignment horizontal="center" vertical="center"/>
    </xf>
    <xf numFmtId="177" fontId="16" fillId="0" borderId="81" xfId="0" applyNumberFormat="1" applyFont="1" applyBorder="1" applyAlignment="1">
      <alignment horizontal="center" vertical="center"/>
    </xf>
    <xf numFmtId="0" fontId="22" fillId="0" borderId="82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4" borderId="75" xfId="0" applyFont="1" applyFill="1" applyBorder="1" applyAlignment="1">
      <alignment horizontal="center" vertical="center"/>
    </xf>
    <xf numFmtId="0" fontId="21" fillId="0" borderId="75" xfId="0" applyFont="1" applyBorder="1" applyAlignment="1">
      <alignment horizontal="center" vertical="center" wrapText="1"/>
    </xf>
    <xf numFmtId="179" fontId="21" fillId="5" borderId="75" xfId="0" applyNumberFormat="1" applyFont="1" applyFill="1" applyBorder="1" applyAlignment="1">
      <alignment vertical="center"/>
    </xf>
    <xf numFmtId="178" fontId="21" fillId="5" borderId="75" xfId="0" applyNumberFormat="1" applyFont="1" applyFill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2" fontId="5" fillId="0" borderId="50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9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3" fillId="0" borderId="37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3" fillId="0" borderId="54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0" fontId="5" fillId="0" borderId="67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20" fontId="5" fillId="0" borderId="6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60" xfId="0" applyNumberFormat="1" applyFont="1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0" fontId="5" fillId="0" borderId="4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21" fillId="0" borderId="75" xfId="0" applyFont="1" applyBorder="1" applyAlignment="1">
      <alignment horizontal="center" vertical="center"/>
    </xf>
    <xf numFmtId="0" fontId="21" fillId="0" borderId="78" xfId="0" applyFont="1" applyBorder="1" applyAlignment="1">
      <alignment horizontal="center" vertical="center"/>
    </xf>
    <xf numFmtId="0" fontId="21" fillId="0" borderId="79" xfId="0" applyFont="1" applyBorder="1" applyAlignment="1">
      <alignment horizontal="center" vertical="center"/>
    </xf>
    <xf numFmtId="0" fontId="21" fillId="0" borderId="80" xfId="0" applyFont="1" applyBorder="1" applyAlignment="1">
      <alignment horizontal="center" vertical="center"/>
    </xf>
    <xf numFmtId="0" fontId="19" fillId="3" borderId="71" xfId="0" applyFont="1" applyFill="1" applyBorder="1" applyAlignment="1">
      <alignment horizontal="center" vertical="center"/>
    </xf>
    <xf numFmtId="0" fontId="19" fillId="3" borderId="70" xfId="0" applyFont="1" applyFill="1" applyBorder="1" applyAlignment="1">
      <alignment horizontal="center" vertical="center"/>
    </xf>
    <xf numFmtId="0" fontId="19" fillId="3" borderId="69" xfId="0" applyFont="1" applyFill="1" applyBorder="1" applyAlignment="1">
      <alignment horizontal="center" vertical="center"/>
    </xf>
    <xf numFmtId="0" fontId="20" fillId="3" borderId="62" xfId="0" applyFont="1" applyFill="1" applyBorder="1" applyAlignment="1">
      <alignment horizontal="center" vertical="center"/>
    </xf>
    <xf numFmtId="0" fontId="20" fillId="3" borderId="65" xfId="0" applyFont="1" applyFill="1" applyBorder="1" applyAlignment="1">
      <alignment horizontal="center" vertical="center"/>
    </xf>
    <xf numFmtId="0" fontId="19" fillId="0" borderId="74" xfId="0" applyFont="1" applyBorder="1" applyAlignment="1">
      <alignment horizontal="center" vertical="center"/>
    </xf>
    <xf numFmtId="0" fontId="19" fillId="0" borderId="68" xfId="0" applyFont="1" applyBorder="1" applyAlignment="1">
      <alignment horizontal="center" vertical="center"/>
    </xf>
    <xf numFmtId="0" fontId="19" fillId="0" borderId="73" xfId="0" applyFont="1" applyBorder="1" applyAlignment="1">
      <alignment horizontal="center" vertical="center"/>
    </xf>
    <xf numFmtId="0" fontId="19" fillId="0" borderId="72" xfId="0" applyFont="1" applyBorder="1" applyAlignment="1">
      <alignment horizontal="center" vertical="center"/>
    </xf>
    <xf numFmtId="0" fontId="21" fillId="0" borderId="77" xfId="0" applyFont="1" applyBorder="1" applyAlignment="1">
      <alignment horizontal="center" vertical="center"/>
    </xf>
    <xf numFmtId="0" fontId="21" fillId="0" borderId="81" xfId="0" applyFont="1" applyBorder="1" applyAlignment="1">
      <alignment horizontal="center" vertical="center"/>
    </xf>
    <xf numFmtId="0" fontId="21" fillId="0" borderId="83" xfId="0" applyFont="1" applyBorder="1" applyAlignment="1">
      <alignment horizontal="center" vertical="center"/>
    </xf>
    <xf numFmtId="0" fontId="21" fillId="0" borderId="87" xfId="0" applyFont="1" applyBorder="1" applyAlignment="1">
      <alignment horizontal="center" vertical="center"/>
    </xf>
    <xf numFmtId="0" fontId="21" fillId="0" borderId="90" xfId="0" applyFont="1" applyBorder="1" applyAlignment="1">
      <alignment horizontal="center" vertical="center"/>
    </xf>
    <xf numFmtId="0" fontId="21" fillId="0" borderId="84" xfId="0" applyFont="1" applyBorder="1" applyAlignment="1">
      <alignment horizontal="center" vertical="center"/>
    </xf>
    <xf numFmtId="0" fontId="21" fillId="0" borderId="85" xfId="0" applyFont="1" applyBorder="1" applyAlignment="1">
      <alignment horizontal="center" vertical="center"/>
    </xf>
    <xf numFmtId="0" fontId="21" fillId="0" borderId="86" xfId="0" applyFont="1" applyBorder="1" applyAlignment="1">
      <alignment horizontal="center" vertical="center"/>
    </xf>
    <xf numFmtId="0" fontId="21" fillId="0" borderId="88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89" xfId="0" applyFont="1" applyBorder="1" applyAlignment="1">
      <alignment horizontal="center" vertical="center"/>
    </xf>
    <xf numFmtId="0" fontId="21" fillId="0" borderId="91" xfId="0" applyFont="1" applyBorder="1" applyAlignment="1">
      <alignment horizontal="center" vertical="center"/>
    </xf>
    <xf numFmtId="0" fontId="21" fillId="0" borderId="92" xfId="0" applyFont="1" applyBorder="1" applyAlignment="1">
      <alignment horizontal="center" vertical="center"/>
    </xf>
    <xf numFmtId="0" fontId="21" fillId="0" borderId="93" xfId="0" applyFont="1" applyBorder="1" applyAlignment="1">
      <alignment horizontal="center" vertical="center"/>
    </xf>
    <xf numFmtId="0" fontId="23" fillId="0" borderId="72" xfId="0" applyFont="1" applyBorder="1" applyAlignment="1">
      <alignment horizontal="center" vertical="center"/>
    </xf>
    <xf numFmtId="0" fontId="23" fillId="0" borderId="68" xfId="0" applyFont="1" applyBorder="1" applyAlignment="1">
      <alignment horizontal="center" vertical="center"/>
    </xf>
    <xf numFmtId="0" fontId="23" fillId="0" borderId="73" xfId="0" applyFont="1" applyBorder="1" applyAlignment="1">
      <alignment horizontal="center" vertical="center"/>
    </xf>
    <xf numFmtId="0" fontId="21" fillId="0" borderId="72" xfId="0" applyFont="1" applyBorder="1" applyAlignment="1">
      <alignment horizontal="center" vertical="center"/>
    </xf>
    <xf numFmtId="0" fontId="21" fillId="0" borderId="68" xfId="0" applyFont="1" applyBorder="1" applyAlignment="1">
      <alignment horizontal="center" vertical="center"/>
    </xf>
    <xf numFmtId="0" fontId="21" fillId="0" borderId="73" xfId="0" applyFont="1" applyBorder="1" applyAlignment="1">
      <alignment horizontal="center" vertical="center"/>
    </xf>
    <xf numFmtId="0" fontId="21" fillId="5" borderId="75" xfId="0" applyFont="1" applyFill="1" applyBorder="1" applyAlignment="1">
      <alignment horizontal="center" vertical="center"/>
    </xf>
    <xf numFmtId="180" fontId="21" fillId="5" borderId="75" xfId="0" applyNumberFormat="1" applyFont="1" applyFill="1" applyBorder="1" applyAlignment="1">
      <alignment horizontal="center" vertical="center"/>
    </xf>
    <xf numFmtId="178" fontId="21" fillId="5" borderId="75" xfId="0" applyNumberFormat="1" applyFont="1" applyFill="1" applyBorder="1" applyAlignment="1">
      <alignment horizontal="center" vertical="center"/>
    </xf>
    <xf numFmtId="0" fontId="21" fillId="5" borderId="75" xfId="0" applyFont="1" applyFill="1" applyBorder="1" applyAlignment="1">
      <alignment horizontal="center" vertical="center"/>
    </xf>
  </cellXfs>
  <cellStyles count="1">
    <cellStyle name="常规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oping\Documents\xwechat_files\wxid_2926589266112_ac06\msg\file\2026-05\&#20135;&#37327;&#21488;&#36134;2025.12-2026.12%20(2).xlsx" TargetMode="External"/><Relationship Id="rId1" Type="http://schemas.openxmlformats.org/officeDocument/2006/relationships/externalLinkPath" Target="/Users/caoping/Documents/xwechat_files/wxid_2926589266112_ac06/msg/file/2026-05/&#20135;&#37327;&#21488;&#36134;2025.12-2026.12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5.12月 "/>
      <sheetName val="Chart1"/>
      <sheetName val="一月"/>
      <sheetName val="二月"/>
      <sheetName val="三月 "/>
      <sheetName val="四月 "/>
      <sheetName val="五月 "/>
      <sheetName val="6月 "/>
      <sheetName val="7月 "/>
      <sheetName val="8月 "/>
      <sheetName val="9月"/>
      <sheetName val="10月 "/>
      <sheetName val="11月 "/>
      <sheetName val="2026.12月 "/>
      <sheetName val="Sheet12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U541"/>
  <sheetViews>
    <sheetView zoomScaleNormal="100" workbookViewId="0">
      <selection activeCell="B2" sqref="B2:AR2"/>
    </sheetView>
  </sheetViews>
  <sheetFormatPr defaultRowHeight="8" x14ac:dyDescent="0.25"/>
  <cols>
    <col min="1" max="1" width="0.453125" style="6" customWidth="1"/>
    <col min="2" max="2" width="3.453125" style="6" bestFit="1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  <col min="16170" max="16384" width="9" style="6"/>
  </cols>
  <sheetData>
    <row r="1" spans="2:47" ht="5.15" customHeight="1" x14ac:dyDescent="0.25"/>
    <row r="2" spans="2:47" ht="17.5" customHeight="1" thickBot="1" x14ac:dyDescent="0.3">
      <c r="B2" s="150" t="s">
        <v>227</v>
      </c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151"/>
      <c r="AE2" s="151"/>
      <c r="AF2" s="151"/>
      <c r="AG2" s="151"/>
      <c r="AH2" s="151"/>
      <c r="AI2" s="151"/>
      <c r="AJ2" s="151"/>
      <c r="AK2" s="151"/>
      <c r="AL2" s="151"/>
      <c r="AM2" s="151"/>
      <c r="AN2" s="151"/>
      <c r="AO2" s="151"/>
      <c r="AP2" s="151"/>
      <c r="AQ2" s="151"/>
      <c r="AR2" s="151"/>
    </row>
    <row r="3" spans="2:47" ht="20.149999999999999" customHeight="1" x14ac:dyDescent="0.25">
      <c r="B3" s="152" t="s">
        <v>181</v>
      </c>
      <c r="C3" s="110" t="s">
        <v>163</v>
      </c>
      <c r="D3" s="160"/>
      <c r="E3" s="160"/>
      <c r="F3" s="160"/>
      <c r="G3" s="160"/>
      <c r="H3" s="161"/>
      <c r="I3" s="164" t="s">
        <v>8</v>
      </c>
      <c r="J3" s="160"/>
      <c r="K3" s="160"/>
      <c r="L3" s="160"/>
      <c r="M3" s="160"/>
      <c r="N3" s="160"/>
      <c r="O3" s="160"/>
      <c r="P3" s="165"/>
      <c r="Q3" s="110" t="s">
        <v>77</v>
      </c>
      <c r="R3" s="160"/>
      <c r="S3" s="165"/>
      <c r="T3" s="110" t="s">
        <v>10</v>
      </c>
      <c r="U3" s="160"/>
      <c r="V3" s="160"/>
      <c r="W3" s="165"/>
      <c r="X3" s="110" t="s">
        <v>80</v>
      </c>
      <c r="Y3" s="111"/>
      <c r="Z3" s="110" t="s">
        <v>11</v>
      </c>
      <c r="AA3" s="111"/>
      <c r="AB3" s="13" t="s">
        <v>13</v>
      </c>
      <c r="AC3" s="110" t="s">
        <v>14</v>
      </c>
      <c r="AD3" s="111"/>
      <c r="AE3" s="114" t="s">
        <v>88</v>
      </c>
      <c r="AF3" s="115"/>
      <c r="AG3" s="115"/>
      <c r="AH3" s="115"/>
      <c r="AI3" s="115"/>
      <c r="AJ3" s="115"/>
      <c r="AK3" s="116"/>
      <c r="AL3" s="110" t="s">
        <v>18</v>
      </c>
      <c r="AM3" s="156"/>
      <c r="AN3" s="157"/>
      <c r="AO3" s="156" t="s">
        <v>16</v>
      </c>
      <c r="AP3" s="156"/>
      <c r="AQ3" s="156"/>
      <c r="AR3" s="159"/>
    </row>
    <row r="4" spans="2:47" ht="30" customHeight="1" x14ac:dyDescent="0.25">
      <c r="B4" s="153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62" t="s">
        <v>62</v>
      </c>
      <c r="J4" s="163"/>
      <c r="K4" s="3" t="s">
        <v>6</v>
      </c>
      <c r="L4" s="3" t="s">
        <v>66</v>
      </c>
      <c r="M4" s="3" t="s">
        <v>164</v>
      </c>
      <c r="N4" s="3" t="s">
        <v>165</v>
      </c>
      <c r="O4" s="117" t="s">
        <v>7</v>
      </c>
      <c r="P4" s="118"/>
      <c r="Q4" s="155" t="s">
        <v>71</v>
      </c>
      <c r="R4" s="118"/>
      <c r="S4" s="3" t="s">
        <v>51</v>
      </c>
      <c r="T4" s="3" t="s">
        <v>75</v>
      </c>
      <c r="U4" s="155" t="s">
        <v>78</v>
      </c>
      <c r="V4" s="118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12" t="s">
        <v>89</v>
      </c>
      <c r="AF4" s="113"/>
      <c r="AG4" s="112" t="s">
        <v>92</v>
      </c>
      <c r="AH4" s="113"/>
      <c r="AI4" s="10" t="s">
        <v>166</v>
      </c>
      <c r="AJ4" s="10" t="s">
        <v>167</v>
      </c>
      <c r="AK4" s="11" t="s">
        <v>115</v>
      </c>
      <c r="AL4" s="155" t="s">
        <v>110</v>
      </c>
      <c r="AM4" s="118"/>
      <c r="AN4" s="29" t="s">
        <v>111</v>
      </c>
      <c r="AO4" s="26" t="s">
        <v>12</v>
      </c>
      <c r="AP4" s="3" t="s">
        <v>1</v>
      </c>
      <c r="AQ4" s="131" t="s">
        <v>161</v>
      </c>
      <c r="AR4" s="158"/>
      <c r="AU4" s="20"/>
    </row>
    <row r="5" spans="2:47" ht="20.149999999999999" customHeight="1" x14ac:dyDescent="0.25">
      <c r="B5" s="154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289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</v>
      </c>
      <c r="C6" s="54"/>
      <c r="D6" s="54"/>
      <c r="E6" s="54"/>
      <c r="F6" s="54"/>
      <c r="G6" s="54"/>
      <c r="H6" s="55"/>
      <c r="I6" s="56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7"/>
      <c r="AF6" s="57"/>
      <c r="AG6" s="57"/>
      <c r="AH6" s="57"/>
      <c r="AI6" s="57"/>
      <c r="AJ6" s="57"/>
      <c r="AK6" s="57"/>
      <c r="AL6" s="54"/>
      <c r="AM6" s="58"/>
      <c r="AN6" s="59"/>
      <c r="AO6" s="60"/>
      <c r="AP6" s="61"/>
      <c r="AQ6" s="61"/>
      <c r="AR6" s="62"/>
    </row>
    <row r="7" spans="2:47" ht="13.5" customHeight="1" x14ac:dyDescent="0.25">
      <c r="B7" s="14">
        <v>0.375</v>
      </c>
      <c r="C7" s="54"/>
      <c r="D7" s="54"/>
      <c r="E7" s="54"/>
      <c r="F7" s="54"/>
      <c r="G7" s="54"/>
      <c r="H7" s="55"/>
      <c r="I7" s="56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 t="s">
        <v>82</v>
      </c>
      <c r="Z7" s="54"/>
      <c r="AA7" s="54"/>
      <c r="AB7" s="54"/>
      <c r="AC7" s="54"/>
      <c r="AD7" s="54"/>
      <c r="AE7" s="57"/>
      <c r="AF7" s="57"/>
      <c r="AG7" s="57"/>
      <c r="AH7" s="57"/>
      <c r="AI7" s="57"/>
      <c r="AJ7" s="57"/>
      <c r="AK7" s="57"/>
      <c r="AL7" s="54"/>
      <c r="AM7" s="58"/>
      <c r="AN7" s="59"/>
      <c r="AO7" s="60"/>
      <c r="AP7" s="61"/>
      <c r="AQ7" s="61"/>
      <c r="AR7" s="62"/>
    </row>
    <row r="8" spans="2:47" ht="13.5" customHeight="1" x14ac:dyDescent="0.25">
      <c r="B8" s="14">
        <v>0.41666666666666669</v>
      </c>
      <c r="C8" s="54"/>
      <c r="D8" s="54"/>
      <c r="E8" s="54"/>
      <c r="F8" s="54"/>
      <c r="G8" s="54"/>
      <c r="H8" s="55"/>
      <c r="I8" s="56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 t="s">
        <v>82</v>
      </c>
      <c r="Z8" s="54"/>
      <c r="AA8" s="54"/>
      <c r="AB8" s="54"/>
      <c r="AC8" s="54"/>
      <c r="AD8" s="54"/>
      <c r="AE8" s="57"/>
      <c r="AF8" s="57"/>
      <c r="AG8" s="57"/>
      <c r="AH8" s="57"/>
      <c r="AI8" s="57"/>
      <c r="AJ8" s="57"/>
      <c r="AK8" s="57"/>
      <c r="AL8" s="54"/>
      <c r="AM8" s="58"/>
      <c r="AN8" s="59"/>
      <c r="AO8" s="60"/>
      <c r="AP8" s="61"/>
      <c r="AQ8" s="61"/>
      <c r="AR8" s="62"/>
    </row>
    <row r="9" spans="2:47" ht="13.5" customHeight="1" x14ac:dyDescent="0.25">
      <c r="B9" s="14">
        <v>0.45833333333333298</v>
      </c>
      <c r="C9" s="54"/>
      <c r="D9" s="54"/>
      <c r="E9" s="54"/>
      <c r="F9" s="54"/>
      <c r="G9" s="54"/>
      <c r="H9" s="55"/>
      <c r="I9" s="56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 t="s">
        <v>82</v>
      </c>
      <c r="Z9" s="54"/>
      <c r="AA9" s="54"/>
      <c r="AB9" s="54"/>
      <c r="AC9" s="54"/>
      <c r="AD9" s="54"/>
      <c r="AE9" s="57"/>
      <c r="AF9" s="57"/>
      <c r="AG9" s="57"/>
      <c r="AH9" s="57"/>
      <c r="AI9" s="57"/>
      <c r="AJ9" s="57"/>
      <c r="AK9" s="57"/>
      <c r="AL9" s="54"/>
      <c r="AM9" s="58"/>
      <c r="AN9" s="59"/>
      <c r="AO9" s="60"/>
      <c r="AP9" s="61"/>
      <c r="AQ9" s="61"/>
      <c r="AR9" s="62"/>
    </row>
    <row r="10" spans="2:47" ht="13.5" customHeight="1" x14ac:dyDescent="0.25">
      <c r="B10" s="14">
        <v>0.5</v>
      </c>
      <c r="C10" s="54"/>
      <c r="D10" s="54"/>
      <c r="E10" s="54"/>
      <c r="F10" s="54"/>
      <c r="G10" s="54"/>
      <c r="H10" s="55"/>
      <c r="I10" s="56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 t="s">
        <v>82</v>
      </c>
      <c r="Z10" s="54"/>
      <c r="AA10" s="54"/>
      <c r="AB10" s="54"/>
      <c r="AC10" s="54"/>
      <c r="AD10" s="54"/>
      <c r="AE10" s="57"/>
      <c r="AF10" s="57"/>
      <c r="AG10" s="57"/>
      <c r="AH10" s="57"/>
      <c r="AI10" s="57"/>
      <c r="AJ10" s="57"/>
      <c r="AK10" s="57"/>
      <c r="AL10" s="54"/>
      <c r="AM10" s="58"/>
      <c r="AN10" s="59"/>
      <c r="AO10" s="60"/>
      <c r="AP10" s="61"/>
      <c r="AQ10" s="61"/>
      <c r="AR10" s="62"/>
    </row>
    <row r="11" spans="2:47" ht="13.5" customHeight="1" x14ac:dyDescent="0.25">
      <c r="B11" s="14">
        <v>0.54166666666666696</v>
      </c>
      <c r="C11" s="54"/>
      <c r="D11" s="54"/>
      <c r="E11" s="54"/>
      <c r="F11" s="54"/>
      <c r="G11" s="54"/>
      <c r="H11" s="55"/>
      <c r="I11" s="56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 t="s">
        <v>82</v>
      </c>
      <c r="Z11" s="54"/>
      <c r="AA11" s="54"/>
      <c r="AB11" s="54"/>
      <c r="AC11" s="54"/>
      <c r="AD11" s="54"/>
      <c r="AE11" s="57"/>
      <c r="AF11" s="57"/>
      <c r="AG11" s="57"/>
      <c r="AH11" s="57"/>
      <c r="AI11" s="57"/>
      <c r="AJ11" s="57"/>
      <c r="AK11" s="57"/>
      <c r="AL11" s="54"/>
      <c r="AM11" s="58"/>
      <c r="AN11" s="59"/>
      <c r="AO11" s="60"/>
      <c r="AP11" s="61"/>
      <c r="AQ11" s="61"/>
      <c r="AR11" s="62"/>
    </row>
    <row r="12" spans="2:47" ht="13.5" customHeight="1" x14ac:dyDescent="0.25">
      <c r="B12" s="14">
        <v>0.58333333333333304</v>
      </c>
      <c r="C12" s="54"/>
      <c r="D12" s="54"/>
      <c r="E12" s="54"/>
      <c r="F12" s="54"/>
      <c r="G12" s="54"/>
      <c r="H12" s="55"/>
      <c r="I12" s="56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 t="s">
        <v>82</v>
      </c>
      <c r="Z12" s="54"/>
      <c r="AA12" s="54"/>
      <c r="AB12" s="54"/>
      <c r="AC12" s="54"/>
      <c r="AD12" s="54"/>
      <c r="AE12" s="57"/>
      <c r="AF12" s="57"/>
      <c r="AG12" s="57"/>
      <c r="AH12" s="57"/>
      <c r="AI12" s="57"/>
      <c r="AJ12" s="57"/>
      <c r="AK12" s="57"/>
      <c r="AL12" s="54"/>
      <c r="AM12" s="58"/>
      <c r="AN12" s="59"/>
      <c r="AO12" s="60"/>
      <c r="AP12" s="61"/>
      <c r="AQ12" s="61"/>
      <c r="AR12" s="62"/>
    </row>
    <row r="13" spans="2:47" ht="13.5" customHeight="1" x14ac:dyDescent="0.25">
      <c r="B13" s="14">
        <v>0.625</v>
      </c>
      <c r="C13" s="54"/>
      <c r="D13" s="54"/>
      <c r="E13" s="54"/>
      <c r="F13" s="54"/>
      <c r="G13" s="54"/>
      <c r="H13" s="55"/>
      <c r="I13" s="56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 t="s">
        <v>82</v>
      </c>
      <c r="Z13" s="54"/>
      <c r="AA13" s="54"/>
      <c r="AB13" s="54"/>
      <c r="AC13" s="54"/>
      <c r="AD13" s="54"/>
      <c r="AE13" s="57"/>
      <c r="AF13" s="57"/>
      <c r="AG13" s="57"/>
      <c r="AH13" s="57"/>
      <c r="AI13" s="57"/>
      <c r="AJ13" s="57"/>
      <c r="AK13" s="57"/>
      <c r="AL13" s="54"/>
      <c r="AM13" s="58"/>
      <c r="AN13" s="59"/>
      <c r="AO13" s="60"/>
      <c r="AP13" s="61"/>
      <c r="AQ13" s="61"/>
      <c r="AR13" s="62"/>
    </row>
    <row r="14" spans="2:47" ht="13.5" customHeight="1" x14ac:dyDescent="0.25">
      <c r="B14" s="14">
        <v>0.66666666666666696</v>
      </c>
      <c r="C14" s="54"/>
      <c r="D14" s="54"/>
      <c r="E14" s="54"/>
      <c r="F14" s="54"/>
      <c r="G14" s="54"/>
      <c r="H14" s="55"/>
      <c r="I14" s="56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 t="s">
        <v>82</v>
      </c>
      <c r="Z14" s="54"/>
      <c r="AA14" s="54"/>
      <c r="AB14" s="54"/>
      <c r="AC14" s="54"/>
      <c r="AD14" s="54"/>
      <c r="AE14" s="57"/>
      <c r="AF14" s="57"/>
      <c r="AG14" s="57"/>
      <c r="AH14" s="57"/>
      <c r="AI14" s="57"/>
      <c r="AJ14" s="57"/>
      <c r="AK14" s="57"/>
      <c r="AL14" s="54"/>
      <c r="AM14" s="58"/>
      <c r="AN14" s="59"/>
      <c r="AO14" s="60"/>
      <c r="AP14" s="61"/>
      <c r="AQ14" s="61"/>
      <c r="AR14" s="62"/>
    </row>
    <row r="15" spans="2:47" ht="13.5" customHeight="1" x14ac:dyDescent="0.25">
      <c r="B15" s="14">
        <v>0.70833333333333304</v>
      </c>
      <c r="C15" s="54"/>
      <c r="D15" s="54"/>
      <c r="E15" s="54"/>
      <c r="F15" s="54"/>
      <c r="G15" s="54"/>
      <c r="H15" s="55"/>
      <c r="I15" s="56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 t="s">
        <v>82</v>
      </c>
      <c r="Z15" s="54"/>
      <c r="AA15" s="54"/>
      <c r="AB15" s="54"/>
      <c r="AC15" s="54"/>
      <c r="AD15" s="54"/>
      <c r="AE15" s="57"/>
      <c r="AF15" s="57"/>
      <c r="AG15" s="57"/>
      <c r="AH15" s="57"/>
      <c r="AI15" s="57"/>
      <c r="AJ15" s="57"/>
      <c r="AK15" s="57"/>
      <c r="AL15" s="54"/>
      <c r="AM15" s="58"/>
      <c r="AN15" s="59"/>
      <c r="AO15" s="60"/>
      <c r="AP15" s="61"/>
      <c r="AQ15" s="61"/>
      <c r="AR15" s="62"/>
    </row>
    <row r="16" spans="2:47" ht="13.5" customHeight="1" x14ac:dyDescent="0.25">
      <c r="B16" s="14">
        <v>0.75</v>
      </c>
      <c r="C16" s="54"/>
      <c r="D16" s="54"/>
      <c r="E16" s="54"/>
      <c r="F16" s="54"/>
      <c r="G16" s="54"/>
      <c r="H16" s="55"/>
      <c r="I16" s="56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 t="s">
        <v>82</v>
      </c>
      <c r="Z16" s="54"/>
      <c r="AA16" s="54"/>
      <c r="AB16" s="54"/>
      <c r="AC16" s="54"/>
      <c r="AD16" s="54"/>
      <c r="AE16" s="57"/>
      <c r="AF16" s="57"/>
      <c r="AG16" s="57"/>
      <c r="AH16" s="57"/>
      <c r="AI16" s="57"/>
      <c r="AJ16" s="57"/>
      <c r="AK16" s="57"/>
      <c r="AL16" s="54"/>
      <c r="AM16" s="58"/>
      <c r="AN16" s="59"/>
      <c r="AO16" s="60"/>
      <c r="AP16" s="61"/>
      <c r="AQ16" s="61"/>
      <c r="AR16" s="62"/>
    </row>
    <row r="17" spans="2:44" ht="13.5" customHeight="1" x14ac:dyDescent="0.25">
      <c r="B17" s="14">
        <v>0.79166666666666696</v>
      </c>
      <c r="C17" s="54"/>
      <c r="D17" s="54"/>
      <c r="E17" s="54"/>
      <c r="F17" s="54"/>
      <c r="G17" s="54"/>
      <c r="H17" s="55"/>
      <c r="I17" s="56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 t="s">
        <v>82</v>
      </c>
      <c r="Z17" s="54"/>
      <c r="AA17" s="54"/>
      <c r="AB17" s="54"/>
      <c r="AC17" s="54"/>
      <c r="AD17" s="54"/>
      <c r="AE17" s="57"/>
      <c r="AF17" s="57"/>
      <c r="AG17" s="57"/>
      <c r="AH17" s="57"/>
      <c r="AI17" s="57"/>
      <c r="AJ17" s="57"/>
      <c r="AK17" s="57"/>
      <c r="AL17" s="54"/>
      <c r="AM17" s="58"/>
      <c r="AN17" s="59"/>
      <c r="AO17" s="60"/>
      <c r="AP17" s="61"/>
      <c r="AQ17" s="61"/>
      <c r="AR17" s="62"/>
    </row>
    <row r="18" spans="2:44" ht="13.5" customHeight="1" x14ac:dyDescent="0.25">
      <c r="B18" s="42">
        <v>0.83333333333333404</v>
      </c>
      <c r="C18" s="63"/>
      <c r="D18" s="63"/>
      <c r="E18" s="63"/>
      <c r="F18" s="63"/>
      <c r="G18" s="63"/>
      <c r="H18" s="64"/>
      <c r="I18" s="65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6"/>
      <c r="AF18" s="66"/>
      <c r="AG18" s="66"/>
      <c r="AH18" s="66"/>
      <c r="AI18" s="66"/>
      <c r="AJ18" s="66"/>
      <c r="AK18" s="66"/>
      <c r="AL18" s="63"/>
      <c r="AM18" s="67"/>
      <c r="AN18" s="68"/>
      <c r="AO18" s="60"/>
      <c r="AP18" s="61"/>
      <c r="AQ18" s="61"/>
      <c r="AR18" s="69"/>
    </row>
    <row r="19" spans="2:44" ht="18" customHeight="1" x14ac:dyDescent="0.25">
      <c r="B19" s="122" t="s">
        <v>181</v>
      </c>
      <c r="C19" s="36" t="s">
        <v>168</v>
      </c>
      <c r="D19" s="36" t="s">
        <v>171</v>
      </c>
      <c r="E19" s="137" t="s">
        <v>17</v>
      </c>
      <c r="F19" s="138"/>
      <c r="G19" s="139"/>
      <c r="H19" s="140" t="s">
        <v>108</v>
      </c>
      <c r="I19" s="138"/>
      <c r="J19" s="138"/>
      <c r="K19" s="138"/>
      <c r="L19" s="141"/>
      <c r="M19" s="142" t="s">
        <v>123</v>
      </c>
      <c r="N19" s="138"/>
      <c r="O19" s="138"/>
      <c r="P19" s="138"/>
      <c r="Q19" s="139"/>
      <c r="R19" s="140" t="s">
        <v>147</v>
      </c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9"/>
      <c r="AG19" s="143" t="s">
        <v>24</v>
      </c>
      <c r="AH19" s="139"/>
      <c r="AI19" s="119" t="s">
        <v>173</v>
      </c>
      <c r="AJ19" s="120"/>
      <c r="AK19" s="120"/>
      <c r="AL19" s="120"/>
      <c r="AM19" s="121"/>
      <c r="AN19" s="143" t="s">
        <v>47</v>
      </c>
      <c r="AO19" s="144"/>
      <c r="AP19" s="138" t="s">
        <v>180</v>
      </c>
      <c r="AQ19" s="145"/>
      <c r="AR19" s="146"/>
    </row>
    <row r="20" spans="2:44" ht="20.149999999999999" customHeight="1" x14ac:dyDescent="0.25">
      <c r="B20" s="123"/>
      <c r="C20" s="3" t="s">
        <v>169</v>
      </c>
      <c r="D20" s="3" t="s">
        <v>113</v>
      </c>
      <c r="E20" s="3" t="s">
        <v>15</v>
      </c>
      <c r="F20" s="117" t="s">
        <v>100</v>
      </c>
      <c r="G20" s="118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31" t="s">
        <v>148</v>
      </c>
      <c r="AE20" s="118"/>
      <c r="AF20" s="17" t="s">
        <v>151</v>
      </c>
      <c r="AG20" s="17" t="s">
        <v>153</v>
      </c>
      <c r="AH20" s="17" t="s">
        <v>155</v>
      </c>
      <c r="AI20" s="112" t="s">
        <v>89</v>
      </c>
      <c r="AJ20" s="113"/>
      <c r="AK20" s="112" t="s">
        <v>92</v>
      </c>
      <c r="AL20" s="113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123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14">
        <v>0.33333333333333331</v>
      </c>
      <c r="C22" s="54"/>
      <c r="D22" s="54"/>
      <c r="E22" s="54"/>
      <c r="F22" s="54"/>
      <c r="G22" s="54"/>
      <c r="H22" s="54"/>
      <c r="I22" s="54"/>
      <c r="J22" s="54"/>
      <c r="K22" s="54"/>
      <c r="L22" s="55"/>
      <c r="M22" s="70"/>
      <c r="N22" s="54"/>
      <c r="O22" s="54"/>
      <c r="P22" s="54"/>
      <c r="Q22" s="54"/>
      <c r="R22" s="54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58"/>
      <c r="AD22" s="58"/>
      <c r="AE22" s="58"/>
      <c r="AF22" s="58"/>
      <c r="AG22" s="58"/>
      <c r="AH22" s="58"/>
      <c r="AI22" s="72"/>
      <c r="AJ22" s="72"/>
      <c r="AK22" s="72"/>
      <c r="AL22" s="72"/>
      <c r="AM22" s="72"/>
      <c r="AN22" s="58"/>
      <c r="AO22" s="59"/>
      <c r="AP22" s="60"/>
      <c r="AQ22" s="61"/>
      <c r="AR22" s="62"/>
    </row>
    <row r="23" spans="2:44" ht="13.5" customHeight="1" x14ac:dyDescent="0.25">
      <c r="B23" s="14">
        <v>0.375</v>
      </c>
      <c r="C23" s="54"/>
      <c r="D23" s="54"/>
      <c r="E23" s="54"/>
      <c r="F23" s="54"/>
      <c r="G23" s="54"/>
      <c r="H23" s="54"/>
      <c r="I23" s="54"/>
      <c r="J23" s="54"/>
      <c r="K23" s="54"/>
      <c r="L23" s="55"/>
      <c r="M23" s="70"/>
      <c r="N23" s="54"/>
      <c r="O23" s="54"/>
      <c r="P23" s="54"/>
      <c r="Q23" s="54"/>
      <c r="R23" s="54"/>
      <c r="S23" s="71"/>
      <c r="T23" s="71"/>
      <c r="U23" s="71"/>
      <c r="V23" s="71"/>
      <c r="W23" s="71"/>
      <c r="X23" s="71"/>
      <c r="Y23" s="71"/>
      <c r="Z23" s="71"/>
      <c r="AA23" s="71"/>
      <c r="AB23" s="71"/>
      <c r="AC23" s="58"/>
      <c r="AD23" s="58"/>
      <c r="AE23" s="58"/>
      <c r="AF23" s="58"/>
      <c r="AG23" s="58"/>
      <c r="AH23" s="58"/>
      <c r="AI23" s="72"/>
      <c r="AJ23" s="72"/>
      <c r="AK23" s="72"/>
      <c r="AL23" s="72"/>
      <c r="AM23" s="72"/>
      <c r="AN23" s="58"/>
      <c r="AO23" s="59"/>
      <c r="AP23" s="60"/>
      <c r="AQ23" s="61"/>
      <c r="AR23" s="62"/>
    </row>
    <row r="24" spans="2:44" ht="13.5" customHeight="1" x14ac:dyDescent="0.25">
      <c r="B24" s="14">
        <v>0.41666666666666702</v>
      </c>
      <c r="C24" s="54"/>
      <c r="D24" s="54"/>
      <c r="E24" s="54"/>
      <c r="F24" s="54"/>
      <c r="G24" s="54"/>
      <c r="H24" s="54"/>
      <c r="I24" s="54"/>
      <c r="J24" s="54"/>
      <c r="K24" s="54"/>
      <c r="L24" s="55"/>
      <c r="M24" s="70"/>
      <c r="N24" s="54"/>
      <c r="O24" s="54"/>
      <c r="P24" s="54"/>
      <c r="Q24" s="54"/>
      <c r="R24" s="54"/>
      <c r="S24" s="71"/>
      <c r="T24" s="71"/>
      <c r="U24" s="71"/>
      <c r="V24" s="71"/>
      <c r="W24" s="71"/>
      <c r="X24" s="71"/>
      <c r="Y24" s="71"/>
      <c r="Z24" s="71"/>
      <c r="AA24" s="71"/>
      <c r="AB24" s="71"/>
      <c r="AC24" s="58"/>
      <c r="AD24" s="58"/>
      <c r="AE24" s="58"/>
      <c r="AF24" s="58"/>
      <c r="AG24" s="58"/>
      <c r="AH24" s="58"/>
      <c r="AI24" s="72"/>
      <c r="AJ24" s="72"/>
      <c r="AK24" s="72"/>
      <c r="AL24" s="72"/>
      <c r="AM24" s="72"/>
      <c r="AN24" s="58"/>
      <c r="AO24" s="59"/>
      <c r="AP24" s="60"/>
      <c r="AQ24" s="61"/>
      <c r="AR24" s="62"/>
    </row>
    <row r="25" spans="2:44" ht="13.5" customHeight="1" x14ac:dyDescent="0.25">
      <c r="B25" s="14">
        <v>0.45833333333333298</v>
      </c>
      <c r="C25" s="54"/>
      <c r="D25" s="54"/>
      <c r="E25" s="54"/>
      <c r="F25" s="54"/>
      <c r="G25" s="54"/>
      <c r="H25" s="54"/>
      <c r="I25" s="54"/>
      <c r="J25" s="54"/>
      <c r="K25" s="54"/>
      <c r="L25" s="55"/>
      <c r="M25" s="70"/>
      <c r="N25" s="54"/>
      <c r="O25" s="54"/>
      <c r="P25" s="54"/>
      <c r="Q25" s="54"/>
      <c r="R25" s="54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58"/>
      <c r="AD25" s="58"/>
      <c r="AE25" s="58"/>
      <c r="AF25" s="58"/>
      <c r="AG25" s="58"/>
      <c r="AH25" s="58"/>
      <c r="AI25" s="72"/>
      <c r="AJ25" s="72"/>
      <c r="AK25" s="72"/>
      <c r="AL25" s="72"/>
      <c r="AM25" s="72"/>
      <c r="AN25" s="58"/>
      <c r="AO25" s="59"/>
      <c r="AP25" s="60"/>
      <c r="AQ25" s="61"/>
      <c r="AR25" s="62"/>
    </row>
    <row r="26" spans="2:44" ht="13.5" customHeight="1" x14ac:dyDescent="0.25">
      <c r="B26" s="14">
        <v>0.5</v>
      </c>
      <c r="C26" s="54"/>
      <c r="D26" s="54"/>
      <c r="E26" s="54"/>
      <c r="F26" s="54"/>
      <c r="G26" s="54"/>
      <c r="H26" s="54"/>
      <c r="I26" s="54"/>
      <c r="J26" s="54"/>
      <c r="K26" s="54"/>
      <c r="L26" s="55"/>
      <c r="M26" s="70"/>
      <c r="N26" s="54"/>
      <c r="O26" s="54"/>
      <c r="P26" s="54"/>
      <c r="Q26" s="54"/>
      <c r="R26" s="54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58"/>
      <c r="AD26" s="58"/>
      <c r="AE26" s="58"/>
      <c r="AF26" s="58"/>
      <c r="AG26" s="58"/>
      <c r="AH26" s="58"/>
      <c r="AI26" s="72"/>
      <c r="AJ26" s="72"/>
      <c r="AK26" s="72"/>
      <c r="AL26" s="72"/>
      <c r="AM26" s="72"/>
      <c r="AN26" s="58"/>
      <c r="AO26" s="59"/>
      <c r="AP26" s="60"/>
      <c r="AQ26" s="61"/>
      <c r="AR26" s="62"/>
    </row>
    <row r="27" spans="2:44" ht="13.5" customHeight="1" x14ac:dyDescent="0.25">
      <c r="B27" s="14">
        <v>0.54166666666666596</v>
      </c>
      <c r="C27" s="54"/>
      <c r="D27" s="54"/>
      <c r="E27" s="54"/>
      <c r="F27" s="54"/>
      <c r="G27" s="54"/>
      <c r="H27" s="54"/>
      <c r="I27" s="54"/>
      <c r="J27" s="54"/>
      <c r="K27" s="54"/>
      <c r="L27" s="55"/>
      <c r="M27" s="70"/>
      <c r="N27" s="54"/>
      <c r="O27" s="54"/>
      <c r="P27" s="54"/>
      <c r="Q27" s="54"/>
      <c r="R27" s="54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58"/>
      <c r="AD27" s="58"/>
      <c r="AE27" s="58"/>
      <c r="AF27" s="58"/>
      <c r="AG27" s="58"/>
      <c r="AH27" s="58"/>
      <c r="AI27" s="72"/>
      <c r="AJ27" s="72"/>
      <c r="AK27" s="72"/>
      <c r="AL27" s="72"/>
      <c r="AM27" s="72"/>
      <c r="AN27" s="58"/>
      <c r="AO27" s="59"/>
      <c r="AP27" s="60"/>
      <c r="AQ27" s="61"/>
      <c r="AR27" s="62"/>
    </row>
    <row r="28" spans="2:44" ht="13.5" customHeight="1" x14ac:dyDescent="0.25">
      <c r="B28" s="14">
        <v>0.58333333333333304</v>
      </c>
      <c r="C28" s="54"/>
      <c r="D28" s="54"/>
      <c r="E28" s="54"/>
      <c r="F28" s="54"/>
      <c r="G28" s="54"/>
      <c r="H28" s="54"/>
      <c r="I28" s="54"/>
      <c r="J28" s="54"/>
      <c r="K28" s="54"/>
      <c r="L28" s="55"/>
      <c r="M28" s="70"/>
      <c r="N28" s="54"/>
      <c r="O28" s="54"/>
      <c r="P28" s="54"/>
      <c r="Q28" s="54"/>
      <c r="R28" s="54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58"/>
      <c r="AD28" s="58"/>
      <c r="AE28" s="58"/>
      <c r="AF28" s="58"/>
      <c r="AG28" s="58"/>
      <c r="AH28" s="58"/>
      <c r="AI28" s="72"/>
      <c r="AJ28" s="72"/>
      <c r="AK28" s="72"/>
      <c r="AL28" s="72"/>
      <c r="AM28" s="72"/>
      <c r="AN28" s="58"/>
      <c r="AO28" s="59"/>
      <c r="AP28" s="60"/>
      <c r="AQ28" s="61"/>
      <c r="AR28" s="62"/>
    </row>
    <row r="29" spans="2:44" ht="13.5" customHeight="1" x14ac:dyDescent="0.25">
      <c r="B29" s="14">
        <v>0.625</v>
      </c>
      <c r="C29" s="54"/>
      <c r="D29" s="54"/>
      <c r="E29" s="54"/>
      <c r="F29" s="54"/>
      <c r="G29" s="54"/>
      <c r="H29" s="54"/>
      <c r="I29" s="54"/>
      <c r="J29" s="54"/>
      <c r="K29" s="54"/>
      <c r="L29" s="55"/>
      <c r="M29" s="70"/>
      <c r="N29" s="54"/>
      <c r="O29" s="54"/>
      <c r="P29" s="54"/>
      <c r="Q29" s="54"/>
      <c r="R29" s="54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58"/>
      <c r="AD29" s="58"/>
      <c r="AE29" s="58"/>
      <c r="AF29" s="58"/>
      <c r="AG29" s="58"/>
      <c r="AH29" s="58"/>
      <c r="AI29" s="72"/>
      <c r="AJ29" s="72"/>
      <c r="AK29" s="72"/>
      <c r="AL29" s="72"/>
      <c r="AM29" s="72"/>
      <c r="AN29" s="58"/>
      <c r="AO29" s="59"/>
      <c r="AP29" s="60"/>
      <c r="AQ29" s="61"/>
      <c r="AR29" s="62"/>
    </row>
    <row r="30" spans="2:44" ht="13.5" customHeight="1" x14ac:dyDescent="0.25">
      <c r="B30" s="14">
        <v>0.66666666666666596</v>
      </c>
      <c r="C30" s="54"/>
      <c r="D30" s="54"/>
      <c r="E30" s="54"/>
      <c r="F30" s="54"/>
      <c r="G30" s="54"/>
      <c r="H30" s="54"/>
      <c r="I30" s="54"/>
      <c r="J30" s="54"/>
      <c r="K30" s="54"/>
      <c r="L30" s="55"/>
      <c r="M30" s="70"/>
      <c r="N30" s="54"/>
      <c r="O30" s="54"/>
      <c r="P30" s="54"/>
      <c r="Q30" s="54"/>
      <c r="R30" s="54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58"/>
      <c r="AD30" s="58"/>
      <c r="AE30" s="58"/>
      <c r="AF30" s="58"/>
      <c r="AG30" s="58"/>
      <c r="AH30" s="58"/>
      <c r="AI30" s="72"/>
      <c r="AJ30" s="72"/>
      <c r="AK30" s="72"/>
      <c r="AL30" s="72"/>
      <c r="AM30" s="72"/>
      <c r="AN30" s="58"/>
      <c r="AO30" s="59"/>
      <c r="AP30" s="60"/>
      <c r="AQ30" s="61"/>
      <c r="AR30" s="62"/>
    </row>
    <row r="31" spans="2:44" ht="13.5" customHeight="1" x14ac:dyDescent="0.25">
      <c r="B31" s="14">
        <v>0.70833333333333304</v>
      </c>
      <c r="C31" s="54"/>
      <c r="D31" s="54"/>
      <c r="E31" s="54"/>
      <c r="F31" s="54"/>
      <c r="G31" s="54"/>
      <c r="H31" s="54"/>
      <c r="I31" s="54"/>
      <c r="J31" s="54"/>
      <c r="K31" s="54"/>
      <c r="L31" s="55"/>
      <c r="M31" s="70"/>
      <c r="N31" s="54"/>
      <c r="O31" s="54"/>
      <c r="P31" s="54"/>
      <c r="Q31" s="54"/>
      <c r="R31" s="54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58"/>
      <c r="AD31" s="58"/>
      <c r="AE31" s="58"/>
      <c r="AF31" s="58"/>
      <c r="AG31" s="58"/>
      <c r="AH31" s="58"/>
      <c r="AI31" s="72"/>
      <c r="AJ31" s="72"/>
      <c r="AK31" s="72"/>
      <c r="AL31" s="72"/>
      <c r="AM31" s="72"/>
      <c r="AN31" s="58"/>
      <c r="AO31" s="59"/>
      <c r="AP31" s="60"/>
      <c r="AQ31" s="61"/>
      <c r="AR31" s="62"/>
    </row>
    <row r="32" spans="2:44" ht="13.5" customHeight="1" x14ac:dyDescent="0.25">
      <c r="B32" s="14">
        <v>0.75</v>
      </c>
      <c r="C32" s="54"/>
      <c r="D32" s="54"/>
      <c r="E32" s="54"/>
      <c r="F32" s="54"/>
      <c r="G32" s="54"/>
      <c r="H32" s="54"/>
      <c r="I32" s="54"/>
      <c r="J32" s="54"/>
      <c r="K32" s="54"/>
      <c r="L32" s="55"/>
      <c r="M32" s="70"/>
      <c r="N32" s="54"/>
      <c r="O32" s="54"/>
      <c r="P32" s="54"/>
      <c r="Q32" s="54"/>
      <c r="R32" s="54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58"/>
      <c r="AD32" s="58"/>
      <c r="AE32" s="58"/>
      <c r="AF32" s="58"/>
      <c r="AG32" s="58"/>
      <c r="AH32" s="58"/>
      <c r="AI32" s="72"/>
      <c r="AJ32" s="72"/>
      <c r="AK32" s="72"/>
      <c r="AL32" s="72"/>
      <c r="AM32" s="72"/>
      <c r="AN32" s="58"/>
      <c r="AO32" s="59"/>
      <c r="AP32" s="60"/>
      <c r="AQ32" s="61"/>
      <c r="AR32" s="62"/>
    </row>
    <row r="33" spans="2:44" ht="13.5" customHeight="1" x14ac:dyDescent="0.25">
      <c r="B33" s="14">
        <v>0.79166666666666696</v>
      </c>
      <c r="C33" s="54"/>
      <c r="D33" s="54"/>
      <c r="E33" s="54"/>
      <c r="F33" s="54"/>
      <c r="G33" s="54"/>
      <c r="H33" s="54"/>
      <c r="I33" s="54"/>
      <c r="J33" s="54"/>
      <c r="K33" s="54"/>
      <c r="L33" s="55"/>
      <c r="M33" s="70"/>
      <c r="N33" s="54"/>
      <c r="O33" s="54"/>
      <c r="P33" s="54"/>
      <c r="Q33" s="54"/>
      <c r="R33" s="54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58"/>
      <c r="AD33" s="58"/>
      <c r="AE33" s="58"/>
      <c r="AF33" s="58"/>
      <c r="AG33" s="58"/>
      <c r="AH33" s="58"/>
      <c r="AI33" s="72"/>
      <c r="AJ33" s="72"/>
      <c r="AK33" s="72"/>
      <c r="AL33" s="72"/>
      <c r="AM33" s="72"/>
      <c r="AN33" s="58"/>
      <c r="AO33" s="59"/>
      <c r="AP33" s="60"/>
      <c r="AQ33" s="61"/>
      <c r="AR33" s="62"/>
    </row>
    <row r="34" spans="2:44" ht="13.5" customHeight="1" x14ac:dyDescent="0.25">
      <c r="B34" s="15">
        <v>0.83333333333333304</v>
      </c>
      <c r="C34" s="63"/>
      <c r="D34" s="63"/>
      <c r="E34" s="63"/>
      <c r="F34" s="63"/>
      <c r="G34" s="63"/>
      <c r="H34" s="63"/>
      <c r="I34" s="63"/>
      <c r="J34" s="63"/>
      <c r="K34" s="63"/>
      <c r="L34" s="64"/>
      <c r="M34" s="73"/>
      <c r="N34" s="63"/>
      <c r="O34" s="63"/>
      <c r="P34" s="63"/>
      <c r="Q34" s="63"/>
      <c r="R34" s="63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67"/>
      <c r="AD34" s="67"/>
      <c r="AE34" s="67"/>
      <c r="AF34" s="67"/>
      <c r="AG34" s="67"/>
      <c r="AH34" s="67"/>
      <c r="AI34" s="75"/>
      <c r="AJ34" s="75"/>
      <c r="AK34" s="75"/>
      <c r="AL34" s="75"/>
      <c r="AM34" s="75"/>
      <c r="AN34" s="67"/>
      <c r="AO34" s="68"/>
      <c r="AP34" s="76"/>
      <c r="AQ34" s="77"/>
      <c r="AR34" s="78"/>
    </row>
    <row r="35" spans="2:44" ht="15" customHeight="1" x14ac:dyDescent="0.25">
      <c r="B35" s="136" t="s">
        <v>181</v>
      </c>
      <c r="C35" s="137" t="s">
        <v>38</v>
      </c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166"/>
      <c r="P35" s="166"/>
      <c r="Q35" s="166"/>
      <c r="R35" s="166"/>
      <c r="S35" s="166"/>
      <c r="T35" s="166"/>
      <c r="U35" s="166"/>
      <c r="V35" s="166"/>
      <c r="W35" s="167" t="s">
        <v>216</v>
      </c>
      <c r="X35" s="168"/>
      <c r="Y35" s="168"/>
      <c r="Z35" s="168"/>
      <c r="AA35" s="168"/>
      <c r="AB35" s="168"/>
      <c r="AC35" s="168"/>
      <c r="AD35" s="168"/>
      <c r="AE35" s="168"/>
      <c r="AF35" s="168"/>
      <c r="AG35" s="168"/>
      <c r="AH35" s="168"/>
      <c r="AI35" s="168"/>
      <c r="AJ35" s="169"/>
      <c r="AK35" s="143" t="s">
        <v>48</v>
      </c>
      <c r="AL35" s="141"/>
      <c r="AM35" s="170" t="s">
        <v>223</v>
      </c>
      <c r="AN35" s="171"/>
      <c r="AO35" s="43"/>
      <c r="AP35" s="43"/>
      <c r="AQ35" s="43"/>
      <c r="AR35" s="44"/>
    </row>
    <row r="36" spans="2:44" ht="20.149999999999999" customHeight="1" x14ac:dyDescent="0.25">
      <c r="B36" s="123"/>
      <c r="C36" s="117" t="s">
        <v>32</v>
      </c>
      <c r="D36" s="149"/>
      <c r="E36" s="117" t="s">
        <v>33</v>
      </c>
      <c r="F36" s="178"/>
      <c r="G36" s="149"/>
      <c r="H36" s="172" t="s">
        <v>276</v>
      </c>
      <c r="I36" s="173"/>
      <c r="J36" s="4" t="s">
        <v>27</v>
      </c>
      <c r="K36" s="4" t="s">
        <v>30</v>
      </c>
      <c r="L36" s="4" t="s">
        <v>191</v>
      </c>
      <c r="M36" s="174" t="s">
        <v>192</v>
      </c>
      <c r="N36" s="175"/>
      <c r="O36" s="4" t="s">
        <v>26</v>
      </c>
      <c r="P36" s="4" t="s">
        <v>197</v>
      </c>
      <c r="Q36" s="117" t="s">
        <v>199</v>
      </c>
      <c r="R36" s="179"/>
      <c r="S36" s="117" t="s">
        <v>202</v>
      </c>
      <c r="T36" s="179"/>
      <c r="U36" s="117" t="s">
        <v>201</v>
      </c>
      <c r="V36" s="176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31" t="s">
        <v>46</v>
      </c>
      <c r="AI36" s="177"/>
      <c r="AJ36" s="118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123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123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290</v>
      </c>
      <c r="N38" s="1" t="s">
        <v>291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14">
        <v>0.33333333333333331</v>
      </c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71"/>
      <c r="V39" s="79"/>
      <c r="W39" s="80"/>
      <c r="X39" s="71"/>
      <c r="Y39" s="71"/>
      <c r="Z39" s="71"/>
      <c r="AA39" s="71"/>
      <c r="AB39" s="71"/>
      <c r="AC39" s="71"/>
      <c r="AD39" s="71"/>
      <c r="AE39" s="58"/>
      <c r="AF39" s="58"/>
      <c r="AG39" s="58"/>
      <c r="AH39" s="58"/>
      <c r="AI39" s="58"/>
      <c r="AJ39" s="58"/>
      <c r="AK39" s="58"/>
      <c r="AL39" s="59"/>
      <c r="AM39" s="81"/>
      <c r="AN39" s="72"/>
      <c r="AO39" s="58"/>
      <c r="AP39" s="58"/>
      <c r="AQ39" s="58"/>
      <c r="AR39" s="62"/>
    </row>
    <row r="40" spans="2:44" ht="13.5" customHeight="1" x14ac:dyDescent="0.25">
      <c r="B40" s="14">
        <v>0.375</v>
      </c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71"/>
      <c r="V40" s="79"/>
      <c r="W40" s="80"/>
      <c r="X40" s="71"/>
      <c r="Y40" s="71"/>
      <c r="Z40" s="71"/>
      <c r="AA40" s="71"/>
      <c r="AB40" s="71"/>
      <c r="AC40" s="71"/>
      <c r="AD40" s="71"/>
      <c r="AE40" s="58"/>
      <c r="AF40" s="58"/>
      <c r="AG40" s="58"/>
      <c r="AH40" s="58"/>
      <c r="AI40" s="58"/>
      <c r="AJ40" s="58"/>
      <c r="AK40" s="58"/>
      <c r="AL40" s="59"/>
      <c r="AM40" s="81"/>
      <c r="AN40" s="72"/>
      <c r="AO40" s="58"/>
      <c r="AP40" s="58"/>
      <c r="AQ40" s="58"/>
      <c r="AR40" s="62"/>
    </row>
    <row r="41" spans="2:44" ht="13.5" customHeight="1" x14ac:dyDescent="0.25">
      <c r="B41" s="14">
        <v>0.41666666666666702</v>
      </c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71"/>
      <c r="V41" s="79"/>
      <c r="W41" s="80"/>
      <c r="X41" s="71"/>
      <c r="Y41" s="71"/>
      <c r="Z41" s="71"/>
      <c r="AA41" s="71"/>
      <c r="AB41" s="71"/>
      <c r="AC41" s="71"/>
      <c r="AD41" s="71"/>
      <c r="AE41" s="58"/>
      <c r="AF41" s="58"/>
      <c r="AG41" s="58"/>
      <c r="AH41" s="58"/>
      <c r="AI41" s="58"/>
      <c r="AJ41" s="58"/>
      <c r="AK41" s="58"/>
      <c r="AL41" s="59"/>
      <c r="AM41" s="81"/>
      <c r="AN41" s="72"/>
      <c r="AO41" s="58"/>
      <c r="AP41" s="58"/>
      <c r="AQ41" s="58"/>
      <c r="AR41" s="62"/>
    </row>
    <row r="42" spans="2:44" ht="13.5" customHeight="1" x14ac:dyDescent="0.25">
      <c r="B42" s="14">
        <v>0.45833333333333298</v>
      </c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71"/>
      <c r="V42" s="79"/>
      <c r="W42" s="80"/>
      <c r="X42" s="71"/>
      <c r="Y42" s="71"/>
      <c r="Z42" s="71"/>
      <c r="AA42" s="71"/>
      <c r="AB42" s="71"/>
      <c r="AC42" s="71"/>
      <c r="AD42" s="71"/>
      <c r="AE42" s="58"/>
      <c r="AF42" s="58"/>
      <c r="AG42" s="58"/>
      <c r="AH42" s="58"/>
      <c r="AI42" s="58"/>
      <c r="AJ42" s="58"/>
      <c r="AK42" s="58"/>
      <c r="AL42" s="59"/>
      <c r="AM42" s="81"/>
      <c r="AN42" s="72"/>
      <c r="AO42" s="58"/>
      <c r="AP42" s="58"/>
      <c r="AQ42" s="58"/>
      <c r="AR42" s="62"/>
    </row>
    <row r="43" spans="2:44" ht="13.5" customHeight="1" x14ac:dyDescent="0.25">
      <c r="B43" s="14">
        <v>0.5</v>
      </c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71"/>
      <c r="V43" s="79"/>
      <c r="W43" s="80"/>
      <c r="X43" s="71"/>
      <c r="Y43" s="71"/>
      <c r="Z43" s="71"/>
      <c r="AA43" s="71"/>
      <c r="AB43" s="71"/>
      <c r="AC43" s="71"/>
      <c r="AD43" s="71"/>
      <c r="AE43" s="58"/>
      <c r="AF43" s="58"/>
      <c r="AG43" s="58"/>
      <c r="AH43" s="58"/>
      <c r="AI43" s="58"/>
      <c r="AJ43" s="58"/>
      <c r="AK43" s="58"/>
      <c r="AL43" s="59"/>
      <c r="AM43" s="81"/>
      <c r="AN43" s="72"/>
      <c r="AO43" s="58"/>
      <c r="AP43" s="58"/>
      <c r="AQ43" s="58"/>
      <c r="AR43" s="62"/>
    </row>
    <row r="44" spans="2:44" ht="13.5" customHeight="1" x14ac:dyDescent="0.25">
      <c r="B44" s="14">
        <v>0.54166666666666596</v>
      </c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71"/>
      <c r="V44" s="79"/>
      <c r="W44" s="80"/>
      <c r="X44" s="71"/>
      <c r="Y44" s="71"/>
      <c r="Z44" s="71"/>
      <c r="AA44" s="71"/>
      <c r="AB44" s="71"/>
      <c r="AC44" s="71"/>
      <c r="AD44" s="71"/>
      <c r="AE44" s="58"/>
      <c r="AF44" s="58"/>
      <c r="AG44" s="58"/>
      <c r="AH44" s="58"/>
      <c r="AI44" s="58"/>
      <c r="AJ44" s="58"/>
      <c r="AK44" s="58"/>
      <c r="AL44" s="59"/>
      <c r="AM44" s="81"/>
      <c r="AN44" s="72"/>
      <c r="AO44" s="58"/>
      <c r="AP44" s="58"/>
      <c r="AQ44" s="58"/>
      <c r="AR44" s="62"/>
    </row>
    <row r="45" spans="2:44" ht="13.5" customHeight="1" x14ac:dyDescent="0.25">
      <c r="B45" s="14">
        <v>0.58333333333333304</v>
      </c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71"/>
      <c r="V45" s="79"/>
      <c r="W45" s="80"/>
      <c r="X45" s="71"/>
      <c r="Y45" s="71"/>
      <c r="Z45" s="71"/>
      <c r="AA45" s="71"/>
      <c r="AB45" s="71"/>
      <c r="AC45" s="71"/>
      <c r="AD45" s="71"/>
      <c r="AE45" s="58"/>
      <c r="AF45" s="58"/>
      <c r="AG45" s="58"/>
      <c r="AH45" s="58"/>
      <c r="AI45" s="58"/>
      <c r="AJ45" s="58"/>
      <c r="AK45" s="58"/>
      <c r="AL45" s="59"/>
      <c r="AM45" s="81"/>
      <c r="AN45" s="72"/>
      <c r="AO45" s="58"/>
      <c r="AP45" s="58"/>
      <c r="AQ45" s="58"/>
      <c r="AR45" s="62"/>
    </row>
    <row r="46" spans="2:44" ht="13.5" customHeight="1" x14ac:dyDescent="0.25">
      <c r="B46" s="14">
        <v>0.625</v>
      </c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71"/>
      <c r="V46" s="79"/>
      <c r="W46" s="80"/>
      <c r="X46" s="71"/>
      <c r="Y46" s="71"/>
      <c r="Z46" s="71"/>
      <c r="AA46" s="71"/>
      <c r="AB46" s="71"/>
      <c r="AC46" s="71"/>
      <c r="AD46" s="71"/>
      <c r="AE46" s="58"/>
      <c r="AF46" s="58"/>
      <c r="AG46" s="58"/>
      <c r="AH46" s="58"/>
      <c r="AI46" s="58"/>
      <c r="AJ46" s="58"/>
      <c r="AK46" s="58"/>
      <c r="AL46" s="59"/>
      <c r="AM46" s="81"/>
      <c r="AN46" s="72"/>
      <c r="AO46" s="58"/>
      <c r="AP46" s="58"/>
      <c r="AQ46" s="58"/>
      <c r="AR46" s="62"/>
    </row>
    <row r="47" spans="2:44" ht="13.5" customHeight="1" x14ac:dyDescent="0.25">
      <c r="B47" s="14">
        <v>0.66666666666666596</v>
      </c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71"/>
      <c r="V47" s="79"/>
      <c r="W47" s="80"/>
      <c r="X47" s="71"/>
      <c r="Y47" s="71"/>
      <c r="Z47" s="71"/>
      <c r="AA47" s="71"/>
      <c r="AB47" s="71"/>
      <c r="AC47" s="71"/>
      <c r="AD47" s="71"/>
      <c r="AE47" s="58"/>
      <c r="AF47" s="58"/>
      <c r="AG47" s="58"/>
      <c r="AH47" s="58"/>
      <c r="AI47" s="58"/>
      <c r="AJ47" s="58"/>
      <c r="AK47" s="58"/>
      <c r="AL47" s="59"/>
      <c r="AM47" s="81"/>
      <c r="AN47" s="72"/>
      <c r="AO47" s="58"/>
      <c r="AP47" s="58"/>
      <c r="AQ47" s="58"/>
      <c r="AR47" s="62"/>
    </row>
    <row r="48" spans="2:44" ht="13.5" customHeight="1" x14ac:dyDescent="0.25">
      <c r="B48" s="14">
        <v>0.70833333333333304</v>
      </c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71"/>
      <c r="V48" s="79"/>
      <c r="W48" s="80"/>
      <c r="X48" s="71"/>
      <c r="Y48" s="71"/>
      <c r="Z48" s="71"/>
      <c r="AA48" s="71"/>
      <c r="AB48" s="71"/>
      <c r="AC48" s="71"/>
      <c r="AD48" s="71"/>
      <c r="AE48" s="58"/>
      <c r="AF48" s="58"/>
      <c r="AG48" s="58"/>
      <c r="AH48" s="58"/>
      <c r="AI48" s="58"/>
      <c r="AJ48" s="58"/>
      <c r="AK48" s="58"/>
      <c r="AL48" s="59"/>
      <c r="AM48" s="81"/>
      <c r="AN48" s="72"/>
      <c r="AO48" s="58"/>
      <c r="AP48" s="58"/>
      <c r="AQ48" s="58"/>
      <c r="AR48" s="62"/>
    </row>
    <row r="49" spans="2:44" ht="13.5" customHeight="1" x14ac:dyDescent="0.25">
      <c r="B49" s="14">
        <v>0.75</v>
      </c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71"/>
      <c r="V49" s="79"/>
      <c r="W49" s="80"/>
      <c r="X49" s="71"/>
      <c r="Y49" s="71"/>
      <c r="Z49" s="71"/>
      <c r="AA49" s="71"/>
      <c r="AB49" s="71"/>
      <c r="AC49" s="71"/>
      <c r="AD49" s="71"/>
      <c r="AE49" s="58"/>
      <c r="AF49" s="58"/>
      <c r="AG49" s="58"/>
      <c r="AH49" s="58"/>
      <c r="AI49" s="58"/>
      <c r="AJ49" s="58"/>
      <c r="AK49" s="58"/>
      <c r="AL49" s="59"/>
      <c r="AM49" s="81"/>
      <c r="AN49" s="72"/>
      <c r="AO49" s="58"/>
      <c r="AP49" s="58"/>
      <c r="AQ49" s="58"/>
      <c r="AR49" s="62"/>
    </row>
    <row r="50" spans="2:44" ht="13.5" customHeight="1" x14ac:dyDescent="0.25">
      <c r="B50" s="14">
        <v>0.79166666666666696</v>
      </c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71"/>
      <c r="V50" s="79"/>
      <c r="W50" s="80"/>
      <c r="X50" s="71"/>
      <c r="Y50" s="71"/>
      <c r="Z50" s="71"/>
      <c r="AA50" s="71"/>
      <c r="AB50" s="71"/>
      <c r="AC50" s="71"/>
      <c r="AD50" s="71"/>
      <c r="AE50" s="58"/>
      <c r="AF50" s="58"/>
      <c r="AG50" s="58"/>
      <c r="AH50" s="58"/>
      <c r="AI50" s="58"/>
      <c r="AJ50" s="58"/>
      <c r="AK50" s="58"/>
      <c r="AL50" s="59"/>
      <c r="AM50" s="81"/>
      <c r="AN50" s="72"/>
      <c r="AO50" s="58"/>
      <c r="AP50" s="58"/>
      <c r="AQ50" s="58"/>
      <c r="AR50" s="62"/>
    </row>
    <row r="51" spans="2:44" ht="13.5" customHeight="1" x14ac:dyDescent="0.25">
      <c r="B51" s="14">
        <v>0.83333333333333304</v>
      </c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74"/>
      <c r="V51" s="82"/>
      <c r="W51" s="83"/>
      <c r="X51" s="74"/>
      <c r="Y51" s="74"/>
      <c r="Z51" s="74"/>
      <c r="AA51" s="74"/>
      <c r="AB51" s="74"/>
      <c r="AC51" s="74"/>
      <c r="AD51" s="74"/>
      <c r="AE51" s="67"/>
      <c r="AF51" s="67"/>
      <c r="AG51" s="67"/>
      <c r="AH51" s="67"/>
      <c r="AI51" s="67"/>
      <c r="AJ51" s="67"/>
      <c r="AK51" s="67"/>
      <c r="AL51" s="68"/>
      <c r="AM51" s="84"/>
      <c r="AN51" s="75"/>
      <c r="AO51" s="67"/>
      <c r="AP51" s="67"/>
      <c r="AQ51" s="67"/>
      <c r="AR51" s="78"/>
    </row>
    <row r="52" spans="2:44" ht="13.5" customHeight="1" x14ac:dyDescent="0.25">
      <c r="B52" s="147"/>
      <c r="C52" s="148"/>
      <c r="D52" s="9" t="s">
        <v>19</v>
      </c>
      <c r="E52" s="124" t="s">
        <v>20</v>
      </c>
      <c r="F52" s="127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  <c r="AD52" s="128"/>
      <c r="AE52" s="128"/>
      <c r="AF52" s="128"/>
      <c r="AG52" s="128"/>
      <c r="AH52" s="128"/>
      <c r="AI52" s="128"/>
      <c r="AJ52" s="128"/>
      <c r="AK52" s="128"/>
      <c r="AL52" s="128"/>
      <c r="AM52" s="128"/>
      <c r="AN52" s="128"/>
      <c r="AO52" s="129"/>
      <c r="AP52" s="129"/>
      <c r="AQ52" s="129"/>
      <c r="AR52" s="130"/>
    </row>
    <row r="53" spans="2:44" ht="13.5" customHeight="1" x14ac:dyDescent="0.25">
      <c r="B53" s="123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  <c r="AM53" s="125"/>
      <c r="AN53" s="125"/>
      <c r="AO53" s="131"/>
      <c r="AP53" s="131"/>
      <c r="AQ53" s="131"/>
      <c r="AR53" s="132"/>
    </row>
    <row r="54" spans="2:44" ht="13.5" customHeight="1" thickBot="1" x14ac:dyDescent="0.3">
      <c r="B54" s="135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  <c r="AD54" s="126"/>
      <c r="AE54" s="126"/>
      <c r="AF54" s="126"/>
      <c r="AG54" s="126"/>
      <c r="AH54" s="126"/>
      <c r="AI54" s="126"/>
      <c r="AJ54" s="126"/>
      <c r="AK54" s="126"/>
      <c r="AL54" s="126"/>
      <c r="AM54" s="126"/>
      <c r="AN54" s="126"/>
      <c r="AO54" s="133"/>
      <c r="AP54" s="133"/>
      <c r="AQ54" s="133"/>
      <c r="AR54" s="134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3A0EE-EFC5-448E-92C8-164A0C5253E9}">
  <dimension ref="B1:BF548"/>
  <sheetViews>
    <sheetView zoomScaleNormal="100" workbookViewId="0">
      <selection activeCell="B19" sqref="B19:L24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  <col min="16184" max="16384" width="9" style="6"/>
  </cols>
  <sheetData>
    <row r="1" spans="2:58" ht="17.5" customHeight="1" thickBot="1" x14ac:dyDescent="0.3">
      <c r="B1" s="150" t="s">
        <v>230</v>
      </c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1"/>
      <c r="AE1" s="151"/>
      <c r="AF1" s="151"/>
      <c r="AG1" s="151"/>
      <c r="AH1" s="151"/>
      <c r="AI1" s="151"/>
      <c r="AJ1" s="151"/>
      <c r="AK1" s="151"/>
      <c r="AL1" s="151"/>
      <c r="AM1" s="151"/>
      <c r="AN1" s="151"/>
      <c r="AO1" s="151"/>
      <c r="AP1" s="151"/>
      <c r="AQ1" s="151"/>
      <c r="AR1" s="151"/>
      <c r="AS1" s="151"/>
      <c r="AT1" s="151"/>
      <c r="AU1" s="151"/>
      <c r="AV1" s="151"/>
      <c r="AW1" s="151"/>
      <c r="AX1" s="151"/>
      <c r="AY1" s="151"/>
      <c r="AZ1" s="151"/>
      <c r="BA1" s="151"/>
      <c r="BB1" s="151"/>
      <c r="BC1" s="151"/>
      <c r="BD1" s="151"/>
      <c r="BE1" s="151"/>
      <c r="BF1" s="151"/>
    </row>
    <row r="2" spans="2:58" ht="13" customHeight="1" x14ac:dyDescent="0.25">
      <c r="B2" s="197" t="s">
        <v>232</v>
      </c>
      <c r="C2" s="160"/>
      <c r="D2" s="160"/>
      <c r="E2" s="160"/>
      <c r="F2" s="160"/>
      <c r="G2" s="160"/>
      <c r="H2" s="160"/>
      <c r="I2" s="160"/>
      <c r="J2" s="160"/>
      <c r="K2" s="160"/>
      <c r="L2" s="165"/>
      <c r="M2" s="198" t="s">
        <v>231</v>
      </c>
      <c r="N2" s="160"/>
      <c r="O2" s="160"/>
      <c r="P2" s="160"/>
      <c r="Q2" s="160"/>
      <c r="R2" s="160"/>
      <c r="S2" s="160"/>
      <c r="T2" s="160"/>
      <c r="U2" s="160"/>
      <c r="V2" s="160"/>
      <c r="W2" s="165"/>
      <c r="X2" s="110" t="s">
        <v>233</v>
      </c>
      <c r="Y2" s="160"/>
      <c r="Z2" s="160"/>
      <c r="AA2" s="160"/>
      <c r="AB2" s="160"/>
      <c r="AC2" s="160"/>
      <c r="AD2" s="160"/>
      <c r="AE2" s="160"/>
      <c r="AF2" s="160"/>
      <c r="AG2" s="160"/>
      <c r="AH2" s="165"/>
      <c r="AI2" s="198" t="s">
        <v>234</v>
      </c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5"/>
      <c r="AU2" s="110" t="s">
        <v>235</v>
      </c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99"/>
    </row>
    <row r="3" spans="2:58" ht="13" customHeight="1" x14ac:dyDescent="0.25">
      <c r="B3" s="201"/>
      <c r="C3" s="185"/>
      <c r="D3" s="185"/>
      <c r="E3" s="185"/>
      <c r="F3" s="185"/>
      <c r="G3" s="185"/>
      <c r="H3" s="185"/>
      <c r="I3" s="185"/>
      <c r="J3" s="185"/>
      <c r="K3" s="185"/>
      <c r="L3" s="186"/>
      <c r="M3" s="204"/>
      <c r="N3" s="185"/>
      <c r="O3" s="185"/>
      <c r="P3" s="185"/>
      <c r="Q3" s="185"/>
      <c r="R3" s="185"/>
      <c r="S3" s="185"/>
      <c r="T3" s="185"/>
      <c r="U3" s="185"/>
      <c r="V3" s="185"/>
      <c r="W3" s="186"/>
      <c r="X3" s="192"/>
      <c r="Y3" s="185"/>
      <c r="Z3" s="185"/>
      <c r="AA3" s="185"/>
      <c r="AB3" s="185"/>
      <c r="AC3" s="185"/>
      <c r="AD3" s="185"/>
      <c r="AE3" s="185"/>
      <c r="AF3" s="185"/>
      <c r="AG3" s="185"/>
      <c r="AH3" s="186"/>
      <c r="AI3" s="214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6"/>
      <c r="AU3" s="192"/>
      <c r="AV3" s="185"/>
      <c r="AW3" s="185"/>
      <c r="AX3" s="185"/>
      <c r="AY3" s="185"/>
      <c r="AZ3" s="185"/>
      <c r="BA3" s="185"/>
      <c r="BB3" s="185"/>
      <c r="BC3" s="185"/>
      <c r="BD3" s="185"/>
      <c r="BE3" s="185"/>
      <c r="BF3" s="194"/>
    </row>
    <row r="4" spans="2:58" ht="13" customHeight="1" x14ac:dyDescent="0.25">
      <c r="B4" s="202"/>
      <c r="C4" s="188"/>
      <c r="D4" s="188"/>
      <c r="E4" s="188"/>
      <c r="F4" s="188"/>
      <c r="G4" s="188"/>
      <c r="H4" s="188"/>
      <c r="I4" s="188"/>
      <c r="J4" s="188"/>
      <c r="K4" s="188"/>
      <c r="L4" s="189"/>
      <c r="M4" s="187"/>
      <c r="N4" s="188"/>
      <c r="O4" s="188"/>
      <c r="P4" s="188"/>
      <c r="Q4" s="188"/>
      <c r="R4" s="188"/>
      <c r="S4" s="188"/>
      <c r="T4" s="188"/>
      <c r="U4" s="188"/>
      <c r="V4" s="188"/>
      <c r="W4" s="189"/>
      <c r="X4" s="187"/>
      <c r="Y4" s="188"/>
      <c r="Z4" s="188"/>
      <c r="AA4" s="188"/>
      <c r="AB4" s="188"/>
      <c r="AC4" s="188"/>
      <c r="AD4" s="188"/>
      <c r="AE4" s="188"/>
      <c r="AF4" s="188"/>
      <c r="AG4" s="188"/>
      <c r="AH4" s="189"/>
      <c r="AI4" s="187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9"/>
      <c r="AU4" s="187"/>
      <c r="AV4" s="188"/>
      <c r="AW4" s="188"/>
      <c r="AX4" s="188"/>
      <c r="AY4" s="188"/>
      <c r="AZ4" s="188"/>
      <c r="BA4" s="188"/>
      <c r="BB4" s="188"/>
      <c r="BC4" s="188"/>
      <c r="BD4" s="188"/>
      <c r="BE4" s="188"/>
      <c r="BF4" s="195"/>
    </row>
    <row r="5" spans="2:58" ht="13" customHeight="1" x14ac:dyDescent="0.25">
      <c r="B5" s="202"/>
      <c r="C5" s="188"/>
      <c r="D5" s="188"/>
      <c r="E5" s="188"/>
      <c r="F5" s="188"/>
      <c r="G5" s="188"/>
      <c r="H5" s="188"/>
      <c r="I5" s="188"/>
      <c r="J5" s="188"/>
      <c r="K5" s="188"/>
      <c r="L5" s="189"/>
      <c r="M5" s="187"/>
      <c r="N5" s="188"/>
      <c r="O5" s="188"/>
      <c r="P5" s="188"/>
      <c r="Q5" s="188"/>
      <c r="R5" s="188"/>
      <c r="S5" s="188"/>
      <c r="T5" s="188"/>
      <c r="U5" s="188"/>
      <c r="V5" s="188"/>
      <c r="W5" s="189"/>
      <c r="X5" s="187"/>
      <c r="Y5" s="188"/>
      <c r="Z5" s="188"/>
      <c r="AA5" s="188"/>
      <c r="AB5" s="188"/>
      <c r="AC5" s="188"/>
      <c r="AD5" s="188"/>
      <c r="AE5" s="188"/>
      <c r="AF5" s="188"/>
      <c r="AG5" s="188"/>
      <c r="AH5" s="189"/>
      <c r="AI5" s="187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9"/>
      <c r="AU5" s="187"/>
      <c r="AV5" s="188"/>
      <c r="AW5" s="188"/>
      <c r="AX5" s="188"/>
      <c r="AY5" s="188"/>
      <c r="AZ5" s="188"/>
      <c r="BA5" s="188"/>
      <c r="BB5" s="188"/>
      <c r="BC5" s="188"/>
      <c r="BD5" s="188"/>
      <c r="BE5" s="188"/>
      <c r="BF5" s="195"/>
    </row>
    <row r="6" spans="2:58" ht="13" customHeight="1" x14ac:dyDescent="0.25">
      <c r="B6" s="202"/>
      <c r="C6" s="188"/>
      <c r="D6" s="188"/>
      <c r="E6" s="188"/>
      <c r="F6" s="188"/>
      <c r="G6" s="188"/>
      <c r="H6" s="188"/>
      <c r="I6" s="188"/>
      <c r="J6" s="188"/>
      <c r="K6" s="188"/>
      <c r="L6" s="189"/>
      <c r="M6" s="187"/>
      <c r="N6" s="188"/>
      <c r="O6" s="188"/>
      <c r="P6" s="188"/>
      <c r="Q6" s="188"/>
      <c r="R6" s="188"/>
      <c r="S6" s="188"/>
      <c r="T6" s="188"/>
      <c r="U6" s="188"/>
      <c r="V6" s="188"/>
      <c r="W6" s="189"/>
      <c r="X6" s="187"/>
      <c r="Y6" s="188"/>
      <c r="Z6" s="188"/>
      <c r="AA6" s="188"/>
      <c r="AB6" s="188"/>
      <c r="AC6" s="188"/>
      <c r="AD6" s="188"/>
      <c r="AE6" s="188"/>
      <c r="AF6" s="188"/>
      <c r="AG6" s="188"/>
      <c r="AH6" s="189"/>
      <c r="AI6" s="187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9"/>
      <c r="AU6" s="187"/>
      <c r="AV6" s="188"/>
      <c r="AW6" s="188"/>
      <c r="AX6" s="188"/>
      <c r="AY6" s="188"/>
      <c r="AZ6" s="188"/>
      <c r="BA6" s="188"/>
      <c r="BB6" s="188"/>
      <c r="BC6" s="188"/>
      <c r="BD6" s="188"/>
      <c r="BE6" s="188"/>
      <c r="BF6" s="195"/>
    </row>
    <row r="7" spans="2:58" ht="13" customHeight="1" x14ac:dyDescent="0.25">
      <c r="B7" s="202"/>
      <c r="C7" s="188"/>
      <c r="D7" s="188"/>
      <c r="E7" s="188"/>
      <c r="F7" s="188"/>
      <c r="G7" s="188"/>
      <c r="H7" s="188"/>
      <c r="I7" s="188"/>
      <c r="J7" s="188"/>
      <c r="K7" s="188"/>
      <c r="L7" s="189"/>
      <c r="M7" s="187"/>
      <c r="N7" s="188"/>
      <c r="O7" s="188"/>
      <c r="P7" s="188"/>
      <c r="Q7" s="188"/>
      <c r="R7" s="188"/>
      <c r="S7" s="188"/>
      <c r="T7" s="188"/>
      <c r="U7" s="188"/>
      <c r="V7" s="188"/>
      <c r="W7" s="189"/>
      <c r="X7" s="187"/>
      <c r="Y7" s="188"/>
      <c r="Z7" s="188"/>
      <c r="AA7" s="188"/>
      <c r="AB7" s="188"/>
      <c r="AC7" s="188"/>
      <c r="AD7" s="188"/>
      <c r="AE7" s="188"/>
      <c r="AF7" s="188"/>
      <c r="AG7" s="188"/>
      <c r="AH7" s="189"/>
      <c r="AI7" s="187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9"/>
      <c r="AU7" s="187"/>
      <c r="AV7" s="188"/>
      <c r="AW7" s="188"/>
      <c r="AX7" s="188"/>
      <c r="AY7" s="188"/>
      <c r="AZ7" s="188"/>
      <c r="BA7" s="188"/>
      <c r="BB7" s="188"/>
      <c r="BC7" s="188"/>
      <c r="BD7" s="188"/>
      <c r="BE7" s="188"/>
      <c r="BF7" s="195"/>
    </row>
    <row r="8" spans="2:58" ht="13" customHeight="1" x14ac:dyDescent="0.25">
      <c r="B8" s="202"/>
      <c r="C8" s="188"/>
      <c r="D8" s="188"/>
      <c r="E8" s="188"/>
      <c r="F8" s="188"/>
      <c r="G8" s="188"/>
      <c r="H8" s="188"/>
      <c r="I8" s="188"/>
      <c r="J8" s="188"/>
      <c r="K8" s="188"/>
      <c r="L8" s="189"/>
      <c r="M8" s="187"/>
      <c r="N8" s="188"/>
      <c r="O8" s="188"/>
      <c r="P8" s="188"/>
      <c r="Q8" s="188"/>
      <c r="R8" s="188"/>
      <c r="S8" s="188"/>
      <c r="T8" s="188"/>
      <c r="U8" s="188"/>
      <c r="V8" s="188"/>
      <c r="W8" s="189"/>
      <c r="X8" s="187"/>
      <c r="Y8" s="188"/>
      <c r="Z8" s="188"/>
      <c r="AA8" s="188"/>
      <c r="AB8" s="188"/>
      <c r="AC8" s="188"/>
      <c r="AD8" s="188"/>
      <c r="AE8" s="188"/>
      <c r="AF8" s="188"/>
      <c r="AG8" s="188"/>
      <c r="AH8" s="189"/>
      <c r="AI8" s="187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9"/>
      <c r="AU8" s="187"/>
      <c r="AV8" s="188"/>
      <c r="AW8" s="188"/>
      <c r="AX8" s="188"/>
      <c r="AY8" s="188"/>
      <c r="AZ8" s="188"/>
      <c r="BA8" s="188"/>
      <c r="BB8" s="188"/>
      <c r="BC8" s="188"/>
      <c r="BD8" s="188"/>
      <c r="BE8" s="188"/>
      <c r="BF8" s="195"/>
    </row>
    <row r="9" spans="2:58" ht="13" customHeight="1" x14ac:dyDescent="0.25">
      <c r="B9" s="203"/>
      <c r="C9" s="191"/>
      <c r="D9" s="191"/>
      <c r="E9" s="191"/>
      <c r="F9" s="191"/>
      <c r="G9" s="191"/>
      <c r="H9" s="191"/>
      <c r="I9" s="191"/>
      <c r="J9" s="191"/>
      <c r="K9" s="191"/>
      <c r="L9" s="148"/>
      <c r="M9" s="190"/>
      <c r="N9" s="191"/>
      <c r="O9" s="191"/>
      <c r="P9" s="191"/>
      <c r="Q9" s="191"/>
      <c r="R9" s="191"/>
      <c r="S9" s="191"/>
      <c r="T9" s="191"/>
      <c r="U9" s="191"/>
      <c r="V9" s="191"/>
      <c r="W9" s="148"/>
      <c r="X9" s="190"/>
      <c r="Y9" s="191"/>
      <c r="Z9" s="191"/>
      <c r="AA9" s="191"/>
      <c r="AB9" s="191"/>
      <c r="AC9" s="191"/>
      <c r="AD9" s="191"/>
      <c r="AE9" s="191"/>
      <c r="AF9" s="191"/>
      <c r="AG9" s="191"/>
      <c r="AH9" s="148"/>
      <c r="AI9" s="190"/>
      <c r="AJ9" s="191"/>
      <c r="AK9" s="191"/>
      <c r="AL9" s="191"/>
      <c r="AM9" s="191"/>
      <c r="AN9" s="191"/>
      <c r="AO9" s="191"/>
      <c r="AP9" s="191"/>
      <c r="AQ9" s="191"/>
      <c r="AR9" s="191"/>
      <c r="AS9" s="191"/>
      <c r="AT9" s="148"/>
      <c r="AU9" s="190"/>
      <c r="AV9" s="191"/>
      <c r="AW9" s="191"/>
      <c r="AX9" s="191"/>
      <c r="AY9" s="191"/>
      <c r="AZ9" s="191"/>
      <c r="BA9" s="191"/>
      <c r="BB9" s="191"/>
      <c r="BC9" s="191"/>
      <c r="BD9" s="191"/>
      <c r="BE9" s="191"/>
      <c r="BF9" s="196"/>
    </row>
    <row r="10" spans="2:58" ht="13" customHeight="1" x14ac:dyDescent="0.25">
      <c r="B10" s="180" t="s">
        <v>236</v>
      </c>
      <c r="C10" s="178"/>
      <c r="D10" s="178"/>
      <c r="E10" s="178"/>
      <c r="F10" s="178"/>
      <c r="G10" s="178"/>
      <c r="H10" s="178"/>
      <c r="I10" s="178"/>
      <c r="J10" s="178"/>
      <c r="K10" s="178"/>
      <c r="L10" s="149"/>
      <c r="M10" s="200" t="s">
        <v>237</v>
      </c>
      <c r="N10" s="178"/>
      <c r="O10" s="178"/>
      <c r="P10" s="178"/>
      <c r="Q10" s="178"/>
      <c r="R10" s="178"/>
      <c r="S10" s="178"/>
      <c r="T10" s="178"/>
      <c r="U10" s="178"/>
      <c r="V10" s="178"/>
      <c r="W10" s="149"/>
      <c r="X10" s="155" t="s">
        <v>238</v>
      </c>
      <c r="Y10" s="178"/>
      <c r="Z10" s="178"/>
      <c r="AA10" s="178"/>
      <c r="AB10" s="178"/>
      <c r="AC10" s="178"/>
      <c r="AD10" s="178"/>
      <c r="AE10" s="178"/>
      <c r="AF10" s="178"/>
      <c r="AG10" s="178"/>
      <c r="AH10" s="149"/>
      <c r="AI10" s="155" t="s">
        <v>239</v>
      </c>
      <c r="AJ10" s="178"/>
      <c r="AK10" s="178"/>
      <c r="AL10" s="178"/>
      <c r="AM10" s="178"/>
      <c r="AN10" s="178"/>
      <c r="AO10" s="178"/>
      <c r="AP10" s="178"/>
      <c r="AQ10" s="178"/>
      <c r="AR10" s="178"/>
      <c r="AS10" s="178"/>
      <c r="AT10" s="149"/>
      <c r="AU10" s="131" t="s">
        <v>240</v>
      </c>
      <c r="AV10" s="178"/>
      <c r="AW10" s="178"/>
      <c r="AX10" s="178"/>
      <c r="AY10" s="178"/>
      <c r="AZ10" s="178"/>
      <c r="BA10" s="178"/>
      <c r="BB10" s="178"/>
      <c r="BC10" s="178"/>
      <c r="BD10" s="178"/>
      <c r="BE10" s="178"/>
      <c r="BF10" s="182"/>
    </row>
    <row r="11" spans="2:58" ht="13" customHeight="1" x14ac:dyDescent="0.25">
      <c r="B11" s="201"/>
      <c r="C11" s="185"/>
      <c r="D11" s="185"/>
      <c r="E11" s="185"/>
      <c r="F11" s="185"/>
      <c r="G11" s="185"/>
      <c r="H11" s="185"/>
      <c r="I11" s="185"/>
      <c r="J11" s="185"/>
      <c r="K11" s="185"/>
      <c r="L11" s="186"/>
      <c r="M11" s="204"/>
      <c r="N11" s="185"/>
      <c r="O11" s="185"/>
      <c r="P11" s="185"/>
      <c r="Q11" s="185"/>
      <c r="R11" s="185"/>
      <c r="S11" s="185"/>
      <c r="T11" s="185"/>
      <c r="U11" s="185"/>
      <c r="V11" s="185"/>
      <c r="W11" s="186"/>
      <c r="X11" s="204"/>
      <c r="Y11" s="185"/>
      <c r="Z11" s="185"/>
      <c r="AA11" s="185"/>
      <c r="AB11" s="185"/>
      <c r="AC11" s="185"/>
      <c r="AD11" s="185"/>
      <c r="AE11" s="185"/>
      <c r="AF11" s="185"/>
      <c r="AG11" s="185"/>
      <c r="AH11" s="186"/>
      <c r="AI11" s="204"/>
      <c r="AJ11" s="185"/>
      <c r="AK11" s="185"/>
      <c r="AL11" s="185"/>
      <c r="AM11" s="185"/>
      <c r="AN11" s="185"/>
      <c r="AO11" s="185"/>
      <c r="AP11" s="185"/>
      <c r="AQ11" s="185"/>
      <c r="AR11" s="185"/>
      <c r="AS11" s="185"/>
      <c r="AT11" s="186"/>
      <c r="AU11" s="193"/>
      <c r="AV11" s="185"/>
      <c r="AW11" s="185"/>
      <c r="AX11" s="185"/>
      <c r="AY11" s="185"/>
      <c r="AZ11" s="185"/>
      <c r="BA11" s="185"/>
      <c r="BB11" s="185"/>
      <c r="BC11" s="185"/>
      <c r="BD11" s="185"/>
      <c r="BE11" s="185"/>
      <c r="BF11" s="194"/>
    </row>
    <row r="12" spans="2:58" ht="13" customHeight="1" x14ac:dyDescent="0.25">
      <c r="B12" s="202"/>
      <c r="C12" s="188"/>
      <c r="D12" s="188"/>
      <c r="E12" s="188"/>
      <c r="F12" s="188"/>
      <c r="G12" s="188"/>
      <c r="H12" s="188"/>
      <c r="I12" s="188"/>
      <c r="J12" s="188"/>
      <c r="K12" s="188"/>
      <c r="L12" s="189"/>
      <c r="M12" s="187"/>
      <c r="N12" s="188"/>
      <c r="O12" s="188"/>
      <c r="P12" s="188"/>
      <c r="Q12" s="188"/>
      <c r="R12" s="188"/>
      <c r="S12" s="188"/>
      <c r="T12" s="188"/>
      <c r="U12" s="188"/>
      <c r="V12" s="188"/>
      <c r="W12" s="189"/>
      <c r="X12" s="187"/>
      <c r="Y12" s="188"/>
      <c r="Z12" s="188"/>
      <c r="AA12" s="188"/>
      <c r="AB12" s="188"/>
      <c r="AC12" s="188"/>
      <c r="AD12" s="188"/>
      <c r="AE12" s="188"/>
      <c r="AF12" s="188"/>
      <c r="AG12" s="188"/>
      <c r="AH12" s="189"/>
      <c r="AI12" s="187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9"/>
      <c r="AU12" s="187"/>
      <c r="AV12" s="188"/>
      <c r="AW12" s="188"/>
      <c r="AX12" s="188"/>
      <c r="AY12" s="188"/>
      <c r="AZ12" s="188"/>
      <c r="BA12" s="188"/>
      <c r="BB12" s="188"/>
      <c r="BC12" s="188"/>
      <c r="BD12" s="188"/>
      <c r="BE12" s="188"/>
      <c r="BF12" s="195"/>
    </row>
    <row r="13" spans="2:58" ht="13" customHeight="1" x14ac:dyDescent="0.25">
      <c r="B13" s="202"/>
      <c r="C13" s="188"/>
      <c r="D13" s="188"/>
      <c r="E13" s="188"/>
      <c r="F13" s="188"/>
      <c r="G13" s="188"/>
      <c r="H13" s="188"/>
      <c r="I13" s="188"/>
      <c r="J13" s="188"/>
      <c r="K13" s="188"/>
      <c r="L13" s="189"/>
      <c r="M13" s="187"/>
      <c r="N13" s="188"/>
      <c r="O13" s="188"/>
      <c r="P13" s="188"/>
      <c r="Q13" s="188"/>
      <c r="R13" s="188"/>
      <c r="S13" s="188"/>
      <c r="T13" s="188"/>
      <c r="U13" s="188"/>
      <c r="V13" s="188"/>
      <c r="W13" s="189"/>
      <c r="X13" s="187"/>
      <c r="Y13" s="188"/>
      <c r="Z13" s="188"/>
      <c r="AA13" s="188"/>
      <c r="AB13" s="188"/>
      <c r="AC13" s="188"/>
      <c r="AD13" s="188"/>
      <c r="AE13" s="188"/>
      <c r="AF13" s="188"/>
      <c r="AG13" s="188"/>
      <c r="AH13" s="189"/>
      <c r="AI13" s="187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9"/>
      <c r="AU13" s="187"/>
      <c r="AV13" s="188"/>
      <c r="AW13" s="188"/>
      <c r="AX13" s="188"/>
      <c r="AY13" s="188"/>
      <c r="AZ13" s="188"/>
      <c r="BA13" s="188"/>
      <c r="BB13" s="188"/>
      <c r="BC13" s="188"/>
      <c r="BD13" s="188"/>
      <c r="BE13" s="188"/>
      <c r="BF13" s="195"/>
    </row>
    <row r="14" spans="2:58" ht="13" customHeight="1" x14ac:dyDescent="0.25">
      <c r="B14" s="202"/>
      <c r="C14" s="188"/>
      <c r="D14" s="188"/>
      <c r="E14" s="188"/>
      <c r="F14" s="188"/>
      <c r="G14" s="188"/>
      <c r="H14" s="188"/>
      <c r="I14" s="188"/>
      <c r="J14" s="188"/>
      <c r="K14" s="188"/>
      <c r="L14" s="189"/>
      <c r="M14" s="187"/>
      <c r="N14" s="188"/>
      <c r="O14" s="188"/>
      <c r="P14" s="188"/>
      <c r="Q14" s="188"/>
      <c r="R14" s="188"/>
      <c r="S14" s="188"/>
      <c r="T14" s="188"/>
      <c r="U14" s="188"/>
      <c r="V14" s="188"/>
      <c r="W14" s="189"/>
      <c r="X14" s="187"/>
      <c r="Y14" s="188"/>
      <c r="Z14" s="188"/>
      <c r="AA14" s="188"/>
      <c r="AB14" s="188"/>
      <c r="AC14" s="188"/>
      <c r="AD14" s="188"/>
      <c r="AE14" s="188"/>
      <c r="AF14" s="188"/>
      <c r="AG14" s="188"/>
      <c r="AH14" s="189"/>
      <c r="AI14" s="187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9"/>
      <c r="AU14" s="187"/>
      <c r="AV14" s="188"/>
      <c r="AW14" s="188"/>
      <c r="AX14" s="188"/>
      <c r="AY14" s="188"/>
      <c r="AZ14" s="188"/>
      <c r="BA14" s="188"/>
      <c r="BB14" s="188"/>
      <c r="BC14" s="188"/>
      <c r="BD14" s="188"/>
      <c r="BE14" s="188"/>
      <c r="BF14" s="195"/>
    </row>
    <row r="15" spans="2:58" ht="13" customHeight="1" x14ac:dyDescent="0.25">
      <c r="B15" s="202"/>
      <c r="C15" s="188"/>
      <c r="D15" s="188"/>
      <c r="E15" s="188"/>
      <c r="F15" s="188"/>
      <c r="G15" s="188"/>
      <c r="H15" s="188"/>
      <c r="I15" s="188"/>
      <c r="J15" s="188"/>
      <c r="K15" s="188"/>
      <c r="L15" s="189"/>
      <c r="M15" s="187"/>
      <c r="N15" s="188"/>
      <c r="O15" s="188"/>
      <c r="P15" s="188"/>
      <c r="Q15" s="188"/>
      <c r="R15" s="188"/>
      <c r="S15" s="188"/>
      <c r="T15" s="188"/>
      <c r="U15" s="188"/>
      <c r="V15" s="188"/>
      <c r="W15" s="189"/>
      <c r="X15" s="187"/>
      <c r="Y15" s="188"/>
      <c r="Z15" s="188"/>
      <c r="AA15" s="188"/>
      <c r="AB15" s="188"/>
      <c r="AC15" s="188"/>
      <c r="AD15" s="188"/>
      <c r="AE15" s="188"/>
      <c r="AF15" s="188"/>
      <c r="AG15" s="188"/>
      <c r="AH15" s="189"/>
      <c r="AI15" s="187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9"/>
      <c r="AU15" s="187"/>
      <c r="AV15" s="188"/>
      <c r="AW15" s="188"/>
      <c r="AX15" s="188"/>
      <c r="AY15" s="188"/>
      <c r="AZ15" s="188"/>
      <c r="BA15" s="188"/>
      <c r="BB15" s="188"/>
      <c r="BC15" s="188"/>
      <c r="BD15" s="188"/>
      <c r="BE15" s="188"/>
      <c r="BF15" s="195"/>
    </row>
    <row r="16" spans="2:58" ht="13" customHeight="1" x14ac:dyDescent="0.25">
      <c r="B16" s="202"/>
      <c r="C16" s="188"/>
      <c r="D16" s="188"/>
      <c r="E16" s="188"/>
      <c r="F16" s="188"/>
      <c r="G16" s="188"/>
      <c r="H16" s="188"/>
      <c r="I16" s="188"/>
      <c r="J16" s="188"/>
      <c r="K16" s="188"/>
      <c r="L16" s="189"/>
      <c r="M16" s="187"/>
      <c r="N16" s="188"/>
      <c r="O16" s="188"/>
      <c r="P16" s="188"/>
      <c r="Q16" s="188"/>
      <c r="R16" s="188"/>
      <c r="S16" s="188"/>
      <c r="T16" s="188"/>
      <c r="U16" s="188"/>
      <c r="V16" s="188"/>
      <c r="W16" s="189"/>
      <c r="X16" s="187"/>
      <c r="Y16" s="188"/>
      <c r="Z16" s="188"/>
      <c r="AA16" s="188"/>
      <c r="AB16" s="188"/>
      <c r="AC16" s="188"/>
      <c r="AD16" s="188"/>
      <c r="AE16" s="188"/>
      <c r="AF16" s="188"/>
      <c r="AG16" s="188"/>
      <c r="AH16" s="189"/>
      <c r="AI16" s="187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9"/>
      <c r="AU16" s="187"/>
      <c r="AV16" s="188"/>
      <c r="AW16" s="188"/>
      <c r="AX16" s="188"/>
      <c r="AY16" s="188"/>
      <c r="AZ16" s="188"/>
      <c r="BA16" s="188"/>
      <c r="BB16" s="188"/>
      <c r="BC16" s="188"/>
      <c r="BD16" s="188"/>
      <c r="BE16" s="188"/>
      <c r="BF16" s="195"/>
    </row>
    <row r="17" spans="2:58" ht="13" customHeight="1" x14ac:dyDescent="0.25">
      <c r="B17" s="203"/>
      <c r="C17" s="191"/>
      <c r="D17" s="191"/>
      <c r="E17" s="191"/>
      <c r="F17" s="191"/>
      <c r="G17" s="191"/>
      <c r="H17" s="191"/>
      <c r="I17" s="191"/>
      <c r="J17" s="191"/>
      <c r="K17" s="191"/>
      <c r="L17" s="148"/>
      <c r="M17" s="190"/>
      <c r="N17" s="191"/>
      <c r="O17" s="191"/>
      <c r="P17" s="191"/>
      <c r="Q17" s="191"/>
      <c r="R17" s="191"/>
      <c r="S17" s="191"/>
      <c r="T17" s="191"/>
      <c r="U17" s="191"/>
      <c r="V17" s="191"/>
      <c r="W17" s="148"/>
      <c r="X17" s="190"/>
      <c r="Y17" s="191"/>
      <c r="Z17" s="191"/>
      <c r="AA17" s="191"/>
      <c r="AB17" s="191"/>
      <c r="AC17" s="191"/>
      <c r="AD17" s="191"/>
      <c r="AE17" s="191"/>
      <c r="AF17" s="191"/>
      <c r="AG17" s="191"/>
      <c r="AH17" s="148"/>
      <c r="AI17" s="190"/>
      <c r="AJ17" s="191"/>
      <c r="AK17" s="191"/>
      <c r="AL17" s="191"/>
      <c r="AM17" s="191"/>
      <c r="AN17" s="191"/>
      <c r="AO17" s="191"/>
      <c r="AP17" s="191"/>
      <c r="AQ17" s="191"/>
      <c r="AR17" s="191"/>
      <c r="AS17" s="191"/>
      <c r="AT17" s="148"/>
      <c r="AU17" s="190"/>
      <c r="AV17" s="191"/>
      <c r="AW17" s="191"/>
      <c r="AX17" s="191"/>
      <c r="AY17" s="191"/>
      <c r="AZ17" s="191"/>
      <c r="BA17" s="191"/>
      <c r="BB17" s="191"/>
      <c r="BC17" s="191"/>
      <c r="BD17" s="191"/>
      <c r="BE17" s="191"/>
      <c r="BF17" s="196"/>
    </row>
    <row r="18" spans="2:58" ht="13" customHeight="1" x14ac:dyDescent="0.25">
      <c r="B18" s="180" t="s">
        <v>241</v>
      </c>
      <c r="C18" s="178"/>
      <c r="D18" s="178"/>
      <c r="E18" s="178"/>
      <c r="F18" s="178"/>
      <c r="G18" s="178"/>
      <c r="H18" s="178"/>
      <c r="I18" s="178"/>
      <c r="J18" s="178"/>
      <c r="K18" s="178"/>
      <c r="L18" s="178"/>
      <c r="M18" s="213" t="s">
        <v>242</v>
      </c>
      <c r="N18" s="178"/>
      <c r="O18" s="178"/>
      <c r="P18" s="178"/>
      <c r="Q18" s="178"/>
      <c r="R18" s="178"/>
      <c r="S18" s="178"/>
      <c r="T18" s="178"/>
      <c r="U18" s="178"/>
      <c r="V18" s="178"/>
      <c r="W18" s="149"/>
      <c r="X18" s="212" t="s">
        <v>243</v>
      </c>
      <c r="Y18" s="178"/>
      <c r="Z18" s="178"/>
      <c r="AA18" s="178"/>
      <c r="AB18" s="178"/>
      <c r="AC18" s="178"/>
      <c r="AD18" s="178"/>
      <c r="AE18" s="178"/>
      <c r="AF18" s="178"/>
      <c r="AG18" s="178"/>
      <c r="AH18" s="149"/>
      <c r="AI18" s="117" t="s">
        <v>244</v>
      </c>
      <c r="AJ18" s="178"/>
      <c r="AK18" s="178"/>
      <c r="AL18" s="178"/>
      <c r="AM18" s="178"/>
      <c r="AN18" s="178"/>
      <c r="AO18" s="178"/>
      <c r="AP18" s="178"/>
      <c r="AQ18" s="178"/>
      <c r="AR18" s="178"/>
      <c r="AS18" s="178"/>
      <c r="AT18" s="149"/>
      <c r="AU18" s="131" t="s">
        <v>245</v>
      </c>
      <c r="AV18" s="178"/>
      <c r="AW18" s="178"/>
      <c r="AX18" s="178"/>
      <c r="AY18" s="178"/>
      <c r="AZ18" s="178"/>
      <c r="BA18" s="178"/>
      <c r="BB18" s="178"/>
      <c r="BC18" s="178"/>
      <c r="BD18" s="178"/>
      <c r="BE18" s="178"/>
      <c r="BF18" s="182"/>
    </row>
    <row r="19" spans="2:58" ht="13" customHeight="1" x14ac:dyDescent="0.25">
      <c r="B19" s="201"/>
      <c r="C19" s="185"/>
      <c r="D19" s="185"/>
      <c r="E19" s="185"/>
      <c r="F19" s="185"/>
      <c r="G19" s="185"/>
      <c r="H19" s="185"/>
      <c r="I19" s="185"/>
      <c r="J19" s="185"/>
      <c r="K19" s="185"/>
      <c r="L19" s="186"/>
      <c r="M19" s="215"/>
      <c r="N19" s="185"/>
      <c r="O19" s="185"/>
      <c r="P19" s="185"/>
      <c r="Q19" s="185"/>
      <c r="R19" s="185"/>
      <c r="S19" s="185"/>
      <c r="T19" s="185"/>
      <c r="U19" s="185"/>
      <c r="V19" s="185"/>
      <c r="W19" s="186"/>
      <c r="X19" s="184"/>
      <c r="Y19" s="185"/>
      <c r="Z19" s="185"/>
      <c r="AA19" s="185"/>
      <c r="AB19" s="185"/>
      <c r="AC19" s="185"/>
      <c r="AD19" s="185"/>
      <c r="AE19" s="185"/>
      <c r="AF19" s="185"/>
      <c r="AG19" s="185"/>
      <c r="AH19" s="186"/>
      <c r="AI19" s="192"/>
      <c r="AJ19" s="185"/>
      <c r="AK19" s="185"/>
      <c r="AL19" s="185"/>
      <c r="AM19" s="185"/>
      <c r="AN19" s="185"/>
      <c r="AO19" s="185"/>
      <c r="AP19" s="185"/>
      <c r="AQ19" s="185"/>
      <c r="AR19" s="185"/>
      <c r="AS19" s="185"/>
      <c r="AT19" s="186"/>
      <c r="AU19" s="193"/>
      <c r="AV19" s="185"/>
      <c r="AW19" s="185"/>
      <c r="AX19" s="185"/>
      <c r="AY19" s="185"/>
      <c r="AZ19" s="185"/>
      <c r="BA19" s="185"/>
      <c r="BB19" s="185"/>
      <c r="BC19" s="185"/>
      <c r="BD19" s="185"/>
      <c r="BE19" s="185"/>
      <c r="BF19" s="194"/>
    </row>
    <row r="20" spans="2:58" ht="13" customHeight="1" x14ac:dyDescent="0.25">
      <c r="B20" s="202"/>
      <c r="C20" s="188"/>
      <c r="D20" s="188"/>
      <c r="E20" s="188"/>
      <c r="F20" s="188"/>
      <c r="G20" s="188"/>
      <c r="H20" s="188"/>
      <c r="I20" s="188"/>
      <c r="J20" s="188"/>
      <c r="K20" s="188"/>
      <c r="L20" s="189"/>
      <c r="M20" s="187"/>
      <c r="N20" s="188"/>
      <c r="O20" s="188"/>
      <c r="P20" s="188"/>
      <c r="Q20" s="188"/>
      <c r="R20" s="188"/>
      <c r="S20" s="188"/>
      <c r="T20" s="188"/>
      <c r="U20" s="188"/>
      <c r="V20" s="188"/>
      <c r="W20" s="189"/>
      <c r="X20" s="187"/>
      <c r="Y20" s="188"/>
      <c r="Z20" s="188"/>
      <c r="AA20" s="188"/>
      <c r="AB20" s="188"/>
      <c r="AC20" s="188"/>
      <c r="AD20" s="188"/>
      <c r="AE20" s="188"/>
      <c r="AF20" s="188"/>
      <c r="AG20" s="188"/>
      <c r="AH20" s="189"/>
      <c r="AI20" s="187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9"/>
      <c r="AU20" s="187"/>
      <c r="AV20" s="188"/>
      <c r="AW20" s="188"/>
      <c r="AX20" s="188"/>
      <c r="AY20" s="188"/>
      <c r="AZ20" s="188"/>
      <c r="BA20" s="188"/>
      <c r="BB20" s="188"/>
      <c r="BC20" s="188"/>
      <c r="BD20" s="188"/>
      <c r="BE20" s="188"/>
      <c r="BF20" s="195"/>
    </row>
    <row r="21" spans="2:58" ht="13" customHeight="1" x14ac:dyDescent="0.25">
      <c r="B21" s="202"/>
      <c r="C21" s="188"/>
      <c r="D21" s="188"/>
      <c r="E21" s="188"/>
      <c r="F21" s="188"/>
      <c r="G21" s="188"/>
      <c r="H21" s="188"/>
      <c r="I21" s="188"/>
      <c r="J21" s="188"/>
      <c r="K21" s="188"/>
      <c r="L21" s="189"/>
      <c r="M21" s="187"/>
      <c r="N21" s="188"/>
      <c r="O21" s="188"/>
      <c r="P21" s="188"/>
      <c r="Q21" s="188"/>
      <c r="R21" s="188"/>
      <c r="S21" s="188"/>
      <c r="T21" s="188"/>
      <c r="U21" s="188"/>
      <c r="V21" s="188"/>
      <c r="W21" s="189"/>
      <c r="X21" s="187"/>
      <c r="Y21" s="188"/>
      <c r="Z21" s="188"/>
      <c r="AA21" s="188"/>
      <c r="AB21" s="188"/>
      <c r="AC21" s="188"/>
      <c r="AD21" s="188"/>
      <c r="AE21" s="188"/>
      <c r="AF21" s="188"/>
      <c r="AG21" s="188"/>
      <c r="AH21" s="189"/>
      <c r="AI21" s="187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9"/>
      <c r="AU21" s="187"/>
      <c r="AV21" s="188"/>
      <c r="AW21" s="188"/>
      <c r="AX21" s="188"/>
      <c r="AY21" s="188"/>
      <c r="AZ21" s="188"/>
      <c r="BA21" s="188"/>
      <c r="BB21" s="188"/>
      <c r="BC21" s="188"/>
      <c r="BD21" s="188"/>
      <c r="BE21" s="188"/>
      <c r="BF21" s="195"/>
    </row>
    <row r="22" spans="2:58" ht="13" customHeight="1" x14ac:dyDescent="0.25">
      <c r="B22" s="202"/>
      <c r="C22" s="188"/>
      <c r="D22" s="188"/>
      <c r="E22" s="188"/>
      <c r="F22" s="188"/>
      <c r="G22" s="188"/>
      <c r="H22" s="188"/>
      <c r="I22" s="188"/>
      <c r="J22" s="188"/>
      <c r="K22" s="188"/>
      <c r="L22" s="189"/>
      <c r="M22" s="187"/>
      <c r="N22" s="188"/>
      <c r="O22" s="188"/>
      <c r="P22" s="188"/>
      <c r="Q22" s="188"/>
      <c r="R22" s="188"/>
      <c r="S22" s="188"/>
      <c r="T22" s="188"/>
      <c r="U22" s="188"/>
      <c r="V22" s="188"/>
      <c r="W22" s="189"/>
      <c r="X22" s="187"/>
      <c r="Y22" s="188"/>
      <c r="Z22" s="188"/>
      <c r="AA22" s="188"/>
      <c r="AB22" s="188"/>
      <c r="AC22" s="188"/>
      <c r="AD22" s="188"/>
      <c r="AE22" s="188"/>
      <c r="AF22" s="188"/>
      <c r="AG22" s="188"/>
      <c r="AH22" s="189"/>
      <c r="AI22" s="187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9"/>
      <c r="AU22" s="187"/>
      <c r="AV22" s="188"/>
      <c r="AW22" s="188"/>
      <c r="AX22" s="188"/>
      <c r="AY22" s="188"/>
      <c r="AZ22" s="188"/>
      <c r="BA22" s="188"/>
      <c r="BB22" s="188"/>
      <c r="BC22" s="188"/>
      <c r="BD22" s="188"/>
      <c r="BE22" s="188"/>
      <c r="BF22" s="195"/>
    </row>
    <row r="23" spans="2:58" ht="13" customHeight="1" x14ac:dyDescent="0.25">
      <c r="B23" s="202"/>
      <c r="C23" s="188"/>
      <c r="D23" s="188"/>
      <c r="E23" s="188"/>
      <c r="F23" s="188"/>
      <c r="G23" s="188"/>
      <c r="H23" s="188"/>
      <c r="I23" s="188"/>
      <c r="J23" s="188"/>
      <c r="K23" s="188"/>
      <c r="L23" s="189"/>
      <c r="M23" s="187"/>
      <c r="N23" s="188"/>
      <c r="O23" s="188"/>
      <c r="P23" s="188"/>
      <c r="Q23" s="188"/>
      <c r="R23" s="188"/>
      <c r="S23" s="188"/>
      <c r="T23" s="188"/>
      <c r="U23" s="188"/>
      <c r="V23" s="188"/>
      <c r="W23" s="189"/>
      <c r="X23" s="187"/>
      <c r="Y23" s="188"/>
      <c r="Z23" s="188"/>
      <c r="AA23" s="188"/>
      <c r="AB23" s="188"/>
      <c r="AC23" s="188"/>
      <c r="AD23" s="188"/>
      <c r="AE23" s="188"/>
      <c r="AF23" s="188"/>
      <c r="AG23" s="188"/>
      <c r="AH23" s="189"/>
      <c r="AI23" s="187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9"/>
      <c r="AU23" s="187"/>
      <c r="AV23" s="188"/>
      <c r="AW23" s="188"/>
      <c r="AX23" s="188"/>
      <c r="AY23" s="188"/>
      <c r="AZ23" s="188"/>
      <c r="BA23" s="188"/>
      <c r="BB23" s="188"/>
      <c r="BC23" s="188"/>
      <c r="BD23" s="188"/>
      <c r="BE23" s="188"/>
      <c r="BF23" s="195"/>
    </row>
    <row r="24" spans="2:58" ht="13" customHeight="1" x14ac:dyDescent="0.25">
      <c r="B24" s="203"/>
      <c r="C24" s="191"/>
      <c r="D24" s="191"/>
      <c r="E24" s="191"/>
      <c r="F24" s="191"/>
      <c r="G24" s="191"/>
      <c r="H24" s="191"/>
      <c r="I24" s="191"/>
      <c r="J24" s="191"/>
      <c r="K24" s="191"/>
      <c r="L24" s="148"/>
      <c r="M24" s="190"/>
      <c r="N24" s="191"/>
      <c r="O24" s="191"/>
      <c r="P24" s="191"/>
      <c r="Q24" s="191"/>
      <c r="R24" s="191"/>
      <c r="S24" s="191"/>
      <c r="T24" s="191"/>
      <c r="U24" s="191"/>
      <c r="V24" s="191"/>
      <c r="W24" s="148"/>
      <c r="X24" s="190"/>
      <c r="Y24" s="191"/>
      <c r="Z24" s="191"/>
      <c r="AA24" s="191"/>
      <c r="AB24" s="191"/>
      <c r="AC24" s="191"/>
      <c r="AD24" s="191"/>
      <c r="AE24" s="191"/>
      <c r="AF24" s="191"/>
      <c r="AG24" s="191"/>
      <c r="AH24" s="148"/>
      <c r="AI24" s="190"/>
      <c r="AJ24" s="191"/>
      <c r="AK24" s="191"/>
      <c r="AL24" s="191"/>
      <c r="AM24" s="191"/>
      <c r="AN24" s="191"/>
      <c r="AO24" s="191"/>
      <c r="AP24" s="191"/>
      <c r="AQ24" s="191"/>
      <c r="AR24" s="191"/>
      <c r="AS24" s="191"/>
      <c r="AT24" s="148"/>
      <c r="AU24" s="190"/>
      <c r="AV24" s="191"/>
      <c r="AW24" s="191"/>
      <c r="AX24" s="191"/>
      <c r="AY24" s="191"/>
      <c r="AZ24" s="191"/>
      <c r="BA24" s="191"/>
      <c r="BB24" s="191"/>
      <c r="BC24" s="191"/>
      <c r="BD24" s="191"/>
      <c r="BE24" s="191"/>
      <c r="BF24" s="196"/>
    </row>
    <row r="25" spans="2:58" ht="13" customHeight="1" x14ac:dyDescent="0.25">
      <c r="B25" s="180" t="s">
        <v>246</v>
      </c>
      <c r="C25" s="178"/>
      <c r="D25" s="178"/>
      <c r="E25" s="178"/>
      <c r="F25" s="178"/>
      <c r="G25" s="178"/>
      <c r="H25" s="178"/>
      <c r="I25" s="178"/>
      <c r="J25" s="178"/>
      <c r="K25" s="178"/>
      <c r="L25" s="149"/>
      <c r="M25" s="155" t="s">
        <v>247</v>
      </c>
      <c r="N25" s="178"/>
      <c r="O25" s="178"/>
      <c r="P25" s="178"/>
      <c r="Q25" s="178"/>
      <c r="R25" s="178"/>
      <c r="S25" s="178"/>
      <c r="T25" s="178"/>
      <c r="U25" s="178"/>
      <c r="V25" s="178"/>
      <c r="W25" s="149"/>
      <c r="X25" s="181" t="s">
        <v>248</v>
      </c>
      <c r="Y25" s="178"/>
      <c r="Z25" s="178"/>
      <c r="AA25" s="178"/>
      <c r="AB25" s="178"/>
      <c r="AC25" s="178"/>
      <c r="AD25" s="178"/>
      <c r="AE25" s="178"/>
      <c r="AF25" s="178"/>
      <c r="AG25" s="178"/>
      <c r="AH25" s="149"/>
      <c r="AI25" s="131" t="s">
        <v>249</v>
      </c>
      <c r="AJ25" s="178"/>
      <c r="AK25" s="178"/>
      <c r="AL25" s="178"/>
      <c r="AM25" s="178"/>
      <c r="AN25" s="178"/>
      <c r="AO25" s="178"/>
      <c r="AP25" s="178"/>
      <c r="AQ25" s="178"/>
      <c r="AR25" s="178"/>
      <c r="AS25" s="178"/>
      <c r="AT25" s="149"/>
      <c r="AU25" s="131" t="s">
        <v>250</v>
      </c>
      <c r="AV25" s="178"/>
      <c r="AW25" s="178"/>
      <c r="AX25" s="178"/>
      <c r="AY25" s="178"/>
      <c r="AZ25" s="178"/>
      <c r="BA25" s="178"/>
      <c r="BB25" s="178"/>
      <c r="BC25" s="178"/>
      <c r="BD25" s="178"/>
      <c r="BE25" s="178"/>
      <c r="BF25" s="182"/>
    </row>
    <row r="26" spans="2:58" ht="13" customHeight="1" x14ac:dyDescent="0.25">
      <c r="B26" s="201"/>
      <c r="C26" s="185"/>
      <c r="D26" s="185"/>
      <c r="E26" s="185"/>
      <c r="F26" s="185"/>
      <c r="G26" s="185"/>
      <c r="H26" s="185"/>
      <c r="I26" s="185"/>
      <c r="J26" s="185"/>
      <c r="K26" s="185"/>
      <c r="L26" s="186"/>
      <c r="M26" s="209"/>
      <c r="N26" s="185"/>
      <c r="O26" s="185"/>
      <c r="P26" s="185"/>
      <c r="Q26" s="185"/>
      <c r="R26" s="185"/>
      <c r="S26" s="185"/>
      <c r="T26" s="185"/>
      <c r="U26" s="185"/>
      <c r="V26" s="185"/>
      <c r="W26" s="186"/>
      <c r="X26" s="205"/>
      <c r="Y26" s="185"/>
      <c r="Z26" s="185"/>
      <c r="AA26" s="185"/>
      <c r="AB26" s="185"/>
      <c r="AC26" s="185"/>
      <c r="AD26" s="185"/>
      <c r="AE26" s="185"/>
      <c r="AF26" s="185"/>
      <c r="AG26" s="185"/>
      <c r="AH26" s="186"/>
      <c r="AI26" s="193"/>
      <c r="AJ26" s="185"/>
      <c r="AK26" s="185"/>
      <c r="AL26" s="185"/>
      <c r="AM26" s="185"/>
      <c r="AN26" s="185"/>
      <c r="AO26" s="185"/>
      <c r="AP26" s="185"/>
      <c r="AQ26" s="185"/>
      <c r="AR26" s="185"/>
      <c r="AS26" s="185"/>
      <c r="AT26" s="186"/>
      <c r="AU26" s="193"/>
      <c r="AV26" s="185"/>
      <c r="AW26" s="185"/>
      <c r="AX26" s="185"/>
      <c r="AY26" s="185"/>
      <c r="AZ26" s="185"/>
      <c r="BA26" s="185"/>
      <c r="BB26" s="185"/>
      <c r="BC26" s="185"/>
      <c r="BD26" s="185"/>
      <c r="BE26" s="185"/>
      <c r="BF26" s="194"/>
    </row>
    <row r="27" spans="2:58" ht="13" customHeight="1" x14ac:dyDescent="0.25">
      <c r="B27" s="202"/>
      <c r="C27" s="188"/>
      <c r="D27" s="188"/>
      <c r="E27" s="188"/>
      <c r="F27" s="188"/>
      <c r="G27" s="188"/>
      <c r="H27" s="188"/>
      <c r="I27" s="188"/>
      <c r="J27" s="188"/>
      <c r="K27" s="188"/>
      <c r="L27" s="189"/>
      <c r="M27" s="187"/>
      <c r="N27" s="188"/>
      <c r="O27" s="188"/>
      <c r="P27" s="188"/>
      <c r="Q27" s="188"/>
      <c r="R27" s="188"/>
      <c r="S27" s="188"/>
      <c r="T27" s="188"/>
      <c r="U27" s="188"/>
      <c r="V27" s="188"/>
      <c r="W27" s="189"/>
      <c r="X27" s="187"/>
      <c r="Y27" s="188"/>
      <c r="Z27" s="188"/>
      <c r="AA27" s="188"/>
      <c r="AB27" s="188"/>
      <c r="AC27" s="188"/>
      <c r="AD27" s="188"/>
      <c r="AE27" s="188"/>
      <c r="AF27" s="188"/>
      <c r="AG27" s="188"/>
      <c r="AH27" s="189"/>
      <c r="AI27" s="187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9"/>
      <c r="AU27" s="187"/>
      <c r="AV27" s="188"/>
      <c r="AW27" s="188"/>
      <c r="AX27" s="188"/>
      <c r="AY27" s="188"/>
      <c r="AZ27" s="188"/>
      <c r="BA27" s="188"/>
      <c r="BB27" s="188"/>
      <c r="BC27" s="188"/>
      <c r="BD27" s="188"/>
      <c r="BE27" s="188"/>
      <c r="BF27" s="195"/>
    </row>
    <row r="28" spans="2:58" ht="13" customHeight="1" x14ac:dyDescent="0.25">
      <c r="B28" s="202"/>
      <c r="C28" s="188"/>
      <c r="D28" s="188"/>
      <c r="E28" s="188"/>
      <c r="F28" s="188"/>
      <c r="G28" s="188"/>
      <c r="H28" s="188"/>
      <c r="I28" s="188"/>
      <c r="J28" s="188"/>
      <c r="K28" s="188"/>
      <c r="L28" s="189"/>
      <c r="M28" s="187"/>
      <c r="N28" s="188"/>
      <c r="O28" s="188"/>
      <c r="P28" s="188"/>
      <c r="Q28" s="188"/>
      <c r="R28" s="188"/>
      <c r="S28" s="188"/>
      <c r="T28" s="188"/>
      <c r="U28" s="188"/>
      <c r="V28" s="188"/>
      <c r="W28" s="189"/>
      <c r="X28" s="187"/>
      <c r="Y28" s="188"/>
      <c r="Z28" s="188"/>
      <c r="AA28" s="188"/>
      <c r="AB28" s="188"/>
      <c r="AC28" s="188"/>
      <c r="AD28" s="188"/>
      <c r="AE28" s="188"/>
      <c r="AF28" s="188"/>
      <c r="AG28" s="188"/>
      <c r="AH28" s="189"/>
      <c r="AI28" s="187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9"/>
      <c r="AU28" s="187"/>
      <c r="AV28" s="188"/>
      <c r="AW28" s="188"/>
      <c r="AX28" s="188"/>
      <c r="AY28" s="188"/>
      <c r="AZ28" s="188"/>
      <c r="BA28" s="188"/>
      <c r="BB28" s="188"/>
      <c r="BC28" s="188"/>
      <c r="BD28" s="188"/>
      <c r="BE28" s="188"/>
      <c r="BF28" s="195"/>
    </row>
    <row r="29" spans="2:58" ht="13" customHeight="1" x14ac:dyDescent="0.25">
      <c r="B29" s="202"/>
      <c r="C29" s="188"/>
      <c r="D29" s="188"/>
      <c r="E29" s="188"/>
      <c r="F29" s="188"/>
      <c r="G29" s="188"/>
      <c r="H29" s="188"/>
      <c r="I29" s="188"/>
      <c r="J29" s="188"/>
      <c r="K29" s="188"/>
      <c r="L29" s="189"/>
      <c r="M29" s="187"/>
      <c r="N29" s="188"/>
      <c r="O29" s="188"/>
      <c r="P29" s="188"/>
      <c r="Q29" s="188"/>
      <c r="R29" s="188"/>
      <c r="S29" s="188"/>
      <c r="T29" s="188"/>
      <c r="U29" s="188"/>
      <c r="V29" s="188"/>
      <c r="W29" s="189"/>
      <c r="X29" s="187"/>
      <c r="Y29" s="188"/>
      <c r="Z29" s="188"/>
      <c r="AA29" s="188"/>
      <c r="AB29" s="188"/>
      <c r="AC29" s="188"/>
      <c r="AD29" s="188"/>
      <c r="AE29" s="188"/>
      <c r="AF29" s="188"/>
      <c r="AG29" s="188"/>
      <c r="AH29" s="189"/>
      <c r="AI29" s="187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9"/>
      <c r="AU29" s="187"/>
      <c r="AV29" s="188"/>
      <c r="AW29" s="188"/>
      <c r="AX29" s="188"/>
      <c r="AY29" s="188"/>
      <c r="AZ29" s="188"/>
      <c r="BA29" s="188"/>
      <c r="BB29" s="188"/>
      <c r="BC29" s="188"/>
      <c r="BD29" s="188"/>
      <c r="BE29" s="188"/>
      <c r="BF29" s="195"/>
    </row>
    <row r="30" spans="2:58" ht="13" customHeight="1" x14ac:dyDescent="0.25">
      <c r="B30" s="202"/>
      <c r="C30" s="188"/>
      <c r="D30" s="188"/>
      <c r="E30" s="188"/>
      <c r="F30" s="188"/>
      <c r="G30" s="188"/>
      <c r="H30" s="188"/>
      <c r="I30" s="188"/>
      <c r="J30" s="188"/>
      <c r="K30" s="188"/>
      <c r="L30" s="189"/>
      <c r="M30" s="187"/>
      <c r="N30" s="188"/>
      <c r="O30" s="188"/>
      <c r="P30" s="188"/>
      <c r="Q30" s="188"/>
      <c r="R30" s="188"/>
      <c r="S30" s="188"/>
      <c r="T30" s="188"/>
      <c r="U30" s="188"/>
      <c r="V30" s="188"/>
      <c r="W30" s="189"/>
      <c r="X30" s="187"/>
      <c r="Y30" s="188"/>
      <c r="Z30" s="188"/>
      <c r="AA30" s="188"/>
      <c r="AB30" s="188"/>
      <c r="AC30" s="188"/>
      <c r="AD30" s="188"/>
      <c r="AE30" s="188"/>
      <c r="AF30" s="188"/>
      <c r="AG30" s="188"/>
      <c r="AH30" s="189"/>
      <c r="AI30" s="187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9"/>
      <c r="AU30" s="187"/>
      <c r="AV30" s="188"/>
      <c r="AW30" s="188"/>
      <c r="AX30" s="188"/>
      <c r="AY30" s="188"/>
      <c r="AZ30" s="188"/>
      <c r="BA30" s="188"/>
      <c r="BB30" s="188"/>
      <c r="BC30" s="188"/>
      <c r="BD30" s="188"/>
      <c r="BE30" s="188"/>
      <c r="BF30" s="195"/>
    </row>
    <row r="31" spans="2:58" ht="13" customHeight="1" x14ac:dyDescent="0.25">
      <c r="B31" s="203"/>
      <c r="C31" s="191"/>
      <c r="D31" s="191"/>
      <c r="E31" s="191"/>
      <c r="F31" s="191"/>
      <c r="G31" s="191"/>
      <c r="H31" s="191"/>
      <c r="I31" s="191"/>
      <c r="J31" s="191"/>
      <c r="K31" s="191"/>
      <c r="L31" s="148"/>
      <c r="M31" s="190"/>
      <c r="N31" s="191"/>
      <c r="O31" s="191"/>
      <c r="P31" s="191"/>
      <c r="Q31" s="191"/>
      <c r="R31" s="191"/>
      <c r="S31" s="191"/>
      <c r="T31" s="191"/>
      <c r="U31" s="191"/>
      <c r="V31" s="191"/>
      <c r="W31" s="148"/>
      <c r="X31" s="190"/>
      <c r="Y31" s="191"/>
      <c r="Z31" s="191"/>
      <c r="AA31" s="191"/>
      <c r="AB31" s="191"/>
      <c r="AC31" s="191"/>
      <c r="AD31" s="191"/>
      <c r="AE31" s="191"/>
      <c r="AF31" s="191"/>
      <c r="AG31" s="191"/>
      <c r="AH31" s="148"/>
      <c r="AI31" s="190"/>
      <c r="AJ31" s="191"/>
      <c r="AK31" s="191"/>
      <c r="AL31" s="191"/>
      <c r="AM31" s="191"/>
      <c r="AN31" s="191"/>
      <c r="AO31" s="191"/>
      <c r="AP31" s="191"/>
      <c r="AQ31" s="191"/>
      <c r="AR31" s="191"/>
      <c r="AS31" s="191"/>
      <c r="AT31" s="148"/>
      <c r="AU31" s="190"/>
      <c r="AV31" s="191"/>
      <c r="AW31" s="191"/>
      <c r="AX31" s="191"/>
      <c r="AY31" s="191"/>
      <c r="AZ31" s="191"/>
      <c r="BA31" s="191"/>
      <c r="BB31" s="191"/>
      <c r="BC31" s="191"/>
      <c r="BD31" s="191"/>
      <c r="BE31" s="191"/>
      <c r="BF31" s="196"/>
    </row>
    <row r="32" spans="2:58" ht="13" customHeight="1" x14ac:dyDescent="0.25">
      <c r="B32" s="180" t="s">
        <v>251</v>
      </c>
      <c r="C32" s="178"/>
      <c r="D32" s="178"/>
      <c r="E32" s="178"/>
      <c r="F32" s="178"/>
      <c r="G32" s="178"/>
      <c r="H32" s="178"/>
      <c r="I32" s="178"/>
      <c r="J32" s="178"/>
      <c r="K32" s="178"/>
      <c r="L32" s="149"/>
      <c r="M32" s="183" t="s">
        <v>252</v>
      </c>
      <c r="N32" s="178"/>
      <c r="O32" s="178"/>
      <c r="P32" s="178"/>
      <c r="Q32" s="178"/>
      <c r="R32" s="178"/>
      <c r="S32" s="178"/>
      <c r="T32" s="178"/>
      <c r="U32" s="178"/>
      <c r="V32" s="178"/>
      <c r="W32" s="149"/>
      <c r="X32" s="181" t="s">
        <v>253</v>
      </c>
      <c r="Y32" s="178"/>
      <c r="Z32" s="178"/>
      <c r="AA32" s="178"/>
      <c r="AB32" s="178"/>
      <c r="AC32" s="178"/>
      <c r="AD32" s="178"/>
      <c r="AE32" s="178"/>
      <c r="AF32" s="178"/>
      <c r="AG32" s="178"/>
      <c r="AH32" s="149"/>
      <c r="AI32" s="131" t="s">
        <v>254</v>
      </c>
      <c r="AJ32" s="178"/>
      <c r="AK32" s="178"/>
      <c r="AL32" s="178"/>
      <c r="AM32" s="178"/>
      <c r="AN32" s="178"/>
      <c r="AO32" s="178"/>
      <c r="AP32" s="178"/>
      <c r="AQ32" s="178"/>
      <c r="AR32" s="178"/>
      <c r="AS32" s="178"/>
      <c r="AT32" s="149"/>
      <c r="AU32" s="131" t="s">
        <v>255</v>
      </c>
      <c r="AV32" s="178"/>
      <c r="AW32" s="178"/>
      <c r="AX32" s="178"/>
      <c r="AY32" s="178"/>
      <c r="AZ32" s="178"/>
      <c r="BA32" s="178"/>
      <c r="BB32" s="178"/>
      <c r="BC32" s="178"/>
      <c r="BD32" s="178"/>
      <c r="BE32" s="178"/>
      <c r="BF32" s="182"/>
    </row>
    <row r="33" spans="2:58" ht="13" customHeight="1" x14ac:dyDescent="0.25">
      <c r="B33" s="201"/>
      <c r="C33" s="185"/>
      <c r="D33" s="185"/>
      <c r="E33" s="185"/>
      <c r="F33" s="185"/>
      <c r="G33" s="185"/>
      <c r="H33" s="185"/>
      <c r="I33" s="185"/>
      <c r="J33" s="185"/>
      <c r="K33" s="185"/>
      <c r="L33" s="186"/>
      <c r="M33" s="204"/>
      <c r="N33" s="185"/>
      <c r="O33" s="185"/>
      <c r="P33" s="185"/>
      <c r="Q33" s="185"/>
      <c r="R33" s="185"/>
      <c r="S33" s="185"/>
      <c r="T33" s="185"/>
      <c r="U33" s="185"/>
      <c r="V33" s="185"/>
      <c r="W33" s="186"/>
      <c r="X33" s="205"/>
      <c r="Y33" s="185"/>
      <c r="Z33" s="185"/>
      <c r="AA33" s="185"/>
      <c r="AB33" s="185"/>
      <c r="AC33" s="185"/>
      <c r="AD33" s="185"/>
      <c r="AE33" s="185"/>
      <c r="AF33" s="185"/>
      <c r="AG33" s="185"/>
      <c r="AH33" s="186"/>
      <c r="AI33" s="193"/>
      <c r="AJ33" s="185"/>
      <c r="AK33" s="185"/>
      <c r="AL33" s="185"/>
      <c r="AM33" s="185"/>
      <c r="AN33" s="185"/>
      <c r="AO33" s="185"/>
      <c r="AP33" s="185"/>
      <c r="AQ33" s="185"/>
      <c r="AR33" s="185"/>
      <c r="AS33" s="185"/>
      <c r="AT33" s="186"/>
      <c r="AU33" s="193"/>
      <c r="AV33" s="185"/>
      <c r="AW33" s="185"/>
      <c r="AX33" s="185"/>
      <c r="AY33" s="185"/>
      <c r="AZ33" s="185"/>
      <c r="BA33" s="185"/>
      <c r="BB33" s="185"/>
      <c r="BC33" s="185"/>
      <c r="BD33" s="185"/>
      <c r="BE33" s="185"/>
      <c r="BF33" s="194"/>
    </row>
    <row r="34" spans="2:58" ht="13" customHeight="1" x14ac:dyDescent="0.25">
      <c r="B34" s="202"/>
      <c r="C34" s="188"/>
      <c r="D34" s="188"/>
      <c r="E34" s="188"/>
      <c r="F34" s="188"/>
      <c r="G34" s="188"/>
      <c r="H34" s="188"/>
      <c r="I34" s="188"/>
      <c r="J34" s="188"/>
      <c r="K34" s="188"/>
      <c r="L34" s="189"/>
      <c r="M34" s="187"/>
      <c r="N34" s="188"/>
      <c r="O34" s="188"/>
      <c r="P34" s="188"/>
      <c r="Q34" s="188"/>
      <c r="R34" s="188"/>
      <c r="S34" s="188"/>
      <c r="T34" s="188"/>
      <c r="U34" s="188"/>
      <c r="V34" s="188"/>
      <c r="W34" s="189"/>
      <c r="X34" s="187"/>
      <c r="Y34" s="188"/>
      <c r="Z34" s="188"/>
      <c r="AA34" s="188"/>
      <c r="AB34" s="188"/>
      <c r="AC34" s="188"/>
      <c r="AD34" s="188"/>
      <c r="AE34" s="188"/>
      <c r="AF34" s="188"/>
      <c r="AG34" s="188"/>
      <c r="AH34" s="189"/>
      <c r="AI34" s="187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9"/>
      <c r="AU34" s="187"/>
      <c r="AV34" s="188"/>
      <c r="AW34" s="188"/>
      <c r="AX34" s="188"/>
      <c r="AY34" s="188"/>
      <c r="AZ34" s="188"/>
      <c r="BA34" s="188"/>
      <c r="BB34" s="188"/>
      <c r="BC34" s="188"/>
      <c r="BD34" s="188"/>
      <c r="BE34" s="188"/>
      <c r="BF34" s="195"/>
    </row>
    <row r="35" spans="2:58" ht="13" customHeight="1" x14ac:dyDescent="0.25">
      <c r="B35" s="202"/>
      <c r="C35" s="188"/>
      <c r="D35" s="188"/>
      <c r="E35" s="188"/>
      <c r="F35" s="188"/>
      <c r="G35" s="188"/>
      <c r="H35" s="188"/>
      <c r="I35" s="188"/>
      <c r="J35" s="188"/>
      <c r="K35" s="188"/>
      <c r="L35" s="189"/>
      <c r="M35" s="187"/>
      <c r="N35" s="188"/>
      <c r="O35" s="188"/>
      <c r="P35" s="188"/>
      <c r="Q35" s="188"/>
      <c r="R35" s="188"/>
      <c r="S35" s="188"/>
      <c r="T35" s="188"/>
      <c r="U35" s="188"/>
      <c r="V35" s="188"/>
      <c r="W35" s="189"/>
      <c r="X35" s="187"/>
      <c r="Y35" s="188"/>
      <c r="Z35" s="188"/>
      <c r="AA35" s="188"/>
      <c r="AB35" s="188"/>
      <c r="AC35" s="188"/>
      <c r="AD35" s="188"/>
      <c r="AE35" s="188"/>
      <c r="AF35" s="188"/>
      <c r="AG35" s="188"/>
      <c r="AH35" s="189"/>
      <c r="AI35" s="187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9"/>
      <c r="AU35" s="187"/>
      <c r="AV35" s="188"/>
      <c r="AW35" s="188"/>
      <c r="AX35" s="188"/>
      <c r="AY35" s="188"/>
      <c r="AZ35" s="188"/>
      <c r="BA35" s="188"/>
      <c r="BB35" s="188"/>
      <c r="BC35" s="188"/>
      <c r="BD35" s="188"/>
      <c r="BE35" s="188"/>
      <c r="BF35" s="195"/>
    </row>
    <row r="36" spans="2:58" ht="13" customHeight="1" x14ac:dyDescent="0.25">
      <c r="B36" s="202"/>
      <c r="C36" s="188"/>
      <c r="D36" s="188"/>
      <c r="E36" s="188"/>
      <c r="F36" s="188"/>
      <c r="G36" s="188"/>
      <c r="H36" s="188"/>
      <c r="I36" s="188"/>
      <c r="J36" s="188"/>
      <c r="K36" s="188"/>
      <c r="L36" s="189"/>
      <c r="M36" s="187"/>
      <c r="N36" s="188"/>
      <c r="O36" s="188"/>
      <c r="P36" s="188"/>
      <c r="Q36" s="188"/>
      <c r="R36" s="188"/>
      <c r="S36" s="188"/>
      <c r="T36" s="188"/>
      <c r="U36" s="188"/>
      <c r="V36" s="188"/>
      <c r="W36" s="189"/>
      <c r="X36" s="187"/>
      <c r="Y36" s="188"/>
      <c r="Z36" s="188"/>
      <c r="AA36" s="188"/>
      <c r="AB36" s="188"/>
      <c r="AC36" s="188"/>
      <c r="AD36" s="188"/>
      <c r="AE36" s="188"/>
      <c r="AF36" s="188"/>
      <c r="AG36" s="188"/>
      <c r="AH36" s="189"/>
      <c r="AI36" s="187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9"/>
      <c r="AU36" s="187"/>
      <c r="AV36" s="188"/>
      <c r="AW36" s="188"/>
      <c r="AX36" s="188"/>
      <c r="AY36" s="188"/>
      <c r="AZ36" s="188"/>
      <c r="BA36" s="188"/>
      <c r="BB36" s="188"/>
      <c r="BC36" s="188"/>
      <c r="BD36" s="188"/>
      <c r="BE36" s="188"/>
      <c r="BF36" s="195"/>
    </row>
    <row r="37" spans="2:58" ht="13" customHeight="1" x14ac:dyDescent="0.25">
      <c r="B37" s="202"/>
      <c r="C37" s="188"/>
      <c r="D37" s="188"/>
      <c r="E37" s="188"/>
      <c r="F37" s="188"/>
      <c r="G37" s="188"/>
      <c r="H37" s="188"/>
      <c r="I37" s="188"/>
      <c r="J37" s="188"/>
      <c r="K37" s="188"/>
      <c r="L37" s="189"/>
      <c r="M37" s="187"/>
      <c r="N37" s="188"/>
      <c r="O37" s="188"/>
      <c r="P37" s="188"/>
      <c r="Q37" s="188"/>
      <c r="R37" s="188"/>
      <c r="S37" s="188"/>
      <c r="T37" s="188"/>
      <c r="U37" s="188"/>
      <c r="V37" s="188"/>
      <c r="W37" s="189"/>
      <c r="X37" s="187"/>
      <c r="Y37" s="188"/>
      <c r="Z37" s="188"/>
      <c r="AA37" s="188"/>
      <c r="AB37" s="188"/>
      <c r="AC37" s="188"/>
      <c r="AD37" s="188"/>
      <c r="AE37" s="188"/>
      <c r="AF37" s="188"/>
      <c r="AG37" s="188"/>
      <c r="AH37" s="189"/>
      <c r="AI37" s="187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9"/>
      <c r="AU37" s="187"/>
      <c r="AV37" s="188"/>
      <c r="AW37" s="188"/>
      <c r="AX37" s="188"/>
      <c r="AY37" s="188"/>
      <c r="AZ37" s="188"/>
      <c r="BA37" s="188"/>
      <c r="BB37" s="188"/>
      <c r="BC37" s="188"/>
      <c r="BD37" s="188"/>
      <c r="BE37" s="188"/>
      <c r="BF37" s="195"/>
    </row>
    <row r="38" spans="2:58" ht="13" customHeight="1" x14ac:dyDescent="0.25">
      <c r="B38" s="203"/>
      <c r="C38" s="191"/>
      <c r="D38" s="191"/>
      <c r="E38" s="191"/>
      <c r="F38" s="191"/>
      <c r="G38" s="191"/>
      <c r="H38" s="191"/>
      <c r="I38" s="191"/>
      <c r="J38" s="191"/>
      <c r="K38" s="191"/>
      <c r="L38" s="148"/>
      <c r="M38" s="190"/>
      <c r="N38" s="191"/>
      <c r="O38" s="191"/>
      <c r="P38" s="191"/>
      <c r="Q38" s="191"/>
      <c r="R38" s="191"/>
      <c r="S38" s="191"/>
      <c r="T38" s="191"/>
      <c r="U38" s="191"/>
      <c r="V38" s="191"/>
      <c r="W38" s="148"/>
      <c r="X38" s="190"/>
      <c r="Y38" s="191"/>
      <c r="Z38" s="191"/>
      <c r="AA38" s="191"/>
      <c r="AB38" s="191"/>
      <c r="AC38" s="191"/>
      <c r="AD38" s="191"/>
      <c r="AE38" s="191"/>
      <c r="AF38" s="191"/>
      <c r="AG38" s="191"/>
      <c r="AH38" s="148"/>
      <c r="AI38" s="190"/>
      <c r="AJ38" s="191"/>
      <c r="AK38" s="191"/>
      <c r="AL38" s="191"/>
      <c r="AM38" s="191"/>
      <c r="AN38" s="191"/>
      <c r="AO38" s="191"/>
      <c r="AP38" s="191"/>
      <c r="AQ38" s="191"/>
      <c r="AR38" s="191"/>
      <c r="AS38" s="191"/>
      <c r="AT38" s="148"/>
      <c r="AU38" s="190"/>
      <c r="AV38" s="191"/>
      <c r="AW38" s="191"/>
      <c r="AX38" s="191"/>
      <c r="AY38" s="191"/>
      <c r="AZ38" s="191"/>
      <c r="BA38" s="191"/>
      <c r="BB38" s="191"/>
      <c r="BC38" s="191"/>
      <c r="BD38" s="191"/>
      <c r="BE38" s="191"/>
      <c r="BF38" s="196"/>
    </row>
    <row r="39" spans="2:58" ht="13" customHeight="1" x14ac:dyDescent="0.25">
      <c r="B39" s="180" t="s">
        <v>256</v>
      </c>
      <c r="C39" s="178"/>
      <c r="D39" s="178"/>
      <c r="E39" s="178"/>
      <c r="F39" s="178"/>
      <c r="G39" s="178"/>
      <c r="H39" s="178"/>
      <c r="I39" s="178"/>
      <c r="J39" s="178"/>
      <c r="K39" s="178"/>
      <c r="L39" s="149"/>
      <c r="M39" s="183" t="s">
        <v>257</v>
      </c>
      <c r="N39" s="178"/>
      <c r="O39" s="178"/>
      <c r="P39" s="178"/>
      <c r="Q39" s="178"/>
      <c r="R39" s="178"/>
      <c r="S39" s="178"/>
      <c r="T39" s="178"/>
      <c r="U39" s="178"/>
      <c r="V39" s="178"/>
      <c r="W39" s="149"/>
      <c r="X39" s="181" t="s">
        <v>258</v>
      </c>
      <c r="Y39" s="178"/>
      <c r="Z39" s="178"/>
      <c r="AA39" s="178"/>
      <c r="AB39" s="178"/>
      <c r="AC39" s="178"/>
      <c r="AD39" s="178"/>
      <c r="AE39" s="178"/>
      <c r="AF39" s="178"/>
      <c r="AG39" s="178"/>
      <c r="AH39" s="149"/>
      <c r="AI39" s="131" t="s">
        <v>259</v>
      </c>
      <c r="AJ39" s="178"/>
      <c r="AK39" s="178"/>
      <c r="AL39" s="178"/>
      <c r="AM39" s="178"/>
      <c r="AN39" s="178"/>
      <c r="AO39" s="178"/>
      <c r="AP39" s="178"/>
      <c r="AQ39" s="178"/>
      <c r="AR39" s="178"/>
      <c r="AS39" s="178"/>
      <c r="AT39" s="149"/>
      <c r="AU39" s="131" t="s">
        <v>260</v>
      </c>
      <c r="AV39" s="178"/>
      <c r="AW39" s="178"/>
      <c r="AX39" s="178"/>
      <c r="AY39" s="178"/>
      <c r="AZ39" s="178"/>
      <c r="BA39" s="178"/>
      <c r="BB39" s="178"/>
      <c r="BC39" s="178"/>
      <c r="BD39" s="178"/>
      <c r="BE39" s="178"/>
      <c r="BF39" s="182"/>
    </row>
    <row r="40" spans="2:58" ht="13" customHeight="1" x14ac:dyDescent="0.25">
      <c r="B40" s="201"/>
      <c r="C40" s="185"/>
      <c r="D40" s="185"/>
      <c r="E40" s="185"/>
      <c r="F40" s="185"/>
      <c r="G40" s="185"/>
      <c r="H40" s="185"/>
      <c r="I40" s="185"/>
      <c r="J40" s="185"/>
      <c r="K40" s="185"/>
      <c r="L40" s="186"/>
      <c r="M40" s="204"/>
      <c r="N40" s="185"/>
      <c r="O40" s="185"/>
      <c r="P40" s="185"/>
      <c r="Q40" s="185"/>
      <c r="R40" s="185"/>
      <c r="S40" s="185"/>
      <c r="T40" s="185"/>
      <c r="U40" s="185"/>
      <c r="V40" s="185"/>
      <c r="W40" s="186"/>
      <c r="X40" s="205"/>
      <c r="Y40" s="185"/>
      <c r="Z40" s="185"/>
      <c r="AA40" s="185"/>
      <c r="AB40" s="185"/>
      <c r="AC40" s="185"/>
      <c r="AD40" s="185"/>
      <c r="AE40" s="185"/>
      <c r="AF40" s="185"/>
      <c r="AG40" s="185"/>
      <c r="AH40" s="186"/>
      <c r="AI40" s="193"/>
      <c r="AJ40" s="185"/>
      <c r="AK40" s="185"/>
      <c r="AL40" s="185"/>
      <c r="AM40" s="185"/>
      <c r="AN40" s="185"/>
      <c r="AO40" s="185"/>
      <c r="AP40" s="185"/>
      <c r="AQ40" s="185"/>
      <c r="AR40" s="185"/>
      <c r="AS40" s="185"/>
      <c r="AT40" s="186"/>
      <c r="AU40" s="193"/>
      <c r="AV40" s="185"/>
      <c r="AW40" s="185"/>
      <c r="AX40" s="185"/>
      <c r="AY40" s="185"/>
      <c r="AZ40" s="185"/>
      <c r="BA40" s="185"/>
      <c r="BB40" s="185"/>
      <c r="BC40" s="185"/>
      <c r="BD40" s="185"/>
      <c r="BE40" s="185"/>
      <c r="BF40" s="194"/>
    </row>
    <row r="41" spans="2:58" ht="13" customHeight="1" x14ac:dyDescent="0.25">
      <c r="B41" s="202"/>
      <c r="C41" s="188"/>
      <c r="D41" s="188"/>
      <c r="E41" s="188"/>
      <c r="F41" s="188"/>
      <c r="G41" s="188"/>
      <c r="H41" s="188"/>
      <c r="I41" s="188"/>
      <c r="J41" s="188"/>
      <c r="K41" s="188"/>
      <c r="L41" s="189"/>
      <c r="M41" s="187"/>
      <c r="N41" s="188"/>
      <c r="O41" s="188"/>
      <c r="P41" s="188"/>
      <c r="Q41" s="188"/>
      <c r="R41" s="188"/>
      <c r="S41" s="188"/>
      <c r="T41" s="188"/>
      <c r="U41" s="188"/>
      <c r="V41" s="188"/>
      <c r="W41" s="189"/>
      <c r="X41" s="187"/>
      <c r="Y41" s="188"/>
      <c r="Z41" s="188"/>
      <c r="AA41" s="188"/>
      <c r="AB41" s="188"/>
      <c r="AC41" s="188"/>
      <c r="AD41" s="188"/>
      <c r="AE41" s="188"/>
      <c r="AF41" s="188"/>
      <c r="AG41" s="188"/>
      <c r="AH41" s="189"/>
      <c r="AI41" s="187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9"/>
      <c r="AU41" s="187"/>
      <c r="AV41" s="188"/>
      <c r="AW41" s="188"/>
      <c r="AX41" s="188"/>
      <c r="AY41" s="188"/>
      <c r="AZ41" s="188"/>
      <c r="BA41" s="188"/>
      <c r="BB41" s="188"/>
      <c r="BC41" s="188"/>
      <c r="BD41" s="188"/>
      <c r="BE41" s="188"/>
      <c r="BF41" s="195"/>
    </row>
    <row r="42" spans="2:58" ht="13" customHeight="1" x14ac:dyDescent="0.25">
      <c r="B42" s="202"/>
      <c r="C42" s="188"/>
      <c r="D42" s="188"/>
      <c r="E42" s="188"/>
      <c r="F42" s="188"/>
      <c r="G42" s="188"/>
      <c r="H42" s="188"/>
      <c r="I42" s="188"/>
      <c r="J42" s="188"/>
      <c r="K42" s="188"/>
      <c r="L42" s="189"/>
      <c r="M42" s="187"/>
      <c r="N42" s="188"/>
      <c r="O42" s="188"/>
      <c r="P42" s="188"/>
      <c r="Q42" s="188"/>
      <c r="R42" s="188"/>
      <c r="S42" s="188"/>
      <c r="T42" s="188"/>
      <c r="U42" s="188"/>
      <c r="V42" s="188"/>
      <c r="W42" s="189"/>
      <c r="X42" s="187"/>
      <c r="Y42" s="188"/>
      <c r="Z42" s="188"/>
      <c r="AA42" s="188"/>
      <c r="AB42" s="188"/>
      <c r="AC42" s="188"/>
      <c r="AD42" s="188"/>
      <c r="AE42" s="188"/>
      <c r="AF42" s="188"/>
      <c r="AG42" s="188"/>
      <c r="AH42" s="189"/>
      <c r="AI42" s="187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9"/>
      <c r="AU42" s="187"/>
      <c r="AV42" s="188"/>
      <c r="AW42" s="188"/>
      <c r="AX42" s="188"/>
      <c r="AY42" s="188"/>
      <c r="AZ42" s="188"/>
      <c r="BA42" s="188"/>
      <c r="BB42" s="188"/>
      <c r="BC42" s="188"/>
      <c r="BD42" s="188"/>
      <c r="BE42" s="188"/>
      <c r="BF42" s="195"/>
    </row>
    <row r="43" spans="2:58" ht="13" customHeight="1" x14ac:dyDescent="0.25">
      <c r="B43" s="202"/>
      <c r="C43" s="188"/>
      <c r="D43" s="188"/>
      <c r="E43" s="188"/>
      <c r="F43" s="188"/>
      <c r="G43" s="188"/>
      <c r="H43" s="188"/>
      <c r="I43" s="188"/>
      <c r="J43" s="188"/>
      <c r="K43" s="188"/>
      <c r="L43" s="189"/>
      <c r="M43" s="187"/>
      <c r="N43" s="188"/>
      <c r="O43" s="188"/>
      <c r="P43" s="188"/>
      <c r="Q43" s="188"/>
      <c r="R43" s="188"/>
      <c r="S43" s="188"/>
      <c r="T43" s="188"/>
      <c r="U43" s="188"/>
      <c r="V43" s="188"/>
      <c r="W43" s="189"/>
      <c r="X43" s="187"/>
      <c r="Y43" s="188"/>
      <c r="Z43" s="188"/>
      <c r="AA43" s="188"/>
      <c r="AB43" s="188"/>
      <c r="AC43" s="188"/>
      <c r="AD43" s="188"/>
      <c r="AE43" s="188"/>
      <c r="AF43" s="188"/>
      <c r="AG43" s="188"/>
      <c r="AH43" s="189"/>
      <c r="AI43" s="187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9"/>
      <c r="AU43" s="187"/>
      <c r="AV43" s="188"/>
      <c r="AW43" s="188"/>
      <c r="AX43" s="188"/>
      <c r="AY43" s="188"/>
      <c r="AZ43" s="188"/>
      <c r="BA43" s="188"/>
      <c r="BB43" s="188"/>
      <c r="BC43" s="188"/>
      <c r="BD43" s="188"/>
      <c r="BE43" s="188"/>
      <c r="BF43" s="195"/>
    </row>
    <row r="44" spans="2:58" ht="13" customHeight="1" x14ac:dyDescent="0.25">
      <c r="B44" s="202"/>
      <c r="C44" s="188"/>
      <c r="D44" s="188"/>
      <c r="E44" s="188"/>
      <c r="F44" s="188"/>
      <c r="G44" s="188"/>
      <c r="H44" s="188"/>
      <c r="I44" s="188"/>
      <c r="J44" s="188"/>
      <c r="K44" s="188"/>
      <c r="L44" s="189"/>
      <c r="M44" s="187"/>
      <c r="N44" s="188"/>
      <c r="O44" s="188"/>
      <c r="P44" s="188"/>
      <c r="Q44" s="188"/>
      <c r="R44" s="188"/>
      <c r="S44" s="188"/>
      <c r="T44" s="188"/>
      <c r="U44" s="188"/>
      <c r="V44" s="188"/>
      <c r="W44" s="189"/>
      <c r="X44" s="187"/>
      <c r="Y44" s="188"/>
      <c r="Z44" s="188"/>
      <c r="AA44" s="188"/>
      <c r="AB44" s="188"/>
      <c r="AC44" s="188"/>
      <c r="AD44" s="188"/>
      <c r="AE44" s="188"/>
      <c r="AF44" s="188"/>
      <c r="AG44" s="188"/>
      <c r="AH44" s="189"/>
      <c r="AI44" s="187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9"/>
      <c r="AU44" s="187"/>
      <c r="AV44" s="188"/>
      <c r="AW44" s="188"/>
      <c r="AX44" s="188"/>
      <c r="AY44" s="188"/>
      <c r="AZ44" s="188"/>
      <c r="BA44" s="188"/>
      <c r="BB44" s="188"/>
      <c r="BC44" s="188"/>
      <c r="BD44" s="188"/>
      <c r="BE44" s="188"/>
      <c r="BF44" s="195"/>
    </row>
    <row r="45" spans="2:58" ht="13" customHeight="1" x14ac:dyDescent="0.25">
      <c r="B45" s="203"/>
      <c r="C45" s="191"/>
      <c r="D45" s="191"/>
      <c r="E45" s="191"/>
      <c r="F45" s="191"/>
      <c r="G45" s="191"/>
      <c r="H45" s="191"/>
      <c r="I45" s="191"/>
      <c r="J45" s="191"/>
      <c r="K45" s="191"/>
      <c r="L45" s="148"/>
      <c r="M45" s="190"/>
      <c r="N45" s="191"/>
      <c r="O45" s="191"/>
      <c r="P45" s="191"/>
      <c r="Q45" s="191"/>
      <c r="R45" s="191"/>
      <c r="S45" s="191"/>
      <c r="T45" s="191"/>
      <c r="U45" s="191"/>
      <c r="V45" s="191"/>
      <c r="W45" s="148"/>
      <c r="X45" s="190"/>
      <c r="Y45" s="191"/>
      <c r="Z45" s="191"/>
      <c r="AA45" s="191"/>
      <c r="AB45" s="191"/>
      <c r="AC45" s="191"/>
      <c r="AD45" s="191"/>
      <c r="AE45" s="191"/>
      <c r="AF45" s="191"/>
      <c r="AG45" s="191"/>
      <c r="AH45" s="148"/>
      <c r="AI45" s="190"/>
      <c r="AJ45" s="191"/>
      <c r="AK45" s="191"/>
      <c r="AL45" s="191"/>
      <c r="AM45" s="191"/>
      <c r="AN45" s="191"/>
      <c r="AO45" s="191"/>
      <c r="AP45" s="191"/>
      <c r="AQ45" s="191"/>
      <c r="AR45" s="191"/>
      <c r="AS45" s="191"/>
      <c r="AT45" s="148"/>
      <c r="AU45" s="190"/>
      <c r="AV45" s="191"/>
      <c r="AW45" s="191"/>
      <c r="AX45" s="191"/>
      <c r="AY45" s="191"/>
      <c r="AZ45" s="191"/>
      <c r="BA45" s="191"/>
      <c r="BB45" s="191"/>
      <c r="BC45" s="191"/>
      <c r="BD45" s="191"/>
      <c r="BE45" s="191"/>
      <c r="BF45" s="196"/>
    </row>
    <row r="46" spans="2:58" ht="13" customHeight="1" x14ac:dyDescent="0.25">
      <c r="B46" s="180" t="s">
        <v>261</v>
      </c>
      <c r="C46" s="178"/>
      <c r="D46" s="178"/>
      <c r="E46" s="178"/>
      <c r="F46" s="178"/>
      <c r="G46" s="178"/>
      <c r="H46" s="178"/>
      <c r="I46" s="178"/>
      <c r="J46" s="178"/>
      <c r="K46" s="178"/>
      <c r="L46" s="149"/>
      <c r="M46" s="155" t="s">
        <v>262</v>
      </c>
      <c r="N46" s="178"/>
      <c r="O46" s="178"/>
      <c r="P46" s="178"/>
      <c r="Q46" s="178"/>
      <c r="R46" s="178"/>
      <c r="S46" s="178"/>
      <c r="T46" s="178"/>
      <c r="U46" s="178"/>
      <c r="V46" s="178"/>
      <c r="W46" s="149"/>
      <c r="X46" s="181" t="s">
        <v>263</v>
      </c>
      <c r="Y46" s="178"/>
      <c r="Z46" s="178"/>
      <c r="AA46" s="178"/>
      <c r="AB46" s="178"/>
      <c r="AC46" s="178"/>
      <c r="AD46" s="178"/>
      <c r="AE46" s="178"/>
      <c r="AF46" s="178"/>
      <c r="AG46" s="178"/>
      <c r="AH46" s="149"/>
      <c r="AI46" s="131" t="s">
        <v>264</v>
      </c>
      <c r="AJ46" s="178"/>
      <c r="AK46" s="178"/>
      <c r="AL46" s="178"/>
      <c r="AM46" s="178"/>
      <c r="AN46" s="178"/>
      <c r="AO46" s="178"/>
      <c r="AP46" s="178"/>
      <c r="AQ46" s="178"/>
      <c r="AR46" s="178"/>
      <c r="AS46" s="178"/>
      <c r="AT46" s="149"/>
      <c r="AU46" s="131" t="s">
        <v>265</v>
      </c>
      <c r="AV46" s="178"/>
      <c r="AW46" s="178"/>
      <c r="AX46" s="178"/>
      <c r="AY46" s="178"/>
      <c r="AZ46" s="178"/>
      <c r="BA46" s="178"/>
      <c r="BB46" s="178"/>
      <c r="BC46" s="178"/>
      <c r="BD46" s="178"/>
      <c r="BE46" s="178"/>
      <c r="BF46" s="182"/>
    </row>
    <row r="47" spans="2:58" ht="13" customHeight="1" x14ac:dyDescent="0.25">
      <c r="B47" s="201"/>
      <c r="C47" s="185"/>
      <c r="D47" s="185"/>
      <c r="E47" s="185"/>
      <c r="F47" s="185"/>
      <c r="G47" s="185"/>
      <c r="H47" s="185"/>
      <c r="I47" s="185"/>
      <c r="J47" s="185"/>
      <c r="K47" s="185"/>
      <c r="L47" s="186"/>
      <c r="M47" s="204"/>
      <c r="N47" s="185"/>
      <c r="O47" s="185"/>
      <c r="P47" s="185"/>
      <c r="Q47" s="185"/>
      <c r="R47" s="185"/>
      <c r="S47" s="185"/>
      <c r="T47" s="185"/>
      <c r="U47" s="185"/>
      <c r="V47" s="185"/>
      <c r="W47" s="186"/>
      <c r="X47" s="205"/>
      <c r="Y47" s="185"/>
      <c r="Z47" s="185"/>
      <c r="AA47" s="185"/>
      <c r="AB47" s="185"/>
      <c r="AC47" s="185"/>
      <c r="AD47" s="185"/>
      <c r="AE47" s="185"/>
      <c r="AF47" s="185"/>
      <c r="AG47" s="185"/>
      <c r="AH47" s="186"/>
      <c r="AI47" s="193"/>
      <c r="AJ47" s="185"/>
      <c r="AK47" s="185"/>
      <c r="AL47" s="185"/>
      <c r="AM47" s="185"/>
      <c r="AN47" s="185"/>
      <c r="AO47" s="185"/>
      <c r="AP47" s="185"/>
      <c r="AQ47" s="185"/>
      <c r="AR47" s="185"/>
      <c r="AS47" s="185"/>
      <c r="AT47" s="186"/>
      <c r="AU47" s="193"/>
      <c r="AV47" s="185"/>
      <c r="AW47" s="185"/>
      <c r="AX47" s="185"/>
      <c r="AY47" s="185"/>
      <c r="AZ47" s="185"/>
      <c r="BA47" s="185"/>
      <c r="BB47" s="185"/>
      <c r="BC47" s="185"/>
      <c r="BD47" s="185"/>
      <c r="BE47" s="185"/>
      <c r="BF47" s="194"/>
    </row>
    <row r="48" spans="2:58" ht="13" customHeight="1" x14ac:dyDescent="0.25">
      <c r="B48" s="202"/>
      <c r="C48" s="188"/>
      <c r="D48" s="188"/>
      <c r="E48" s="188"/>
      <c r="F48" s="188"/>
      <c r="G48" s="188"/>
      <c r="H48" s="188"/>
      <c r="I48" s="188"/>
      <c r="J48" s="188"/>
      <c r="K48" s="188"/>
      <c r="L48" s="189"/>
      <c r="M48" s="187"/>
      <c r="N48" s="188"/>
      <c r="O48" s="188"/>
      <c r="P48" s="188"/>
      <c r="Q48" s="188"/>
      <c r="R48" s="188"/>
      <c r="S48" s="188"/>
      <c r="T48" s="188"/>
      <c r="U48" s="188"/>
      <c r="V48" s="188"/>
      <c r="W48" s="189"/>
      <c r="X48" s="187"/>
      <c r="Y48" s="188"/>
      <c r="Z48" s="188"/>
      <c r="AA48" s="188"/>
      <c r="AB48" s="188"/>
      <c r="AC48" s="188"/>
      <c r="AD48" s="188"/>
      <c r="AE48" s="188"/>
      <c r="AF48" s="188"/>
      <c r="AG48" s="188"/>
      <c r="AH48" s="189"/>
      <c r="AI48" s="187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9"/>
      <c r="AU48" s="187"/>
      <c r="AV48" s="188"/>
      <c r="AW48" s="188"/>
      <c r="AX48" s="188"/>
      <c r="AY48" s="188"/>
      <c r="AZ48" s="188"/>
      <c r="BA48" s="188"/>
      <c r="BB48" s="188"/>
      <c r="BC48" s="188"/>
      <c r="BD48" s="188"/>
      <c r="BE48" s="188"/>
      <c r="BF48" s="195"/>
    </row>
    <row r="49" spans="2:58" ht="13" customHeight="1" x14ac:dyDescent="0.25">
      <c r="B49" s="202"/>
      <c r="C49" s="188"/>
      <c r="D49" s="188"/>
      <c r="E49" s="188"/>
      <c r="F49" s="188"/>
      <c r="G49" s="188"/>
      <c r="H49" s="188"/>
      <c r="I49" s="188"/>
      <c r="J49" s="188"/>
      <c r="K49" s="188"/>
      <c r="L49" s="189"/>
      <c r="M49" s="187"/>
      <c r="N49" s="188"/>
      <c r="O49" s="188"/>
      <c r="P49" s="188"/>
      <c r="Q49" s="188"/>
      <c r="R49" s="188"/>
      <c r="S49" s="188"/>
      <c r="T49" s="188"/>
      <c r="U49" s="188"/>
      <c r="V49" s="188"/>
      <c r="W49" s="189"/>
      <c r="X49" s="187"/>
      <c r="Y49" s="188"/>
      <c r="Z49" s="188"/>
      <c r="AA49" s="188"/>
      <c r="AB49" s="188"/>
      <c r="AC49" s="188"/>
      <c r="AD49" s="188"/>
      <c r="AE49" s="188"/>
      <c r="AF49" s="188"/>
      <c r="AG49" s="188"/>
      <c r="AH49" s="189"/>
      <c r="AI49" s="187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9"/>
      <c r="AU49" s="187"/>
      <c r="AV49" s="188"/>
      <c r="AW49" s="188"/>
      <c r="AX49" s="188"/>
      <c r="AY49" s="188"/>
      <c r="AZ49" s="188"/>
      <c r="BA49" s="188"/>
      <c r="BB49" s="188"/>
      <c r="BC49" s="188"/>
      <c r="BD49" s="188"/>
      <c r="BE49" s="188"/>
      <c r="BF49" s="195"/>
    </row>
    <row r="50" spans="2:58" ht="13" customHeight="1" x14ac:dyDescent="0.25">
      <c r="B50" s="202"/>
      <c r="C50" s="188"/>
      <c r="D50" s="188"/>
      <c r="E50" s="188"/>
      <c r="F50" s="188"/>
      <c r="G50" s="188"/>
      <c r="H50" s="188"/>
      <c r="I50" s="188"/>
      <c r="J50" s="188"/>
      <c r="K50" s="188"/>
      <c r="L50" s="189"/>
      <c r="M50" s="187"/>
      <c r="N50" s="188"/>
      <c r="O50" s="188"/>
      <c r="P50" s="188"/>
      <c r="Q50" s="188"/>
      <c r="R50" s="188"/>
      <c r="S50" s="188"/>
      <c r="T50" s="188"/>
      <c r="U50" s="188"/>
      <c r="V50" s="188"/>
      <c r="W50" s="189"/>
      <c r="X50" s="187"/>
      <c r="Y50" s="188"/>
      <c r="Z50" s="188"/>
      <c r="AA50" s="188"/>
      <c r="AB50" s="188"/>
      <c r="AC50" s="188"/>
      <c r="AD50" s="188"/>
      <c r="AE50" s="188"/>
      <c r="AF50" s="188"/>
      <c r="AG50" s="188"/>
      <c r="AH50" s="189"/>
      <c r="AI50" s="187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9"/>
      <c r="AU50" s="187"/>
      <c r="AV50" s="188"/>
      <c r="AW50" s="188"/>
      <c r="AX50" s="188"/>
      <c r="AY50" s="188"/>
      <c r="AZ50" s="188"/>
      <c r="BA50" s="188"/>
      <c r="BB50" s="188"/>
      <c r="BC50" s="188"/>
      <c r="BD50" s="188"/>
      <c r="BE50" s="188"/>
      <c r="BF50" s="195"/>
    </row>
    <row r="51" spans="2:58" ht="13" customHeight="1" x14ac:dyDescent="0.25">
      <c r="B51" s="202"/>
      <c r="C51" s="188"/>
      <c r="D51" s="188"/>
      <c r="E51" s="188"/>
      <c r="F51" s="188"/>
      <c r="G51" s="188"/>
      <c r="H51" s="188"/>
      <c r="I51" s="188"/>
      <c r="J51" s="188"/>
      <c r="K51" s="188"/>
      <c r="L51" s="189"/>
      <c r="M51" s="187"/>
      <c r="N51" s="188"/>
      <c r="O51" s="188"/>
      <c r="P51" s="188"/>
      <c r="Q51" s="188"/>
      <c r="R51" s="188"/>
      <c r="S51" s="188"/>
      <c r="T51" s="188"/>
      <c r="U51" s="188"/>
      <c r="V51" s="188"/>
      <c r="W51" s="189"/>
      <c r="X51" s="187"/>
      <c r="Y51" s="188"/>
      <c r="Z51" s="188"/>
      <c r="AA51" s="188"/>
      <c r="AB51" s="188"/>
      <c r="AC51" s="188"/>
      <c r="AD51" s="188"/>
      <c r="AE51" s="188"/>
      <c r="AF51" s="188"/>
      <c r="AG51" s="188"/>
      <c r="AH51" s="189"/>
      <c r="AI51" s="187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9"/>
      <c r="AU51" s="187"/>
      <c r="AV51" s="188"/>
      <c r="AW51" s="188"/>
      <c r="AX51" s="188"/>
      <c r="AY51" s="188"/>
      <c r="AZ51" s="188"/>
      <c r="BA51" s="188"/>
      <c r="BB51" s="188"/>
      <c r="BC51" s="188"/>
      <c r="BD51" s="188"/>
      <c r="BE51" s="188"/>
      <c r="BF51" s="195"/>
    </row>
    <row r="52" spans="2:58" ht="13" customHeight="1" x14ac:dyDescent="0.25">
      <c r="B52" s="203"/>
      <c r="C52" s="191"/>
      <c r="D52" s="191"/>
      <c r="E52" s="191"/>
      <c r="F52" s="191"/>
      <c r="G52" s="191"/>
      <c r="H52" s="191"/>
      <c r="I52" s="191"/>
      <c r="J52" s="191"/>
      <c r="K52" s="191"/>
      <c r="L52" s="148"/>
      <c r="M52" s="190"/>
      <c r="N52" s="191"/>
      <c r="O52" s="191"/>
      <c r="P52" s="191"/>
      <c r="Q52" s="191"/>
      <c r="R52" s="191"/>
      <c r="S52" s="191"/>
      <c r="T52" s="191"/>
      <c r="U52" s="191"/>
      <c r="V52" s="191"/>
      <c r="W52" s="148"/>
      <c r="X52" s="190"/>
      <c r="Y52" s="191"/>
      <c r="Z52" s="191"/>
      <c r="AA52" s="191"/>
      <c r="AB52" s="191"/>
      <c r="AC52" s="191"/>
      <c r="AD52" s="191"/>
      <c r="AE52" s="191"/>
      <c r="AF52" s="191"/>
      <c r="AG52" s="191"/>
      <c r="AH52" s="148"/>
      <c r="AI52" s="190"/>
      <c r="AJ52" s="191"/>
      <c r="AK52" s="191"/>
      <c r="AL52" s="191"/>
      <c r="AM52" s="191"/>
      <c r="AN52" s="191"/>
      <c r="AO52" s="191"/>
      <c r="AP52" s="191"/>
      <c r="AQ52" s="191"/>
      <c r="AR52" s="191"/>
      <c r="AS52" s="191"/>
      <c r="AT52" s="148"/>
      <c r="AU52" s="190"/>
      <c r="AV52" s="191"/>
      <c r="AW52" s="191"/>
      <c r="AX52" s="191"/>
      <c r="AY52" s="191"/>
      <c r="AZ52" s="191"/>
      <c r="BA52" s="191"/>
      <c r="BB52" s="191"/>
      <c r="BC52" s="191"/>
      <c r="BD52" s="191"/>
      <c r="BE52" s="191"/>
      <c r="BF52" s="196"/>
    </row>
    <row r="53" spans="2:58" ht="13" customHeight="1" x14ac:dyDescent="0.25">
      <c r="B53" s="180" t="s">
        <v>266</v>
      </c>
      <c r="C53" s="178"/>
      <c r="D53" s="178"/>
      <c r="E53" s="178"/>
      <c r="F53" s="178"/>
      <c r="G53" s="178"/>
      <c r="H53" s="178"/>
      <c r="I53" s="178"/>
      <c r="J53" s="178"/>
      <c r="K53" s="178"/>
      <c r="L53" s="149"/>
      <c r="M53" s="183" t="s">
        <v>267</v>
      </c>
      <c r="N53" s="178"/>
      <c r="O53" s="178"/>
      <c r="P53" s="178"/>
      <c r="Q53" s="178"/>
      <c r="R53" s="178"/>
      <c r="S53" s="178"/>
      <c r="T53" s="178"/>
      <c r="U53" s="178"/>
      <c r="V53" s="178"/>
      <c r="W53" s="149"/>
      <c r="X53" s="181" t="s">
        <v>268</v>
      </c>
      <c r="Y53" s="178"/>
      <c r="Z53" s="178"/>
      <c r="AA53" s="178"/>
      <c r="AB53" s="178"/>
      <c r="AC53" s="178"/>
      <c r="AD53" s="178"/>
      <c r="AE53" s="178"/>
      <c r="AF53" s="178"/>
      <c r="AG53" s="178"/>
      <c r="AH53" s="149"/>
      <c r="AI53" s="131" t="s">
        <v>269</v>
      </c>
      <c r="AJ53" s="178"/>
      <c r="AK53" s="178"/>
      <c r="AL53" s="178"/>
      <c r="AM53" s="178"/>
      <c r="AN53" s="178"/>
      <c r="AO53" s="178"/>
      <c r="AP53" s="178"/>
      <c r="AQ53" s="178"/>
      <c r="AR53" s="178"/>
      <c r="AS53" s="178"/>
      <c r="AT53" s="149"/>
      <c r="AU53" s="131" t="s">
        <v>270</v>
      </c>
      <c r="AV53" s="178"/>
      <c r="AW53" s="178"/>
      <c r="AX53" s="178"/>
      <c r="AY53" s="178"/>
      <c r="AZ53" s="178"/>
      <c r="BA53" s="178"/>
      <c r="BB53" s="178"/>
      <c r="BC53" s="178"/>
      <c r="BD53" s="178"/>
      <c r="BE53" s="178"/>
      <c r="BF53" s="182"/>
    </row>
    <row r="54" spans="2:58" ht="13" customHeight="1" x14ac:dyDescent="0.25">
      <c r="B54" s="201"/>
      <c r="C54" s="185"/>
      <c r="D54" s="185"/>
      <c r="E54" s="185"/>
      <c r="F54" s="185"/>
      <c r="G54" s="185"/>
      <c r="H54" s="185"/>
      <c r="I54" s="185"/>
      <c r="J54" s="185"/>
      <c r="K54" s="185"/>
      <c r="L54" s="186"/>
      <c r="M54" s="209"/>
      <c r="N54" s="185"/>
      <c r="O54" s="185"/>
      <c r="P54" s="185"/>
      <c r="Q54" s="185"/>
      <c r="R54" s="185"/>
      <c r="S54" s="185"/>
      <c r="T54" s="185"/>
      <c r="U54" s="185"/>
      <c r="V54" s="185"/>
      <c r="W54" s="186"/>
      <c r="X54" s="205"/>
      <c r="Y54" s="185"/>
      <c r="Z54" s="185"/>
      <c r="AA54" s="185"/>
      <c r="AB54" s="185"/>
      <c r="AC54" s="185"/>
      <c r="AD54" s="185"/>
      <c r="AE54" s="185"/>
      <c r="AF54" s="185"/>
      <c r="AG54" s="185"/>
      <c r="AH54" s="186"/>
      <c r="AI54" s="193"/>
      <c r="AJ54" s="185"/>
      <c r="AK54" s="185"/>
      <c r="AL54" s="185"/>
      <c r="AM54" s="185"/>
      <c r="AN54" s="185"/>
      <c r="AO54" s="185"/>
      <c r="AP54" s="185"/>
      <c r="AQ54" s="185"/>
      <c r="AR54" s="185"/>
      <c r="AS54" s="185"/>
      <c r="AT54" s="186"/>
      <c r="AU54" s="193"/>
      <c r="AV54" s="185"/>
      <c r="AW54" s="185"/>
      <c r="AX54" s="185"/>
      <c r="AY54" s="185"/>
      <c r="AZ54" s="185"/>
      <c r="BA54" s="185"/>
      <c r="BB54" s="185"/>
      <c r="BC54" s="185"/>
      <c r="BD54" s="185"/>
      <c r="BE54" s="185"/>
      <c r="BF54" s="194"/>
    </row>
    <row r="55" spans="2:58" ht="13" customHeight="1" x14ac:dyDescent="0.25">
      <c r="B55" s="202"/>
      <c r="C55" s="188"/>
      <c r="D55" s="188"/>
      <c r="E55" s="188"/>
      <c r="F55" s="188"/>
      <c r="G55" s="188"/>
      <c r="H55" s="188"/>
      <c r="I55" s="188"/>
      <c r="J55" s="188"/>
      <c r="K55" s="188"/>
      <c r="L55" s="189"/>
      <c r="M55" s="187"/>
      <c r="N55" s="188"/>
      <c r="O55" s="188"/>
      <c r="P55" s="188"/>
      <c r="Q55" s="188"/>
      <c r="R55" s="188"/>
      <c r="S55" s="188"/>
      <c r="T55" s="188"/>
      <c r="U55" s="188"/>
      <c r="V55" s="188"/>
      <c r="W55" s="189"/>
      <c r="X55" s="187"/>
      <c r="Y55" s="188"/>
      <c r="Z55" s="188"/>
      <c r="AA55" s="188"/>
      <c r="AB55" s="188"/>
      <c r="AC55" s="188"/>
      <c r="AD55" s="188"/>
      <c r="AE55" s="188"/>
      <c r="AF55" s="188"/>
      <c r="AG55" s="188"/>
      <c r="AH55" s="189"/>
      <c r="AI55" s="187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9"/>
      <c r="AU55" s="187"/>
      <c r="AV55" s="188"/>
      <c r="AW55" s="188"/>
      <c r="AX55" s="188"/>
      <c r="AY55" s="188"/>
      <c r="AZ55" s="188"/>
      <c r="BA55" s="188"/>
      <c r="BB55" s="188"/>
      <c r="BC55" s="188"/>
      <c r="BD55" s="188"/>
      <c r="BE55" s="188"/>
      <c r="BF55" s="195"/>
    </row>
    <row r="56" spans="2:58" ht="13" customHeight="1" x14ac:dyDescent="0.25">
      <c r="B56" s="202"/>
      <c r="C56" s="188"/>
      <c r="D56" s="188"/>
      <c r="E56" s="188"/>
      <c r="F56" s="188"/>
      <c r="G56" s="188"/>
      <c r="H56" s="188"/>
      <c r="I56" s="188"/>
      <c r="J56" s="188"/>
      <c r="K56" s="188"/>
      <c r="L56" s="189"/>
      <c r="M56" s="187"/>
      <c r="N56" s="188"/>
      <c r="O56" s="188"/>
      <c r="P56" s="188"/>
      <c r="Q56" s="188"/>
      <c r="R56" s="188"/>
      <c r="S56" s="188"/>
      <c r="T56" s="188"/>
      <c r="U56" s="188"/>
      <c r="V56" s="188"/>
      <c r="W56" s="189"/>
      <c r="X56" s="187"/>
      <c r="Y56" s="188"/>
      <c r="Z56" s="188"/>
      <c r="AA56" s="188"/>
      <c r="AB56" s="188"/>
      <c r="AC56" s="188"/>
      <c r="AD56" s="188"/>
      <c r="AE56" s="188"/>
      <c r="AF56" s="188"/>
      <c r="AG56" s="188"/>
      <c r="AH56" s="189"/>
      <c r="AI56" s="187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9"/>
      <c r="AU56" s="187"/>
      <c r="AV56" s="188"/>
      <c r="AW56" s="188"/>
      <c r="AX56" s="188"/>
      <c r="AY56" s="188"/>
      <c r="AZ56" s="188"/>
      <c r="BA56" s="188"/>
      <c r="BB56" s="188"/>
      <c r="BC56" s="188"/>
      <c r="BD56" s="188"/>
      <c r="BE56" s="188"/>
      <c r="BF56" s="195"/>
    </row>
    <row r="57" spans="2:58" ht="13" customHeight="1" x14ac:dyDescent="0.25">
      <c r="B57" s="202"/>
      <c r="C57" s="188"/>
      <c r="D57" s="188"/>
      <c r="E57" s="188"/>
      <c r="F57" s="188"/>
      <c r="G57" s="188"/>
      <c r="H57" s="188"/>
      <c r="I57" s="188"/>
      <c r="J57" s="188"/>
      <c r="K57" s="188"/>
      <c r="L57" s="189"/>
      <c r="M57" s="187"/>
      <c r="N57" s="188"/>
      <c r="O57" s="188"/>
      <c r="P57" s="188"/>
      <c r="Q57" s="188"/>
      <c r="R57" s="188"/>
      <c r="S57" s="188"/>
      <c r="T57" s="188"/>
      <c r="U57" s="188"/>
      <c r="V57" s="188"/>
      <c r="W57" s="189"/>
      <c r="X57" s="187"/>
      <c r="Y57" s="188"/>
      <c r="Z57" s="188"/>
      <c r="AA57" s="188"/>
      <c r="AB57" s="188"/>
      <c r="AC57" s="188"/>
      <c r="AD57" s="188"/>
      <c r="AE57" s="188"/>
      <c r="AF57" s="188"/>
      <c r="AG57" s="188"/>
      <c r="AH57" s="189"/>
      <c r="AI57" s="187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9"/>
      <c r="AU57" s="187"/>
      <c r="AV57" s="188"/>
      <c r="AW57" s="188"/>
      <c r="AX57" s="188"/>
      <c r="AY57" s="188"/>
      <c r="AZ57" s="188"/>
      <c r="BA57" s="188"/>
      <c r="BB57" s="188"/>
      <c r="BC57" s="188"/>
      <c r="BD57" s="188"/>
      <c r="BE57" s="188"/>
      <c r="BF57" s="195"/>
    </row>
    <row r="58" spans="2:58" ht="13" customHeight="1" x14ac:dyDescent="0.25">
      <c r="B58" s="202"/>
      <c r="C58" s="188"/>
      <c r="D58" s="188"/>
      <c r="E58" s="188"/>
      <c r="F58" s="188"/>
      <c r="G58" s="188"/>
      <c r="H58" s="188"/>
      <c r="I58" s="188"/>
      <c r="J58" s="188"/>
      <c r="K58" s="188"/>
      <c r="L58" s="189"/>
      <c r="M58" s="187"/>
      <c r="N58" s="188"/>
      <c r="O58" s="188"/>
      <c r="P58" s="188"/>
      <c r="Q58" s="188"/>
      <c r="R58" s="188"/>
      <c r="S58" s="188"/>
      <c r="T58" s="188"/>
      <c r="U58" s="188"/>
      <c r="V58" s="188"/>
      <c r="W58" s="189"/>
      <c r="X58" s="187"/>
      <c r="Y58" s="188"/>
      <c r="Z58" s="188"/>
      <c r="AA58" s="188"/>
      <c r="AB58" s="188"/>
      <c r="AC58" s="188"/>
      <c r="AD58" s="188"/>
      <c r="AE58" s="188"/>
      <c r="AF58" s="188"/>
      <c r="AG58" s="188"/>
      <c r="AH58" s="189"/>
      <c r="AI58" s="187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9"/>
      <c r="AU58" s="187"/>
      <c r="AV58" s="188"/>
      <c r="AW58" s="188"/>
      <c r="AX58" s="188"/>
      <c r="AY58" s="188"/>
      <c r="AZ58" s="188"/>
      <c r="BA58" s="188"/>
      <c r="BB58" s="188"/>
      <c r="BC58" s="188"/>
      <c r="BD58" s="188"/>
      <c r="BE58" s="188"/>
      <c r="BF58" s="195"/>
    </row>
    <row r="59" spans="2:58" ht="13" customHeight="1" x14ac:dyDescent="0.25">
      <c r="B59" s="206"/>
      <c r="C59" s="207"/>
      <c r="D59" s="207"/>
      <c r="E59" s="207"/>
      <c r="F59" s="207"/>
      <c r="G59" s="207"/>
      <c r="H59" s="207"/>
      <c r="I59" s="207"/>
      <c r="J59" s="207"/>
      <c r="K59" s="207"/>
      <c r="L59" s="208"/>
      <c r="M59" s="210"/>
      <c r="N59" s="207"/>
      <c r="O59" s="207"/>
      <c r="P59" s="207"/>
      <c r="Q59" s="207"/>
      <c r="R59" s="207"/>
      <c r="S59" s="207"/>
      <c r="T59" s="207"/>
      <c r="U59" s="207"/>
      <c r="V59" s="207"/>
      <c r="W59" s="208"/>
      <c r="X59" s="210"/>
      <c r="Y59" s="207"/>
      <c r="Z59" s="207"/>
      <c r="AA59" s="207"/>
      <c r="AB59" s="207"/>
      <c r="AC59" s="207"/>
      <c r="AD59" s="207"/>
      <c r="AE59" s="207"/>
      <c r="AF59" s="207"/>
      <c r="AG59" s="207"/>
      <c r="AH59" s="208"/>
      <c r="AI59" s="210"/>
      <c r="AJ59" s="207"/>
      <c r="AK59" s="207"/>
      <c r="AL59" s="207"/>
      <c r="AM59" s="207"/>
      <c r="AN59" s="207"/>
      <c r="AO59" s="207"/>
      <c r="AP59" s="207"/>
      <c r="AQ59" s="207"/>
      <c r="AR59" s="207"/>
      <c r="AS59" s="207"/>
      <c r="AT59" s="208"/>
      <c r="AU59" s="210"/>
      <c r="AV59" s="207"/>
      <c r="AW59" s="207"/>
      <c r="AX59" s="207"/>
      <c r="AY59" s="207"/>
      <c r="AZ59" s="207"/>
      <c r="BA59" s="207"/>
      <c r="BB59" s="207"/>
      <c r="BC59" s="207"/>
      <c r="BD59" s="207"/>
      <c r="BE59" s="207"/>
      <c r="BF59" s="211"/>
    </row>
    <row r="60" spans="2:58" ht="13" customHeight="1" x14ac:dyDescent="0.25">
      <c r="B60" s="147" t="s">
        <v>49</v>
      </c>
      <c r="C60" s="148"/>
      <c r="D60" s="9" t="s">
        <v>19</v>
      </c>
      <c r="E60" s="124" t="s">
        <v>20</v>
      </c>
      <c r="F60" s="127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  <c r="AD60" s="128"/>
      <c r="AE60" s="128"/>
      <c r="AF60" s="128"/>
      <c r="AG60" s="128"/>
      <c r="AH60" s="128"/>
      <c r="AI60" s="128"/>
      <c r="AJ60" s="128"/>
      <c r="AK60" s="128"/>
      <c r="AL60" s="128"/>
      <c r="AM60" s="128"/>
      <c r="AN60" s="128"/>
      <c r="AO60" s="129"/>
      <c r="AP60" s="129"/>
      <c r="AQ60" s="129"/>
      <c r="AR60" s="129"/>
      <c r="AS60" s="129"/>
      <c r="AT60" s="129"/>
      <c r="AU60" s="129"/>
      <c r="AV60" s="129"/>
      <c r="AW60" s="129"/>
      <c r="AX60" s="129"/>
      <c r="AY60" s="129"/>
      <c r="AZ60" s="129"/>
      <c r="BA60" s="129"/>
      <c r="BB60" s="129"/>
      <c r="BC60" s="129"/>
      <c r="BD60" s="129"/>
      <c r="BE60" s="129"/>
      <c r="BF60" s="130"/>
    </row>
    <row r="61" spans="2:58" ht="13" customHeight="1" x14ac:dyDescent="0.25">
      <c r="B61" s="123" t="s">
        <v>226</v>
      </c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  <c r="AM61" s="125"/>
      <c r="AN61" s="125"/>
      <c r="AO61" s="131"/>
      <c r="AP61" s="131"/>
      <c r="AQ61" s="131"/>
      <c r="AR61" s="131"/>
      <c r="AS61" s="131"/>
      <c r="AT61" s="131"/>
      <c r="AU61" s="131"/>
      <c r="AV61" s="131"/>
      <c r="AW61" s="131"/>
      <c r="AX61" s="131"/>
      <c r="AY61" s="131"/>
      <c r="AZ61" s="131"/>
      <c r="BA61" s="131"/>
      <c r="BB61" s="131"/>
      <c r="BC61" s="131"/>
      <c r="BD61" s="131"/>
      <c r="BE61" s="131"/>
      <c r="BF61" s="132"/>
    </row>
    <row r="62" spans="2:58" ht="13" customHeight="1" thickBot="1" x14ac:dyDescent="0.3">
      <c r="B62" s="135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  <c r="AD62" s="126"/>
      <c r="AE62" s="126"/>
      <c r="AF62" s="126"/>
      <c r="AG62" s="126"/>
      <c r="AH62" s="126"/>
      <c r="AI62" s="126"/>
      <c r="AJ62" s="126"/>
      <c r="AK62" s="126"/>
      <c r="AL62" s="126"/>
      <c r="AM62" s="126"/>
      <c r="AN62" s="126"/>
      <c r="AO62" s="133"/>
      <c r="AP62" s="133"/>
      <c r="AQ62" s="133"/>
      <c r="AR62" s="133"/>
      <c r="AS62" s="133"/>
      <c r="AT62" s="133"/>
      <c r="AU62" s="133"/>
      <c r="AV62" s="133"/>
      <c r="AW62" s="133"/>
      <c r="AX62" s="133"/>
      <c r="AY62" s="133"/>
      <c r="AZ62" s="133"/>
      <c r="BA62" s="133"/>
      <c r="BB62" s="133"/>
      <c r="BC62" s="133"/>
      <c r="BD62" s="133"/>
      <c r="BE62" s="133"/>
      <c r="BF62" s="134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E01FA-5897-4555-851A-F7BA26B3C8EB}">
  <dimension ref="B1:AU541"/>
  <sheetViews>
    <sheetView zoomScaleNormal="100" workbookViewId="0">
      <selection activeCell="O23" sqref="O23"/>
    </sheetView>
  </sheetViews>
  <sheetFormatPr defaultRowHeight="8" x14ac:dyDescent="0.25"/>
  <cols>
    <col min="1" max="1" width="0.453125" style="6" customWidth="1"/>
    <col min="2" max="2" width="3.453125" style="6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  <col min="16170" max="16384" width="9" style="6"/>
  </cols>
  <sheetData>
    <row r="1" spans="2:47" ht="5.15" customHeight="1" x14ac:dyDescent="0.25"/>
    <row r="2" spans="2:47" ht="17.5" customHeight="1" thickBot="1" x14ac:dyDescent="0.3">
      <c r="B2" s="150" t="s">
        <v>227</v>
      </c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151"/>
      <c r="AE2" s="151"/>
      <c r="AF2" s="151"/>
      <c r="AG2" s="151"/>
      <c r="AH2" s="151"/>
      <c r="AI2" s="151"/>
      <c r="AJ2" s="151"/>
      <c r="AK2" s="151"/>
      <c r="AL2" s="151"/>
      <c r="AM2" s="151"/>
      <c r="AN2" s="151"/>
      <c r="AO2" s="151"/>
      <c r="AP2" s="151"/>
      <c r="AQ2" s="151"/>
      <c r="AR2" s="151"/>
    </row>
    <row r="3" spans="2:47" ht="20.149999999999999" customHeight="1" x14ac:dyDescent="0.25">
      <c r="B3" s="152" t="s">
        <v>181</v>
      </c>
      <c r="C3" s="110" t="s">
        <v>163</v>
      </c>
      <c r="D3" s="160"/>
      <c r="E3" s="160"/>
      <c r="F3" s="160"/>
      <c r="G3" s="160"/>
      <c r="H3" s="161"/>
      <c r="I3" s="164" t="s">
        <v>8</v>
      </c>
      <c r="J3" s="160"/>
      <c r="K3" s="160"/>
      <c r="L3" s="160"/>
      <c r="M3" s="160"/>
      <c r="N3" s="160"/>
      <c r="O3" s="160"/>
      <c r="P3" s="165"/>
      <c r="Q3" s="110" t="s">
        <v>77</v>
      </c>
      <c r="R3" s="160"/>
      <c r="S3" s="165"/>
      <c r="T3" s="110" t="s">
        <v>10</v>
      </c>
      <c r="U3" s="160"/>
      <c r="V3" s="160"/>
      <c r="W3" s="165"/>
      <c r="X3" s="110" t="s">
        <v>80</v>
      </c>
      <c r="Y3" s="111"/>
      <c r="Z3" s="110" t="s">
        <v>11</v>
      </c>
      <c r="AA3" s="111"/>
      <c r="AB3" s="13" t="s">
        <v>13</v>
      </c>
      <c r="AC3" s="110" t="s">
        <v>14</v>
      </c>
      <c r="AD3" s="111"/>
      <c r="AE3" s="114" t="s">
        <v>88</v>
      </c>
      <c r="AF3" s="115"/>
      <c r="AG3" s="115"/>
      <c r="AH3" s="115"/>
      <c r="AI3" s="115"/>
      <c r="AJ3" s="115"/>
      <c r="AK3" s="116"/>
      <c r="AL3" s="110" t="s">
        <v>18</v>
      </c>
      <c r="AM3" s="156"/>
      <c r="AN3" s="157"/>
      <c r="AO3" s="156" t="s">
        <v>16</v>
      </c>
      <c r="AP3" s="156"/>
      <c r="AQ3" s="156"/>
      <c r="AR3" s="159"/>
    </row>
    <row r="4" spans="2:47" ht="30" customHeight="1" x14ac:dyDescent="0.25">
      <c r="B4" s="153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62" t="s">
        <v>62</v>
      </c>
      <c r="J4" s="163"/>
      <c r="K4" s="3" t="s">
        <v>6</v>
      </c>
      <c r="L4" s="3" t="s">
        <v>66</v>
      </c>
      <c r="M4" s="3" t="s">
        <v>164</v>
      </c>
      <c r="N4" s="3" t="s">
        <v>165</v>
      </c>
      <c r="O4" s="117" t="s">
        <v>7</v>
      </c>
      <c r="P4" s="118"/>
      <c r="Q4" s="155" t="s">
        <v>71</v>
      </c>
      <c r="R4" s="118"/>
      <c r="S4" s="3" t="s">
        <v>51</v>
      </c>
      <c r="T4" s="3" t="s">
        <v>75</v>
      </c>
      <c r="U4" s="155" t="s">
        <v>78</v>
      </c>
      <c r="V4" s="118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12" t="s">
        <v>89</v>
      </c>
      <c r="AF4" s="113"/>
      <c r="AG4" s="112" t="s">
        <v>92</v>
      </c>
      <c r="AH4" s="113"/>
      <c r="AI4" s="10" t="s">
        <v>166</v>
      </c>
      <c r="AJ4" s="10" t="s">
        <v>167</v>
      </c>
      <c r="AK4" s="11" t="s">
        <v>115</v>
      </c>
      <c r="AL4" s="155" t="s">
        <v>110</v>
      </c>
      <c r="AM4" s="118"/>
      <c r="AN4" s="29" t="s">
        <v>111</v>
      </c>
      <c r="AO4" s="26" t="s">
        <v>12</v>
      </c>
      <c r="AP4" s="3" t="s">
        <v>1</v>
      </c>
      <c r="AQ4" s="131" t="s">
        <v>161</v>
      </c>
      <c r="AR4" s="158"/>
      <c r="AU4" s="20"/>
    </row>
    <row r="5" spans="2:47" ht="20.149999999999999" customHeight="1" x14ac:dyDescent="0.25">
      <c r="B5" s="154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289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50</v>
      </c>
      <c r="C6" s="54"/>
      <c r="D6" s="54"/>
      <c r="E6" s="54"/>
      <c r="F6" s="54"/>
      <c r="G6" s="54"/>
      <c r="H6" s="55"/>
      <c r="I6" s="56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 t="s">
        <v>4</v>
      </c>
      <c r="Z6" s="54"/>
      <c r="AA6" s="54"/>
      <c r="AB6" s="54"/>
      <c r="AC6" s="54"/>
      <c r="AD6" s="54"/>
      <c r="AE6" s="57"/>
      <c r="AF6" s="57"/>
      <c r="AG6" s="57"/>
      <c r="AH6" s="57"/>
      <c r="AI6" s="57"/>
      <c r="AJ6" s="57"/>
      <c r="AK6" s="57"/>
      <c r="AL6" s="54"/>
      <c r="AM6" s="58"/>
      <c r="AN6" s="59"/>
      <c r="AO6" s="60"/>
      <c r="AP6" s="61"/>
      <c r="AQ6" s="61"/>
      <c r="AR6" s="62"/>
    </row>
    <row r="7" spans="2:47" ht="13.5" customHeight="1" x14ac:dyDescent="0.25">
      <c r="B7" s="14">
        <v>0.875</v>
      </c>
      <c r="C7" s="54"/>
      <c r="D7" s="54"/>
      <c r="E7" s="54"/>
      <c r="F7" s="54"/>
      <c r="G7" s="54"/>
      <c r="H7" s="55"/>
      <c r="I7" s="56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 t="s">
        <v>82</v>
      </c>
      <c r="Z7" s="54"/>
      <c r="AA7" s="54"/>
      <c r="AB7" s="54"/>
      <c r="AC7" s="54"/>
      <c r="AD7" s="54"/>
      <c r="AE7" s="57"/>
      <c r="AF7" s="57"/>
      <c r="AG7" s="57"/>
      <c r="AH7" s="57"/>
      <c r="AI7" s="57"/>
      <c r="AJ7" s="57"/>
      <c r="AK7" s="57"/>
      <c r="AL7" s="54"/>
      <c r="AM7" s="58"/>
      <c r="AN7" s="59"/>
      <c r="AO7" s="60"/>
      <c r="AP7" s="61"/>
      <c r="AQ7" s="61"/>
      <c r="AR7" s="62"/>
    </row>
    <row r="8" spans="2:47" ht="13.5" customHeight="1" x14ac:dyDescent="0.25">
      <c r="B8" s="41" t="s">
        <v>271</v>
      </c>
      <c r="C8" s="54"/>
      <c r="D8" s="54"/>
      <c r="E8" s="54"/>
      <c r="F8" s="54"/>
      <c r="G8" s="54"/>
      <c r="H8" s="55"/>
      <c r="I8" s="56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 t="s">
        <v>82</v>
      </c>
      <c r="Z8" s="54"/>
      <c r="AA8" s="54"/>
      <c r="AB8" s="54"/>
      <c r="AC8" s="54"/>
      <c r="AD8" s="54"/>
      <c r="AE8" s="57"/>
      <c r="AF8" s="57"/>
      <c r="AG8" s="57"/>
      <c r="AH8" s="57"/>
      <c r="AI8" s="57"/>
      <c r="AJ8" s="57"/>
      <c r="AK8" s="57"/>
      <c r="AL8" s="54"/>
      <c r="AM8" s="58"/>
      <c r="AN8" s="59"/>
      <c r="AO8" s="60"/>
      <c r="AP8" s="61"/>
      <c r="AQ8" s="61"/>
      <c r="AR8" s="62"/>
    </row>
    <row r="9" spans="2:47" ht="13.5" customHeight="1" x14ac:dyDescent="0.25">
      <c r="B9" s="14">
        <v>0.95833333333333337</v>
      </c>
      <c r="C9" s="54"/>
      <c r="D9" s="54"/>
      <c r="E9" s="54"/>
      <c r="F9" s="54"/>
      <c r="G9" s="54"/>
      <c r="H9" s="55"/>
      <c r="I9" s="56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 t="s">
        <v>82</v>
      </c>
      <c r="Z9" s="54"/>
      <c r="AA9" s="54"/>
      <c r="AB9" s="54"/>
      <c r="AC9" s="54"/>
      <c r="AD9" s="54"/>
      <c r="AE9" s="57"/>
      <c r="AF9" s="57"/>
      <c r="AG9" s="57"/>
      <c r="AH9" s="57"/>
      <c r="AI9" s="57"/>
      <c r="AJ9" s="57"/>
      <c r="AK9" s="57"/>
      <c r="AL9" s="54"/>
      <c r="AM9" s="58"/>
      <c r="AN9" s="59"/>
      <c r="AO9" s="60"/>
      <c r="AP9" s="61"/>
      <c r="AQ9" s="61"/>
      <c r="AR9" s="62"/>
    </row>
    <row r="10" spans="2:47" ht="13.5" customHeight="1" x14ac:dyDescent="0.25">
      <c r="B10" s="41" t="s">
        <v>272</v>
      </c>
      <c r="C10" s="54"/>
      <c r="D10" s="54"/>
      <c r="E10" s="54"/>
      <c r="F10" s="54"/>
      <c r="G10" s="54"/>
      <c r="H10" s="55"/>
      <c r="I10" s="56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 t="s">
        <v>82</v>
      </c>
      <c r="Z10" s="54"/>
      <c r="AA10" s="54"/>
      <c r="AB10" s="54"/>
      <c r="AC10" s="54"/>
      <c r="AD10" s="54"/>
      <c r="AE10" s="57"/>
      <c r="AF10" s="57"/>
      <c r="AG10" s="57"/>
      <c r="AH10" s="57"/>
      <c r="AI10" s="57"/>
      <c r="AJ10" s="57"/>
      <c r="AK10" s="57"/>
      <c r="AL10" s="54"/>
      <c r="AM10" s="58"/>
      <c r="AN10" s="59"/>
      <c r="AO10" s="60"/>
      <c r="AP10" s="61"/>
      <c r="AQ10" s="61"/>
      <c r="AR10" s="62"/>
    </row>
    <row r="11" spans="2:47" ht="13.5" customHeight="1" x14ac:dyDescent="0.25">
      <c r="B11" s="14">
        <v>4.1666666666666664E-2</v>
      </c>
      <c r="C11" s="54"/>
      <c r="D11" s="54"/>
      <c r="E11" s="54"/>
      <c r="F11" s="54"/>
      <c r="G11" s="54"/>
      <c r="H11" s="55"/>
      <c r="I11" s="56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 t="s">
        <v>82</v>
      </c>
      <c r="Z11" s="54"/>
      <c r="AA11" s="54"/>
      <c r="AB11" s="54"/>
      <c r="AC11" s="54"/>
      <c r="AD11" s="54"/>
      <c r="AE11" s="57"/>
      <c r="AF11" s="57"/>
      <c r="AG11" s="57"/>
      <c r="AH11" s="57"/>
      <c r="AI11" s="57"/>
      <c r="AJ11" s="57"/>
      <c r="AK11" s="57"/>
      <c r="AL11" s="54"/>
      <c r="AM11" s="58"/>
      <c r="AN11" s="59"/>
      <c r="AO11" s="60"/>
      <c r="AP11" s="61"/>
      <c r="AQ11" s="61"/>
      <c r="AR11" s="62"/>
    </row>
    <row r="12" spans="2:47" ht="13.5" customHeight="1" x14ac:dyDescent="0.25">
      <c r="B12" s="41" t="s">
        <v>273</v>
      </c>
      <c r="C12" s="54"/>
      <c r="D12" s="54"/>
      <c r="E12" s="54"/>
      <c r="F12" s="54"/>
      <c r="G12" s="54"/>
      <c r="H12" s="55"/>
      <c r="I12" s="56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 t="s">
        <v>82</v>
      </c>
      <c r="Z12" s="54"/>
      <c r="AA12" s="54"/>
      <c r="AB12" s="54"/>
      <c r="AC12" s="54"/>
      <c r="AD12" s="54"/>
      <c r="AE12" s="57"/>
      <c r="AF12" s="57"/>
      <c r="AG12" s="57"/>
      <c r="AH12" s="57"/>
      <c r="AI12" s="57"/>
      <c r="AJ12" s="57"/>
      <c r="AK12" s="57"/>
      <c r="AL12" s="54"/>
      <c r="AM12" s="58"/>
      <c r="AN12" s="59"/>
      <c r="AO12" s="60"/>
      <c r="AP12" s="61"/>
      <c r="AQ12" s="61"/>
      <c r="AR12" s="62"/>
    </row>
    <row r="13" spans="2:47" ht="13.5" customHeight="1" x14ac:dyDescent="0.25">
      <c r="B13" s="14">
        <v>0.125</v>
      </c>
      <c r="C13" s="54"/>
      <c r="D13" s="54"/>
      <c r="E13" s="54"/>
      <c r="F13" s="54"/>
      <c r="G13" s="54"/>
      <c r="H13" s="55"/>
      <c r="I13" s="56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 t="s">
        <v>82</v>
      </c>
      <c r="Z13" s="54"/>
      <c r="AA13" s="54"/>
      <c r="AB13" s="54"/>
      <c r="AC13" s="54"/>
      <c r="AD13" s="54"/>
      <c r="AE13" s="57"/>
      <c r="AF13" s="57"/>
      <c r="AG13" s="57"/>
      <c r="AH13" s="57"/>
      <c r="AI13" s="57"/>
      <c r="AJ13" s="57"/>
      <c r="AK13" s="57"/>
      <c r="AL13" s="54"/>
      <c r="AM13" s="58"/>
      <c r="AN13" s="59"/>
      <c r="AO13" s="60"/>
      <c r="AP13" s="61"/>
      <c r="AQ13" s="61"/>
      <c r="AR13" s="62"/>
    </row>
    <row r="14" spans="2:47" ht="13.5" customHeight="1" x14ac:dyDescent="0.25">
      <c r="B14" s="14">
        <v>0.16666666666666666</v>
      </c>
      <c r="C14" s="54"/>
      <c r="D14" s="54"/>
      <c r="E14" s="54"/>
      <c r="F14" s="54"/>
      <c r="G14" s="54"/>
      <c r="H14" s="55"/>
      <c r="I14" s="56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 t="s">
        <v>82</v>
      </c>
      <c r="Z14" s="54"/>
      <c r="AA14" s="54"/>
      <c r="AB14" s="54"/>
      <c r="AC14" s="54"/>
      <c r="AD14" s="54"/>
      <c r="AE14" s="57"/>
      <c r="AF14" s="57"/>
      <c r="AG14" s="57"/>
      <c r="AH14" s="57"/>
      <c r="AI14" s="57"/>
      <c r="AJ14" s="57"/>
      <c r="AK14" s="57"/>
      <c r="AL14" s="54"/>
      <c r="AM14" s="58"/>
      <c r="AN14" s="59"/>
      <c r="AO14" s="60"/>
      <c r="AP14" s="61"/>
      <c r="AQ14" s="61"/>
      <c r="AR14" s="62"/>
    </row>
    <row r="15" spans="2:47" ht="13.5" customHeight="1" x14ac:dyDescent="0.25">
      <c r="B15" s="14">
        <v>0.20833333333333334</v>
      </c>
      <c r="C15" s="54"/>
      <c r="D15" s="54"/>
      <c r="E15" s="54"/>
      <c r="F15" s="54"/>
      <c r="G15" s="54"/>
      <c r="H15" s="55"/>
      <c r="I15" s="56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 t="s">
        <v>82</v>
      </c>
      <c r="Z15" s="54"/>
      <c r="AA15" s="54"/>
      <c r="AB15" s="54"/>
      <c r="AC15" s="54"/>
      <c r="AD15" s="54"/>
      <c r="AE15" s="57"/>
      <c r="AF15" s="57"/>
      <c r="AG15" s="57"/>
      <c r="AH15" s="57"/>
      <c r="AI15" s="57"/>
      <c r="AJ15" s="57"/>
      <c r="AK15" s="57"/>
      <c r="AL15" s="54"/>
      <c r="AM15" s="58"/>
      <c r="AN15" s="59"/>
      <c r="AO15" s="60"/>
      <c r="AP15" s="61"/>
      <c r="AQ15" s="61"/>
      <c r="AR15" s="62"/>
    </row>
    <row r="16" spans="2:47" ht="13.5" customHeight="1" x14ac:dyDescent="0.25">
      <c r="B16" s="14">
        <v>0.25</v>
      </c>
      <c r="C16" s="54"/>
      <c r="D16" s="54"/>
      <c r="E16" s="54"/>
      <c r="F16" s="54"/>
      <c r="G16" s="54"/>
      <c r="H16" s="55"/>
      <c r="I16" s="56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 t="s">
        <v>82</v>
      </c>
      <c r="Z16" s="54"/>
      <c r="AA16" s="54"/>
      <c r="AB16" s="54"/>
      <c r="AC16" s="54"/>
      <c r="AD16" s="54"/>
      <c r="AE16" s="57"/>
      <c r="AF16" s="57"/>
      <c r="AG16" s="57"/>
      <c r="AH16" s="57"/>
      <c r="AI16" s="57"/>
      <c r="AJ16" s="57"/>
      <c r="AK16" s="57"/>
      <c r="AL16" s="54"/>
      <c r="AM16" s="58"/>
      <c r="AN16" s="59"/>
      <c r="AO16" s="60"/>
      <c r="AP16" s="61"/>
      <c r="AQ16" s="61"/>
      <c r="AR16" s="62"/>
    </row>
    <row r="17" spans="2:44" ht="13.5" customHeight="1" x14ac:dyDescent="0.25">
      <c r="B17" s="14">
        <v>0.29166666666666669</v>
      </c>
      <c r="C17" s="54"/>
      <c r="D17" s="54"/>
      <c r="E17" s="54"/>
      <c r="F17" s="54"/>
      <c r="G17" s="54"/>
      <c r="H17" s="55"/>
      <c r="I17" s="56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 t="s">
        <v>82</v>
      </c>
      <c r="Z17" s="54"/>
      <c r="AA17" s="54"/>
      <c r="AB17" s="54"/>
      <c r="AC17" s="54"/>
      <c r="AD17" s="54"/>
      <c r="AE17" s="57"/>
      <c r="AF17" s="57"/>
      <c r="AG17" s="57"/>
      <c r="AH17" s="57"/>
      <c r="AI17" s="57"/>
      <c r="AJ17" s="57"/>
      <c r="AK17" s="57"/>
      <c r="AL17" s="54"/>
      <c r="AM17" s="58"/>
      <c r="AN17" s="59"/>
      <c r="AO17" s="60"/>
      <c r="AP17" s="61"/>
      <c r="AQ17" s="61"/>
      <c r="AR17" s="62"/>
    </row>
    <row r="18" spans="2:44" ht="13.5" customHeight="1" x14ac:dyDescent="0.25">
      <c r="B18" s="42">
        <v>0.33333333333333331</v>
      </c>
      <c r="C18" s="63"/>
      <c r="D18" s="63"/>
      <c r="E18" s="63"/>
      <c r="F18" s="63"/>
      <c r="G18" s="63"/>
      <c r="H18" s="64"/>
      <c r="I18" s="65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6"/>
      <c r="AF18" s="66"/>
      <c r="AG18" s="66"/>
      <c r="AH18" s="66"/>
      <c r="AI18" s="66"/>
      <c r="AJ18" s="66"/>
      <c r="AK18" s="66"/>
      <c r="AL18" s="63"/>
      <c r="AM18" s="67"/>
      <c r="AN18" s="68"/>
      <c r="AO18" s="60"/>
      <c r="AP18" s="61"/>
      <c r="AQ18" s="61"/>
      <c r="AR18" s="69"/>
    </row>
    <row r="19" spans="2:44" ht="18" customHeight="1" x14ac:dyDescent="0.25">
      <c r="B19" s="122" t="s">
        <v>181</v>
      </c>
      <c r="C19" s="36" t="s">
        <v>168</v>
      </c>
      <c r="D19" s="36" t="s">
        <v>171</v>
      </c>
      <c r="E19" s="137" t="s">
        <v>17</v>
      </c>
      <c r="F19" s="138"/>
      <c r="G19" s="139"/>
      <c r="H19" s="140" t="s">
        <v>108</v>
      </c>
      <c r="I19" s="138"/>
      <c r="J19" s="138"/>
      <c r="K19" s="138"/>
      <c r="L19" s="141"/>
      <c r="M19" s="142" t="s">
        <v>123</v>
      </c>
      <c r="N19" s="138"/>
      <c r="O19" s="138"/>
      <c r="P19" s="138"/>
      <c r="Q19" s="139"/>
      <c r="R19" s="140" t="s">
        <v>147</v>
      </c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9"/>
      <c r="AG19" s="143" t="s">
        <v>24</v>
      </c>
      <c r="AH19" s="139"/>
      <c r="AI19" s="119" t="s">
        <v>173</v>
      </c>
      <c r="AJ19" s="120"/>
      <c r="AK19" s="120"/>
      <c r="AL19" s="120"/>
      <c r="AM19" s="121"/>
      <c r="AN19" s="143" t="s">
        <v>47</v>
      </c>
      <c r="AO19" s="144"/>
      <c r="AP19" s="138" t="s">
        <v>180</v>
      </c>
      <c r="AQ19" s="145"/>
      <c r="AR19" s="146"/>
    </row>
    <row r="20" spans="2:44" ht="20.149999999999999" customHeight="1" x14ac:dyDescent="0.25">
      <c r="B20" s="123"/>
      <c r="C20" s="3" t="s">
        <v>169</v>
      </c>
      <c r="D20" s="3" t="s">
        <v>113</v>
      </c>
      <c r="E20" s="3" t="s">
        <v>15</v>
      </c>
      <c r="F20" s="117" t="s">
        <v>100</v>
      </c>
      <c r="G20" s="118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31" t="s">
        <v>148</v>
      </c>
      <c r="AE20" s="118"/>
      <c r="AF20" s="17" t="s">
        <v>151</v>
      </c>
      <c r="AG20" s="17" t="s">
        <v>153</v>
      </c>
      <c r="AH20" s="17" t="s">
        <v>155</v>
      </c>
      <c r="AI20" s="112" t="s">
        <v>89</v>
      </c>
      <c r="AJ20" s="113"/>
      <c r="AK20" s="112" t="s">
        <v>92</v>
      </c>
      <c r="AL20" s="113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123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41" t="s">
        <v>50</v>
      </c>
      <c r="C22" s="54"/>
      <c r="D22" s="54"/>
      <c r="E22" s="54"/>
      <c r="F22" s="54"/>
      <c r="G22" s="54"/>
      <c r="H22" s="54"/>
      <c r="I22" s="54"/>
      <c r="J22" s="54"/>
      <c r="K22" s="54"/>
      <c r="L22" s="55"/>
      <c r="M22" s="70"/>
      <c r="N22" s="54"/>
      <c r="O22" s="54"/>
      <c r="P22" s="54"/>
      <c r="Q22" s="54"/>
      <c r="R22" s="54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58"/>
      <c r="AD22" s="58"/>
      <c r="AE22" s="58"/>
      <c r="AF22" s="58"/>
      <c r="AG22" s="58"/>
      <c r="AH22" s="58"/>
      <c r="AI22" s="72"/>
      <c r="AJ22" s="72"/>
      <c r="AK22" s="72"/>
      <c r="AL22" s="72"/>
      <c r="AM22" s="72"/>
      <c r="AN22" s="58"/>
      <c r="AO22" s="59"/>
      <c r="AP22" s="60"/>
      <c r="AQ22" s="61"/>
      <c r="AR22" s="62"/>
    </row>
    <row r="23" spans="2:44" ht="13.5" customHeight="1" x14ac:dyDescent="0.25">
      <c r="B23" s="14">
        <v>0.875</v>
      </c>
      <c r="C23" s="54"/>
      <c r="D23" s="54"/>
      <c r="E23" s="54"/>
      <c r="F23" s="54"/>
      <c r="G23" s="54"/>
      <c r="H23" s="54"/>
      <c r="I23" s="54"/>
      <c r="J23" s="54"/>
      <c r="K23" s="54"/>
      <c r="L23" s="55"/>
      <c r="M23" s="70"/>
      <c r="N23" s="54"/>
      <c r="O23" s="54"/>
      <c r="P23" s="54"/>
      <c r="Q23" s="54"/>
      <c r="R23" s="54"/>
      <c r="S23" s="71"/>
      <c r="T23" s="71"/>
      <c r="U23" s="71"/>
      <c r="V23" s="71"/>
      <c r="W23" s="71"/>
      <c r="X23" s="71"/>
      <c r="Y23" s="71"/>
      <c r="Z23" s="71"/>
      <c r="AA23" s="71"/>
      <c r="AB23" s="71"/>
      <c r="AC23" s="58"/>
      <c r="AD23" s="58"/>
      <c r="AE23" s="58"/>
      <c r="AF23" s="58"/>
      <c r="AG23" s="58"/>
      <c r="AH23" s="58"/>
      <c r="AI23" s="72"/>
      <c r="AJ23" s="72"/>
      <c r="AK23" s="72"/>
      <c r="AL23" s="72"/>
      <c r="AM23" s="72"/>
      <c r="AN23" s="58"/>
      <c r="AO23" s="59"/>
      <c r="AP23" s="60"/>
      <c r="AQ23" s="61"/>
      <c r="AR23" s="62"/>
    </row>
    <row r="24" spans="2:44" ht="13.5" customHeight="1" x14ac:dyDescent="0.25">
      <c r="B24" s="41" t="s">
        <v>271</v>
      </c>
      <c r="C24" s="54"/>
      <c r="D24" s="54"/>
      <c r="E24" s="54"/>
      <c r="F24" s="54"/>
      <c r="G24" s="54"/>
      <c r="H24" s="54"/>
      <c r="I24" s="54"/>
      <c r="J24" s="54"/>
      <c r="K24" s="54"/>
      <c r="L24" s="55"/>
      <c r="M24" s="70"/>
      <c r="N24" s="54"/>
      <c r="O24" s="54"/>
      <c r="P24" s="54"/>
      <c r="Q24" s="54"/>
      <c r="R24" s="54"/>
      <c r="S24" s="71"/>
      <c r="T24" s="71"/>
      <c r="U24" s="71"/>
      <c r="V24" s="71"/>
      <c r="W24" s="71"/>
      <c r="X24" s="71"/>
      <c r="Y24" s="71"/>
      <c r="Z24" s="71"/>
      <c r="AA24" s="71"/>
      <c r="AB24" s="71"/>
      <c r="AC24" s="58"/>
      <c r="AD24" s="58"/>
      <c r="AE24" s="58"/>
      <c r="AF24" s="58"/>
      <c r="AG24" s="58"/>
      <c r="AH24" s="58"/>
      <c r="AI24" s="72"/>
      <c r="AJ24" s="72"/>
      <c r="AK24" s="72"/>
      <c r="AL24" s="72"/>
      <c r="AM24" s="72"/>
      <c r="AN24" s="58"/>
      <c r="AO24" s="59"/>
      <c r="AP24" s="60"/>
      <c r="AQ24" s="61"/>
      <c r="AR24" s="62"/>
    </row>
    <row r="25" spans="2:44" ht="13.5" customHeight="1" x14ac:dyDescent="0.25">
      <c r="B25" s="14">
        <v>0.95833333333333337</v>
      </c>
      <c r="C25" s="54"/>
      <c r="D25" s="54"/>
      <c r="E25" s="54"/>
      <c r="F25" s="54"/>
      <c r="G25" s="54"/>
      <c r="H25" s="54"/>
      <c r="I25" s="54"/>
      <c r="J25" s="54"/>
      <c r="K25" s="54"/>
      <c r="L25" s="55"/>
      <c r="M25" s="70"/>
      <c r="N25" s="54"/>
      <c r="O25" s="54"/>
      <c r="P25" s="54"/>
      <c r="Q25" s="54"/>
      <c r="R25" s="54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58"/>
      <c r="AD25" s="58"/>
      <c r="AE25" s="58"/>
      <c r="AF25" s="58"/>
      <c r="AG25" s="58"/>
      <c r="AH25" s="58"/>
      <c r="AI25" s="72"/>
      <c r="AJ25" s="72"/>
      <c r="AK25" s="72"/>
      <c r="AL25" s="72"/>
      <c r="AM25" s="72"/>
      <c r="AN25" s="58"/>
      <c r="AO25" s="59"/>
      <c r="AP25" s="60"/>
      <c r="AQ25" s="61"/>
      <c r="AR25" s="62"/>
    </row>
    <row r="26" spans="2:44" ht="13.5" customHeight="1" x14ac:dyDescent="0.25">
      <c r="B26" s="41" t="s">
        <v>272</v>
      </c>
      <c r="C26" s="54"/>
      <c r="D26" s="54"/>
      <c r="E26" s="54"/>
      <c r="F26" s="54"/>
      <c r="G26" s="54"/>
      <c r="H26" s="54"/>
      <c r="I26" s="54"/>
      <c r="J26" s="54"/>
      <c r="K26" s="54"/>
      <c r="L26" s="55"/>
      <c r="M26" s="70"/>
      <c r="N26" s="54"/>
      <c r="O26" s="54"/>
      <c r="P26" s="54"/>
      <c r="Q26" s="54"/>
      <c r="R26" s="54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58"/>
      <c r="AD26" s="58"/>
      <c r="AE26" s="58"/>
      <c r="AF26" s="58"/>
      <c r="AG26" s="58"/>
      <c r="AH26" s="58"/>
      <c r="AI26" s="72"/>
      <c r="AJ26" s="72"/>
      <c r="AK26" s="72"/>
      <c r="AL26" s="72"/>
      <c r="AM26" s="72"/>
      <c r="AN26" s="58"/>
      <c r="AO26" s="59"/>
      <c r="AP26" s="60"/>
      <c r="AQ26" s="61"/>
      <c r="AR26" s="62"/>
    </row>
    <row r="27" spans="2:44" ht="13.5" customHeight="1" x14ac:dyDescent="0.25">
      <c r="B27" s="14">
        <v>4.1666666666666664E-2</v>
      </c>
      <c r="C27" s="54"/>
      <c r="D27" s="54"/>
      <c r="E27" s="54"/>
      <c r="F27" s="54"/>
      <c r="G27" s="54"/>
      <c r="H27" s="54"/>
      <c r="I27" s="54"/>
      <c r="J27" s="54"/>
      <c r="K27" s="54"/>
      <c r="L27" s="55"/>
      <c r="M27" s="70"/>
      <c r="N27" s="54"/>
      <c r="O27" s="54"/>
      <c r="P27" s="54"/>
      <c r="Q27" s="54"/>
      <c r="R27" s="54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58"/>
      <c r="AD27" s="58"/>
      <c r="AE27" s="58"/>
      <c r="AF27" s="58"/>
      <c r="AG27" s="58"/>
      <c r="AH27" s="58"/>
      <c r="AI27" s="72"/>
      <c r="AJ27" s="72"/>
      <c r="AK27" s="72"/>
      <c r="AL27" s="72"/>
      <c r="AM27" s="72"/>
      <c r="AN27" s="58"/>
      <c r="AO27" s="59"/>
      <c r="AP27" s="60"/>
      <c r="AQ27" s="61"/>
      <c r="AR27" s="62"/>
    </row>
    <row r="28" spans="2:44" ht="13.5" customHeight="1" x14ac:dyDescent="0.25">
      <c r="B28" s="41" t="s">
        <v>273</v>
      </c>
      <c r="C28" s="54"/>
      <c r="D28" s="54"/>
      <c r="E28" s="54"/>
      <c r="F28" s="54"/>
      <c r="G28" s="54"/>
      <c r="H28" s="54"/>
      <c r="I28" s="54"/>
      <c r="J28" s="54"/>
      <c r="K28" s="54"/>
      <c r="L28" s="55"/>
      <c r="M28" s="70"/>
      <c r="N28" s="54"/>
      <c r="O28" s="54"/>
      <c r="P28" s="54"/>
      <c r="Q28" s="54"/>
      <c r="R28" s="54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58"/>
      <c r="AD28" s="58"/>
      <c r="AE28" s="58"/>
      <c r="AF28" s="58"/>
      <c r="AG28" s="58"/>
      <c r="AH28" s="58"/>
      <c r="AI28" s="72"/>
      <c r="AJ28" s="72"/>
      <c r="AK28" s="72"/>
      <c r="AL28" s="72"/>
      <c r="AM28" s="72"/>
      <c r="AN28" s="58"/>
      <c r="AO28" s="59"/>
      <c r="AP28" s="60"/>
      <c r="AQ28" s="61"/>
      <c r="AR28" s="62"/>
    </row>
    <row r="29" spans="2:44" ht="13.5" customHeight="1" x14ac:dyDescent="0.25">
      <c r="B29" s="14">
        <v>0.125</v>
      </c>
      <c r="C29" s="54"/>
      <c r="D29" s="54"/>
      <c r="E29" s="54"/>
      <c r="F29" s="54"/>
      <c r="G29" s="54"/>
      <c r="H29" s="54"/>
      <c r="I29" s="54"/>
      <c r="J29" s="54"/>
      <c r="K29" s="54"/>
      <c r="L29" s="55"/>
      <c r="M29" s="70"/>
      <c r="N29" s="54"/>
      <c r="O29" s="54"/>
      <c r="P29" s="54"/>
      <c r="Q29" s="54"/>
      <c r="R29" s="54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58"/>
      <c r="AD29" s="58"/>
      <c r="AE29" s="58"/>
      <c r="AF29" s="58"/>
      <c r="AG29" s="58"/>
      <c r="AH29" s="58"/>
      <c r="AI29" s="72"/>
      <c r="AJ29" s="72"/>
      <c r="AK29" s="72"/>
      <c r="AL29" s="72"/>
      <c r="AM29" s="72"/>
      <c r="AN29" s="58"/>
      <c r="AO29" s="59"/>
      <c r="AP29" s="60"/>
      <c r="AQ29" s="61"/>
      <c r="AR29" s="62"/>
    </row>
    <row r="30" spans="2:44" ht="13.5" customHeight="1" x14ac:dyDescent="0.25">
      <c r="B30" s="14">
        <v>0.16666666666666666</v>
      </c>
      <c r="C30" s="54"/>
      <c r="D30" s="54"/>
      <c r="E30" s="54"/>
      <c r="F30" s="54"/>
      <c r="G30" s="54"/>
      <c r="H30" s="54"/>
      <c r="I30" s="54"/>
      <c r="J30" s="54"/>
      <c r="K30" s="54"/>
      <c r="L30" s="55"/>
      <c r="M30" s="70"/>
      <c r="N30" s="54"/>
      <c r="O30" s="54"/>
      <c r="P30" s="54"/>
      <c r="Q30" s="54"/>
      <c r="R30" s="54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58"/>
      <c r="AD30" s="58"/>
      <c r="AE30" s="58"/>
      <c r="AF30" s="58"/>
      <c r="AG30" s="58"/>
      <c r="AH30" s="58"/>
      <c r="AI30" s="72"/>
      <c r="AJ30" s="72"/>
      <c r="AK30" s="72"/>
      <c r="AL30" s="72"/>
      <c r="AM30" s="72"/>
      <c r="AN30" s="58"/>
      <c r="AO30" s="59"/>
      <c r="AP30" s="60"/>
      <c r="AQ30" s="61"/>
      <c r="AR30" s="62"/>
    </row>
    <row r="31" spans="2:44" ht="13.5" customHeight="1" x14ac:dyDescent="0.25">
      <c r="B31" s="14">
        <v>0.20833333333333334</v>
      </c>
      <c r="C31" s="54"/>
      <c r="D31" s="54"/>
      <c r="E31" s="54"/>
      <c r="F31" s="54"/>
      <c r="G31" s="54"/>
      <c r="H31" s="54"/>
      <c r="I31" s="54"/>
      <c r="J31" s="54"/>
      <c r="K31" s="54"/>
      <c r="L31" s="55"/>
      <c r="M31" s="70"/>
      <c r="N31" s="54"/>
      <c r="O31" s="54"/>
      <c r="P31" s="54"/>
      <c r="Q31" s="54"/>
      <c r="R31" s="54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58"/>
      <c r="AD31" s="58"/>
      <c r="AE31" s="58"/>
      <c r="AF31" s="58"/>
      <c r="AG31" s="58"/>
      <c r="AH31" s="58"/>
      <c r="AI31" s="72"/>
      <c r="AJ31" s="72"/>
      <c r="AK31" s="72"/>
      <c r="AL31" s="72"/>
      <c r="AM31" s="72"/>
      <c r="AN31" s="58"/>
      <c r="AO31" s="59"/>
      <c r="AP31" s="60"/>
      <c r="AQ31" s="61"/>
      <c r="AR31" s="62"/>
    </row>
    <row r="32" spans="2:44" ht="13.5" customHeight="1" x14ac:dyDescent="0.25">
      <c r="B32" s="14">
        <v>0.25</v>
      </c>
      <c r="C32" s="54"/>
      <c r="D32" s="54"/>
      <c r="E32" s="54"/>
      <c r="F32" s="54"/>
      <c r="G32" s="54"/>
      <c r="H32" s="54"/>
      <c r="I32" s="54"/>
      <c r="J32" s="54"/>
      <c r="K32" s="54"/>
      <c r="L32" s="55"/>
      <c r="M32" s="70"/>
      <c r="N32" s="54"/>
      <c r="O32" s="54"/>
      <c r="P32" s="54"/>
      <c r="Q32" s="54"/>
      <c r="R32" s="54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58"/>
      <c r="AD32" s="58"/>
      <c r="AE32" s="58"/>
      <c r="AF32" s="58"/>
      <c r="AG32" s="58"/>
      <c r="AH32" s="58"/>
      <c r="AI32" s="72"/>
      <c r="AJ32" s="72"/>
      <c r="AK32" s="72"/>
      <c r="AL32" s="72"/>
      <c r="AM32" s="72"/>
      <c r="AN32" s="58"/>
      <c r="AO32" s="59"/>
      <c r="AP32" s="60"/>
      <c r="AQ32" s="61"/>
      <c r="AR32" s="62"/>
    </row>
    <row r="33" spans="2:44" ht="13.5" customHeight="1" x14ac:dyDescent="0.25">
      <c r="B33" s="14">
        <v>0.29166666666666669</v>
      </c>
      <c r="C33" s="54"/>
      <c r="D33" s="54"/>
      <c r="E33" s="54"/>
      <c r="F33" s="54"/>
      <c r="G33" s="54"/>
      <c r="H33" s="54"/>
      <c r="I33" s="54"/>
      <c r="J33" s="54"/>
      <c r="K33" s="54"/>
      <c r="L33" s="55"/>
      <c r="M33" s="70"/>
      <c r="N33" s="54"/>
      <c r="O33" s="54"/>
      <c r="P33" s="54"/>
      <c r="Q33" s="54"/>
      <c r="R33" s="54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58"/>
      <c r="AD33" s="58"/>
      <c r="AE33" s="58"/>
      <c r="AF33" s="58"/>
      <c r="AG33" s="58"/>
      <c r="AH33" s="58"/>
      <c r="AI33" s="72"/>
      <c r="AJ33" s="72"/>
      <c r="AK33" s="72"/>
      <c r="AL33" s="72"/>
      <c r="AM33" s="72"/>
      <c r="AN33" s="58"/>
      <c r="AO33" s="59"/>
      <c r="AP33" s="60"/>
      <c r="AQ33" s="61"/>
      <c r="AR33" s="62"/>
    </row>
    <row r="34" spans="2:44" ht="13.5" customHeight="1" x14ac:dyDescent="0.25">
      <c r="B34" s="42">
        <v>0.33333333333333331</v>
      </c>
      <c r="C34" s="63"/>
      <c r="D34" s="63"/>
      <c r="E34" s="63"/>
      <c r="F34" s="63"/>
      <c r="G34" s="63"/>
      <c r="H34" s="63"/>
      <c r="I34" s="63"/>
      <c r="J34" s="63"/>
      <c r="K34" s="63"/>
      <c r="L34" s="64"/>
      <c r="M34" s="73"/>
      <c r="N34" s="63"/>
      <c r="O34" s="63"/>
      <c r="P34" s="63"/>
      <c r="Q34" s="63"/>
      <c r="R34" s="63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67"/>
      <c r="AD34" s="67"/>
      <c r="AE34" s="67"/>
      <c r="AF34" s="67"/>
      <c r="AG34" s="67"/>
      <c r="AH34" s="67"/>
      <c r="AI34" s="75"/>
      <c r="AJ34" s="75"/>
      <c r="AK34" s="75"/>
      <c r="AL34" s="75"/>
      <c r="AM34" s="75"/>
      <c r="AN34" s="67"/>
      <c r="AO34" s="68"/>
      <c r="AP34" s="76"/>
      <c r="AQ34" s="77"/>
      <c r="AR34" s="78"/>
    </row>
    <row r="35" spans="2:44" ht="15" customHeight="1" x14ac:dyDescent="0.25">
      <c r="B35" s="136" t="s">
        <v>181</v>
      </c>
      <c r="C35" s="137" t="s">
        <v>38</v>
      </c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166"/>
      <c r="P35" s="166"/>
      <c r="Q35" s="166"/>
      <c r="R35" s="166"/>
      <c r="S35" s="166"/>
      <c r="T35" s="166"/>
      <c r="U35" s="166"/>
      <c r="V35" s="166"/>
      <c r="W35" s="167" t="s">
        <v>216</v>
      </c>
      <c r="X35" s="168"/>
      <c r="Y35" s="168"/>
      <c r="Z35" s="168"/>
      <c r="AA35" s="168"/>
      <c r="AB35" s="168"/>
      <c r="AC35" s="168"/>
      <c r="AD35" s="168"/>
      <c r="AE35" s="168"/>
      <c r="AF35" s="168"/>
      <c r="AG35" s="168"/>
      <c r="AH35" s="168"/>
      <c r="AI35" s="168"/>
      <c r="AJ35" s="169"/>
      <c r="AK35" s="143" t="s">
        <v>48</v>
      </c>
      <c r="AL35" s="141"/>
      <c r="AM35" s="170" t="s">
        <v>223</v>
      </c>
      <c r="AN35" s="171"/>
      <c r="AO35" s="43"/>
      <c r="AP35" s="43"/>
      <c r="AQ35" s="43"/>
      <c r="AR35" s="44"/>
    </row>
    <row r="36" spans="2:44" ht="20.149999999999999" customHeight="1" x14ac:dyDescent="0.25">
      <c r="B36" s="123"/>
      <c r="C36" s="117" t="s">
        <v>32</v>
      </c>
      <c r="D36" s="149"/>
      <c r="E36" s="117" t="s">
        <v>33</v>
      </c>
      <c r="F36" s="178"/>
      <c r="G36" s="149"/>
      <c r="H36" s="172" t="s">
        <v>276</v>
      </c>
      <c r="I36" s="173"/>
      <c r="J36" s="4" t="s">
        <v>27</v>
      </c>
      <c r="K36" s="4" t="s">
        <v>30</v>
      </c>
      <c r="L36" s="4" t="s">
        <v>191</v>
      </c>
      <c r="M36" s="174" t="s">
        <v>192</v>
      </c>
      <c r="N36" s="175"/>
      <c r="O36" s="4" t="s">
        <v>26</v>
      </c>
      <c r="P36" s="4" t="s">
        <v>197</v>
      </c>
      <c r="Q36" s="117" t="s">
        <v>199</v>
      </c>
      <c r="R36" s="179"/>
      <c r="S36" s="117" t="s">
        <v>202</v>
      </c>
      <c r="T36" s="179"/>
      <c r="U36" s="117" t="s">
        <v>201</v>
      </c>
      <c r="V36" s="176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31" t="s">
        <v>46</v>
      </c>
      <c r="AI36" s="177"/>
      <c r="AJ36" s="118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123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123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290</v>
      </c>
      <c r="N38" s="1" t="s">
        <v>291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41" t="s">
        <v>50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1"/>
      <c r="V39" s="52"/>
      <c r="W39" s="53"/>
      <c r="X39" s="51"/>
      <c r="Y39" s="51"/>
      <c r="Z39" s="51"/>
      <c r="AA39" s="51"/>
      <c r="AB39" s="51"/>
      <c r="AC39" s="51"/>
      <c r="AD39" s="51"/>
      <c r="AE39" s="45"/>
      <c r="AF39" s="45"/>
      <c r="AG39" s="45"/>
      <c r="AH39" s="45"/>
      <c r="AI39" s="45"/>
      <c r="AJ39" s="45"/>
      <c r="AK39" s="45"/>
      <c r="AL39" s="47"/>
      <c r="AM39" s="49"/>
      <c r="AN39" s="46"/>
      <c r="AO39" s="45"/>
      <c r="AP39" s="45"/>
      <c r="AQ39" s="45"/>
      <c r="AR39" s="48"/>
    </row>
    <row r="40" spans="2:44" ht="13.5" customHeight="1" x14ac:dyDescent="0.25">
      <c r="B40" s="14">
        <v>0.875</v>
      </c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71"/>
      <c r="V40" s="79"/>
      <c r="W40" s="80"/>
      <c r="X40" s="71"/>
      <c r="Y40" s="71"/>
      <c r="Z40" s="71"/>
      <c r="AA40" s="71"/>
      <c r="AB40" s="71"/>
      <c r="AC40" s="71"/>
      <c r="AD40" s="71"/>
      <c r="AE40" s="58"/>
      <c r="AF40" s="58"/>
      <c r="AG40" s="58"/>
      <c r="AH40" s="58"/>
      <c r="AI40" s="58"/>
      <c r="AJ40" s="58"/>
      <c r="AK40" s="58"/>
      <c r="AL40" s="59"/>
      <c r="AM40" s="81"/>
      <c r="AN40" s="72"/>
      <c r="AO40" s="58"/>
      <c r="AP40" s="58"/>
      <c r="AQ40" s="58"/>
      <c r="AR40" s="62"/>
    </row>
    <row r="41" spans="2:44" ht="13.5" customHeight="1" x14ac:dyDescent="0.25">
      <c r="B41" s="41" t="s">
        <v>271</v>
      </c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71"/>
      <c r="V41" s="79"/>
      <c r="W41" s="80"/>
      <c r="X41" s="71"/>
      <c r="Y41" s="71"/>
      <c r="Z41" s="71"/>
      <c r="AA41" s="71"/>
      <c r="AB41" s="71"/>
      <c r="AC41" s="71"/>
      <c r="AD41" s="71"/>
      <c r="AE41" s="58"/>
      <c r="AF41" s="58"/>
      <c r="AG41" s="58"/>
      <c r="AH41" s="58"/>
      <c r="AI41" s="58"/>
      <c r="AJ41" s="58"/>
      <c r="AK41" s="58"/>
      <c r="AL41" s="59"/>
      <c r="AM41" s="81"/>
      <c r="AN41" s="72"/>
      <c r="AO41" s="58"/>
      <c r="AP41" s="58"/>
      <c r="AQ41" s="58"/>
      <c r="AR41" s="62"/>
    </row>
    <row r="42" spans="2:44" ht="13.5" customHeight="1" x14ac:dyDescent="0.25">
      <c r="B42" s="14">
        <v>0.95833333333333337</v>
      </c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71"/>
      <c r="V42" s="79"/>
      <c r="W42" s="80"/>
      <c r="X42" s="71"/>
      <c r="Y42" s="71"/>
      <c r="Z42" s="71"/>
      <c r="AA42" s="71"/>
      <c r="AB42" s="71"/>
      <c r="AC42" s="71"/>
      <c r="AD42" s="71"/>
      <c r="AE42" s="58"/>
      <c r="AF42" s="58"/>
      <c r="AG42" s="58"/>
      <c r="AH42" s="58"/>
      <c r="AI42" s="58"/>
      <c r="AJ42" s="58"/>
      <c r="AK42" s="58"/>
      <c r="AL42" s="59"/>
      <c r="AM42" s="81"/>
      <c r="AN42" s="72"/>
      <c r="AO42" s="58"/>
      <c r="AP42" s="58"/>
      <c r="AQ42" s="58"/>
      <c r="AR42" s="62"/>
    </row>
    <row r="43" spans="2:44" ht="13.5" customHeight="1" x14ac:dyDescent="0.25">
      <c r="B43" s="41" t="s">
        <v>272</v>
      </c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71"/>
      <c r="V43" s="79"/>
      <c r="W43" s="80"/>
      <c r="X43" s="71"/>
      <c r="Y43" s="71"/>
      <c r="Z43" s="71"/>
      <c r="AA43" s="71"/>
      <c r="AB43" s="71"/>
      <c r="AC43" s="71"/>
      <c r="AD43" s="71"/>
      <c r="AE43" s="58"/>
      <c r="AF43" s="58"/>
      <c r="AG43" s="58"/>
      <c r="AH43" s="58"/>
      <c r="AI43" s="58"/>
      <c r="AJ43" s="58"/>
      <c r="AK43" s="58"/>
      <c r="AL43" s="59"/>
      <c r="AM43" s="81"/>
      <c r="AN43" s="72"/>
      <c r="AO43" s="58"/>
      <c r="AP43" s="58"/>
      <c r="AQ43" s="58"/>
      <c r="AR43" s="62"/>
    </row>
    <row r="44" spans="2:44" ht="13.5" customHeight="1" x14ac:dyDescent="0.25">
      <c r="B44" s="14">
        <v>4.1666666666666664E-2</v>
      </c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71"/>
      <c r="V44" s="79"/>
      <c r="W44" s="80"/>
      <c r="X44" s="71"/>
      <c r="Y44" s="71"/>
      <c r="Z44" s="71"/>
      <c r="AA44" s="71"/>
      <c r="AB44" s="71"/>
      <c r="AC44" s="71"/>
      <c r="AD44" s="71"/>
      <c r="AE44" s="58"/>
      <c r="AF44" s="58"/>
      <c r="AG44" s="58"/>
      <c r="AH44" s="58"/>
      <c r="AI44" s="58"/>
      <c r="AJ44" s="58"/>
      <c r="AK44" s="58"/>
      <c r="AL44" s="59"/>
      <c r="AM44" s="81"/>
      <c r="AN44" s="72"/>
      <c r="AO44" s="58"/>
      <c r="AP44" s="58"/>
      <c r="AQ44" s="58"/>
      <c r="AR44" s="62"/>
    </row>
    <row r="45" spans="2:44" ht="13.5" customHeight="1" x14ac:dyDescent="0.25">
      <c r="B45" s="41" t="s">
        <v>273</v>
      </c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71"/>
      <c r="V45" s="79"/>
      <c r="W45" s="80"/>
      <c r="X45" s="71"/>
      <c r="Y45" s="71"/>
      <c r="Z45" s="71"/>
      <c r="AA45" s="71"/>
      <c r="AB45" s="71"/>
      <c r="AC45" s="71"/>
      <c r="AD45" s="71"/>
      <c r="AE45" s="58"/>
      <c r="AF45" s="58"/>
      <c r="AG45" s="58"/>
      <c r="AH45" s="58"/>
      <c r="AI45" s="58"/>
      <c r="AJ45" s="58"/>
      <c r="AK45" s="58"/>
      <c r="AL45" s="59"/>
      <c r="AM45" s="81"/>
      <c r="AN45" s="72"/>
      <c r="AO45" s="58"/>
      <c r="AP45" s="58"/>
      <c r="AQ45" s="58"/>
      <c r="AR45" s="62"/>
    </row>
    <row r="46" spans="2:44" ht="13.5" customHeight="1" x14ac:dyDescent="0.25">
      <c r="B46" s="14">
        <v>0.125</v>
      </c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71"/>
      <c r="V46" s="79"/>
      <c r="W46" s="80"/>
      <c r="X46" s="71"/>
      <c r="Y46" s="71"/>
      <c r="Z46" s="71"/>
      <c r="AA46" s="71"/>
      <c r="AB46" s="71"/>
      <c r="AC46" s="71"/>
      <c r="AD46" s="71"/>
      <c r="AE46" s="58"/>
      <c r="AF46" s="58"/>
      <c r="AG46" s="58"/>
      <c r="AH46" s="58"/>
      <c r="AI46" s="58"/>
      <c r="AJ46" s="58"/>
      <c r="AK46" s="58"/>
      <c r="AL46" s="59"/>
      <c r="AM46" s="81"/>
      <c r="AN46" s="72"/>
      <c r="AO46" s="58"/>
      <c r="AP46" s="58"/>
      <c r="AQ46" s="58"/>
      <c r="AR46" s="62"/>
    </row>
    <row r="47" spans="2:44" ht="13.5" customHeight="1" x14ac:dyDescent="0.25">
      <c r="B47" s="14">
        <v>0.16666666666666666</v>
      </c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71"/>
      <c r="V47" s="79"/>
      <c r="W47" s="80"/>
      <c r="X47" s="71"/>
      <c r="Y47" s="71"/>
      <c r="Z47" s="71"/>
      <c r="AA47" s="71"/>
      <c r="AB47" s="71"/>
      <c r="AC47" s="71"/>
      <c r="AD47" s="71"/>
      <c r="AE47" s="58"/>
      <c r="AF47" s="58"/>
      <c r="AG47" s="58"/>
      <c r="AH47" s="58"/>
      <c r="AI47" s="58"/>
      <c r="AJ47" s="58"/>
      <c r="AK47" s="58"/>
      <c r="AL47" s="59"/>
      <c r="AM47" s="81"/>
      <c r="AN47" s="72"/>
      <c r="AO47" s="58"/>
      <c r="AP47" s="58"/>
      <c r="AQ47" s="58"/>
      <c r="AR47" s="62"/>
    </row>
    <row r="48" spans="2:44" ht="13.5" customHeight="1" x14ac:dyDescent="0.25">
      <c r="B48" s="14">
        <v>0.20833333333333334</v>
      </c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71"/>
      <c r="V48" s="79"/>
      <c r="W48" s="80"/>
      <c r="X48" s="71"/>
      <c r="Y48" s="71"/>
      <c r="Z48" s="71"/>
      <c r="AA48" s="71"/>
      <c r="AB48" s="71"/>
      <c r="AC48" s="71"/>
      <c r="AD48" s="71"/>
      <c r="AE48" s="58"/>
      <c r="AF48" s="58"/>
      <c r="AG48" s="58"/>
      <c r="AH48" s="58"/>
      <c r="AI48" s="58"/>
      <c r="AJ48" s="58"/>
      <c r="AK48" s="58"/>
      <c r="AL48" s="59"/>
      <c r="AM48" s="81"/>
      <c r="AN48" s="72"/>
      <c r="AO48" s="58"/>
      <c r="AP48" s="58"/>
      <c r="AQ48" s="58"/>
      <c r="AR48" s="62"/>
    </row>
    <row r="49" spans="2:44" ht="13.5" customHeight="1" x14ac:dyDescent="0.25">
      <c r="B49" s="14">
        <v>0.25</v>
      </c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71"/>
      <c r="V49" s="79"/>
      <c r="W49" s="80"/>
      <c r="X49" s="71"/>
      <c r="Y49" s="71"/>
      <c r="Z49" s="71"/>
      <c r="AA49" s="71"/>
      <c r="AB49" s="71"/>
      <c r="AC49" s="71"/>
      <c r="AD49" s="71"/>
      <c r="AE49" s="58"/>
      <c r="AF49" s="58"/>
      <c r="AG49" s="58"/>
      <c r="AH49" s="58"/>
      <c r="AI49" s="58"/>
      <c r="AJ49" s="58"/>
      <c r="AK49" s="58"/>
      <c r="AL49" s="59"/>
      <c r="AM49" s="81"/>
      <c r="AN49" s="72"/>
      <c r="AO49" s="58"/>
      <c r="AP49" s="58"/>
      <c r="AQ49" s="58"/>
      <c r="AR49" s="62"/>
    </row>
    <row r="50" spans="2:44" ht="13.5" customHeight="1" x14ac:dyDescent="0.25">
      <c r="B50" s="14">
        <v>0.29166666666666669</v>
      </c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71"/>
      <c r="V50" s="79"/>
      <c r="W50" s="80"/>
      <c r="X50" s="71"/>
      <c r="Y50" s="71"/>
      <c r="Z50" s="71"/>
      <c r="AA50" s="71"/>
      <c r="AB50" s="71"/>
      <c r="AC50" s="71"/>
      <c r="AD50" s="71"/>
      <c r="AE50" s="58"/>
      <c r="AF50" s="58"/>
      <c r="AG50" s="58"/>
      <c r="AH50" s="58"/>
      <c r="AI50" s="58"/>
      <c r="AJ50" s="58"/>
      <c r="AK50" s="58"/>
      <c r="AL50" s="59"/>
      <c r="AM50" s="81"/>
      <c r="AN50" s="72"/>
      <c r="AO50" s="58"/>
      <c r="AP50" s="58"/>
      <c r="AQ50" s="58"/>
      <c r="AR50" s="62"/>
    </row>
    <row r="51" spans="2:44" ht="13.5" customHeight="1" x14ac:dyDescent="0.25">
      <c r="B51" s="42">
        <v>0.33333333333333331</v>
      </c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74"/>
      <c r="V51" s="82"/>
      <c r="W51" s="83"/>
      <c r="X51" s="74"/>
      <c r="Y51" s="74"/>
      <c r="Z51" s="74"/>
      <c r="AA51" s="74"/>
      <c r="AB51" s="74"/>
      <c r="AC51" s="74"/>
      <c r="AD51" s="74"/>
      <c r="AE51" s="67"/>
      <c r="AF51" s="67"/>
      <c r="AG51" s="67"/>
      <c r="AH51" s="67"/>
      <c r="AI51" s="67"/>
      <c r="AJ51" s="67"/>
      <c r="AK51" s="67"/>
      <c r="AL51" s="68"/>
      <c r="AM51" s="84"/>
      <c r="AN51" s="75"/>
      <c r="AO51" s="67"/>
      <c r="AP51" s="67"/>
      <c r="AQ51" s="67"/>
      <c r="AR51" s="78"/>
    </row>
    <row r="52" spans="2:44" ht="13.5" customHeight="1" x14ac:dyDescent="0.25">
      <c r="B52" s="147"/>
      <c r="C52" s="148"/>
      <c r="D52" s="9" t="s">
        <v>274</v>
      </c>
      <c r="E52" s="124" t="s">
        <v>20</v>
      </c>
      <c r="F52" s="127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  <c r="AD52" s="128"/>
      <c r="AE52" s="128"/>
      <c r="AF52" s="128"/>
      <c r="AG52" s="128"/>
      <c r="AH52" s="128"/>
      <c r="AI52" s="128"/>
      <c r="AJ52" s="128"/>
      <c r="AK52" s="128"/>
      <c r="AL52" s="128"/>
      <c r="AM52" s="128"/>
      <c r="AN52" s="128"/>
      <c r="AO52" s="129"/>
      <c r="AP52" s="129"/>
      <c r="AQ52" s="129"/>
      <c r="AR52" s="130"/>
    </row>
    <row r="53" spans="2:44" ht="13.5" customHeight="1" x14ac:dyDescent="0.25">
      <c r="B53" s="123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  <c r="AM53" s="125"/>
      <c r="AN53" s="125"/>
      <c r="AO53" s="131"/>
      <c r="AP53" s="131"/>
      <c r="AQ53" s="131"/>
      <c r="AR53" s="132"/>
    </row>
    <row r="54" spans="2:44" ht="13.5" customHeight="1" thickBot="1" x14ac:dyDescent="0.3">
      <c r="B54" s="135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  <c r="AD54" s="126"/>
      <c r="AE54" s="126"/>
      <c r="AF54" s="126"/>
      <c r="AG54" s="126"/>
      <c r="AH54" s="126"/>
      <c r="AI54" s="126"/>
      <c r="AJ54" s="126"/>
      <c r="AK54" s="126"/>
      <c r="AL54" s="126"/>
      <c r="AM54" s="126"/>
      <c r="AN54" s="126"/>
      <c r="AO54" s="133"/>
      <c r="AP54" s="133"/>
      <c r="AQ54" s="133"/>
      <c r="AR54" s="134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F3F1F-5760-4265-BDF5-19B9701076ED}">
  <dimension ref="B1:BF548"/>
  <sheetViews>
    <sheetView zoomScale="150" zoomScaleNormal="150" workbookViewId="0">
      <selection activeCell="M69" sqref="M69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  <col min="16184" max="16384" width="9" style="6"/>
  </cols>
  <sheetData>
    <row r="1" spans="2:58" ht="17.5" customHeight="1" thickBot="1" x14ac:dyDescent="0.3">
      <c r="B1" s="150" t="s">
        <v>230</v>
      </c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1"/>
      <c r="AE1" s="151"/>
      <c r="AF1" s="151"/>
      <c r="AG1" s="151"/>
      <c r="AH1" s="151"/>
      <c r="AI1" s="151"/>
      <c r="AJ1" s="151"/>
      <c r="AK1" s="151"/>
      <c r="AL1" s="151"/>
      <c r="AM1" s="151"/>
      <c r="AN1" s="151"/>
      <c r="AO1" s="151"/>
      <c r="AP1" s="151"/>
      <c r="AQ1" s="151"/>
      <c r="AR1" s="151"/>
      <c r="AS1" s="151"/>
      <c r="AT1" s="151"/>
      <c r="AU1" s="151"/>
      <c r="AV1" s="151"/>
      <c r="AW1" s="151"/>
      <c r="AX1" s="151"/>
      <c r="AY1" s="151"/>
      <c r="AZ1" s="151"/>
      <c r="BA1" s="151"/>
      <c r="BB1" s="151"/>
      <c r="BC1" s="151"/>
      <c r="BD1" s="151"/>
      <c r="BE1" s="151"/>
      <c r="BF1" s="151"/>
    </row>
    <row r="2" spans="2:58" ht="13" customHeight="1" x14ac:dyDescent="0.25">
      <c r="B2" s="197" t="s">
        <v>232</v>
      </c>
      <c r="C2" s="160"/>
      <c r="D2" s="160"/>
      <c r="E2" s="160"/>
      <c r="F2" s="160"/>
      <c r="G2" s="160"/>
      <c r="H2" s="160"/>
      <c r="I2" s="160"/>
      <c r="J2" s="160"/>
      <c r="K2" s="160"/>
      <c r="L2" s="165"/>
      <c r="M2" s="198" t="s">
        <v>231</v>
      </c>
      <c r="N2" s="160"/>
      <c r="O2" s="160"/>
      <c r="P2" s="160"/>
      <c r="Q2" s="160"/>
      <c r="R2" s="160"/>
      <c r="S2" s="160"/>
      <c r="T2" s="160"/>
      <c r="U2" s="160"/>
      <c r="V2" s="160"/>
      <c r="W2" s="165"/>
      <c r="X2" s="110" t="s">
        <v>233</v>
      </c>
      <c r="Y2" s="160"/>
      <c r="Z2" s="160"/>
      <c r="AA2" s="160"/>
      <c r="AB2" s="160"/>
      <c r="AC2" s="160"/>
      <c r="AD2" s="160"/>
      <c r="AE2" s="160"/>
      <c r="AF2" s="160"/>
      <c r="AG2" s="160"/>
      <c r="AH2" s="165"/>
      <c r="AI2" s="198" t="s">
        <v>234</v>
      </c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5"/>
      <c r="AU2" s="110" t="s">
        <v>235</v>
      </c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99"/>
    </row>
    <row r="3" spans="2:58" ht="13" customHeight="1" x14ac:dyDescent="0.25">
      <c r="B3" s="201"/>
      <c r="C3" s="185"/>
      <c r="D3" s="185"/>
      <c r="E3" s="185"/>
      <c r="F3" s="185"/>
      <c r="G3" s="185"/>
      <c r="H3" s="185"/>
      <c r="I3" s="185"/>
      <c r="J3" s="185"/>
      <c r="K3" s="185"/>
      <c r="L3" s="186"/>
      <c r="M3" s="204"/>
      <c r="N3" s="185"/>
      <c r="O3" s="185"/>
      <c r="P3" s="185"/>
      <c r="Q3" s="185"/>
      <c r="R3" s="185"/>
      <c r="S3" s="185"/>
      <c r="T3" s="185"/>
      <c r="U3" s="185"/>
      <c r="V3" s="185"/>
      <c r="W3" s="186"/>
      <c r="X3" s="192"/>
      <c r="Y3" s="185"/>
      <c r="Z3" s="185"/>
      <c r="AA3" s="185"/>
      <c r="AB3" s="185"/>
      <c r="AC3" s="185"/>
      <c r="AD3" s="185"/>
      <c r="AE3" s="185"/>
      <c r="AF3" s="185"/>
      <c r="AG3" s="185"/>
      <c r="AH3" s="186"/>
      <c r="AI3" s="214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6"/>
      <c r="AU3" s="192"/>
      <c r="AV3" s="185"/>
      <c r="AW3" s="185"/>
      <c r="AX3" s="185"/>
      <c r="AY3" s="185"/>
      <c r="AZ3" s="185"/>
      <c r="BA3" s="185"/>
      <c r="BB3" s="185"/>
      <c r="BC3" s="185"/>
      <c r="BD3" s="185"/>
      <c r="BE3" s="185"/>
      <c r="BF3" s="194"/>
    </row>
    <row r="4" spans="2:58" ht="13" customHeight="1" x14ac:dyDescent="0.25">
      <c r="B4" s="202"/>
      <c r="C4" s="188"/>
      <c r="D4" s="188"/>
      <c r="E4" s="188"/>
      <c r="F4" s="188"/>
      <c r="G4" s="188"/>
      <c r="H4" s="188"/>
      <c r="I4" s="188"/>
      <c r="J4" s="188"/>
      <c r="K4" s="188"/>
      <c r="L4" s="189"/>
      <c r="M4" s="187"/>
      <c r="N4" s="188"/>
      <c r="O4" s="188"/>
      <c r="P4" s="188"/>
      <c r="Q4" s="188"/>
      <c r="R4" s="188"/>
      <c r="S4" s="188"/>
      <c r="T4" s="188"/>
      <c r="U4" s="188"/>
      <c r="V4" s="188"/>
      <c r="W4" s="189"/>
      <c r="X4" s="187"/>
      <c r="Y4" s="188"/>
      <c r="Z4" s="188"/>
      <c r="AA4" s="188"/>
      <c r="AB4" s="188"/>
      <c r="AC4" s="188"/>
      <c r="AD4" s="188"/>
      <c r="AE4" s="188"/>
      <c r="AF4" s="188"/>
      <c r="AG4" s="188"/>
      <c r="AH4" s="189"/>
      <c r="AI4" s="187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9"/>
      <c r="AU4" s="187"/>
      <c r="AV4" s="188"/>
      <c r="AW4" s="188"/>
      <c r="AX4" s="188"/>
      <c r="AY4" s="188"/>
      <c r="AZ4" s="188"/>
      <c r="BA4" s="188"/>
      <c r="BB4" s="188"/>
      <c r="BC4" s="188"/>
      <c r="BD4" s="188"/>
      <c r="BE4" s="188"/>
      <c r="BF4" s="195"/>
    </row>
    <row r="5" spans="2:58" ht="13" customHeight="1" x14ac:dyDescent="0.25">
      <c r="B5" s="202"/>
      <c r="C5" s="188"/>
      <c r="D5" s="188"/>
      <c r="E5" s="188"/>
      <c r="F5" s="188"/>
      <c r="G5" s="188"/>
      <c r="H5" s="188"/>
      <c r="I5" s="188"/>
      <c r="J5" s="188"/>
      <c r="K5" s="188"/>
      <c r="L5" s="189"/>
      <c r="M5" s="187"/>
      <c r="N5" s="188"/>
      <c r="O5" s="188"/>
      <c r="P5" s="188"/>
      <c r="Q5" s="188"/>
      <c r="R5" s="188"/>
      <c r="S5" s="188"/>
      <c r="T5" s="188"/>
      <c r="U5" s="188"/>
      <c r="V5" s="188"/>
      <c r="W5" s="189"/>
      <c r="X5" s="187"/>
      <c r="Y5" s="188"/>
      <c r="Z5" s="188"/>
      <c r="AA5" s="188"/>
      <c r="AB5" s="188"/>
      <c r="AC5" s="188"/>
      <c r="AD5" s="188"/>
      <c r="AE5" s="188"/>
      <c r="AF5" s="188"/>
      <c r="AG5" s="188"/>
      <c r="AH5" s="189"/>
      <c r="AI5" s="187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9"/>
      <c r="AU5" s="187"/>
      <c r="AV5" s="188"/>
      <c r="AW5" s="188"/>
      <c r="AX5" s="188"/>
      <c r="AY5" s="188"/>
      <c r="AZ5" s="188"/>
      <c r="BA5" s="188"/>
      <c r="BB5" s="188"/>
      <c r="BC5" s="188"/>
      <c r="BD5" s="188"/>
      <c r="BE5" s="188"/>
      <c r="BF5" s="195"/>
    </row>
    <row r="6" spans="2:58" ht="13" customHeight="1" x14ac:dyDescent="0.25">
      <c r="B6" s="202"/>
      <c r="C6" s="188"/>
      <c r="D6" s="188"/>
      <c r="E6" s="188"/>
      <c r="F6" s="188"/>
      <c r="G6" s="188"/>
      <c r="H6" s="188"/>
      <c r="I6" s="188"/>
      <c r="J6" s="188"/>
      <c r="K6" s="188"/>
      <c r="L6" s="189"/>
      <c r="M6" s="187"/>
      <c r="N6" s="188"/>
      <c r="O6" s="188"/>
      <c r="P6" s="188"/>
      <c r="Q6" s="188"/>
      <c r="R6" s="188"/>
      <c r="S6" s="188"/>
      <c r="T6" s="188"/>
      <c r="U6" s="188"/>
      <c r="V6" s="188"/>
      <c r="W6" s="189"/>
      <c r="X6" s="187"/>
      <c r="Y6" s="188"/>
      <c r="Z6" s="188"/>
      <c r="AA6" s="188"/>
      <c r="AB6" s="188"/>
      <c r="AC6" s="188"/>
      <c r="AD6" s="188"/>
      <c r="AE6" s="188"/>
      <c r="AF6" s="188"/>
      <c r="AG6" s="188"/>
      <c r="AH6" s="189"/>
      <c r="AI6" s="187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9"/>
      <c r="AU6" s="187"/>
      <c r="AV6" s="188"/>
      <c r="AW6" s="188"/>
      <c r="AX6" s="188"/>
      <c r="AY6" s="188"/>
      <c r="AZ6" s="188"/>
      <c r="BA6" s="188"/>
      <c r="BB6" s="188"/>
      <c r="BC6" s="188"/>
      <c r="BD6" s="188"/>
      <c r="BE6" s="188"/>
      <c r="BF6" s="195"/>
    </row>
    <row r="7" spans="2:58" ht="13" customHeight="1" x14ac:dyDescent="0.25">
      <c r="B7" s="202"/>
      <c r="C7" s="188"/>
      <c r="D7" s="188"/>
      <c r="E7" s="188"/>
      <c r="F7" s="188"/>
      <c r="G7" s="188"/>
      <c r="H7" s="188"/>
      <c r="I7" s="188"/>
      <c r="J7" s="188"/>
      <c r="K7" s="188"/>
      <c r="L7" s="189"/>
      <c r="M7" s="187"/>
      <c r="N7" s="188"/>
      <c r="O7" s="188"/>
      <c r="P7" s="188"/>
      <c r="Q7" s="188"/>
      <c r="R7" s="188"/>
      <c r="S7" s="188"/>
      <c r="T7" s="188"/>
      <c r="U7" s="188"/>
      <c r="V7" s="188"/>
      <c r="W7" s="189"/>
      <c r="X7" s="187"/>
      <c r="Y7" s="188"/>
      <c r="Z7" s="188"/>
      <c r="AA7" s="188"/>
      <c r="AB7" s="188"/>
      <c r="AC7" s="188"/>
      <c r="AD7" s="188"/>
      <c r="AE7" s="188"/>
      <c r="AF7" s="188"/>
      <c r="AG7" s="188"/>
      <c r="AH7" s="189"/>
      <c r="AI7" s="187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9"/>
      <c r="AU7" s="187"/>
      <c r="AV7" s="188"/>
      <c r="AW7" s="188"/>
      <c r="AX7" s="188"/>
      <c r="AY7" s="188"/>
      <c r="AZ7" s="188"/>
      <c r="BA7" s="188"/>
      <c r="BB7" s="188"/>
      <c r="BC7" s="188"/>
      <c r="BD7" s="188"/>
      <c r="BE7" s="188"/>
      <c r="BF7" s="195"/>
    </row>
    <row r="8" spans="2:58" ht="13" customHeight="1" x14ac:dyDescent="0.25">
      <c r="B8" s="202"/>
      <c r="C8" s="188"/>
      <c r="D8" s="188"/>
      <c r="E8" s="188"/>
      <c r="F8" s="188"/>
      <c r="G8" s="188"/>
      <c r="H8" s="188"/>
      <c r="I8" s="188"/>
      <c r="J8" s="188"/>
      <c r="K8" s="188"/>
      <c r="L8" s="189"/>
      <c r="M8" s="187"/>
      <c r="N8" s="188"/>
      <c r="O8" s="188"/>
      <c r="P8" s="188"/>
      <c r="Q8" s="188"/>
      <c r="R8" s="188"/>
      <c r="S8" s="188"/>
      <c r="T8" s="188"/>
      <c r="U8" s="188"/>
      <c r="V8" s="188"/>
      <c r="W8" s="189"/>
      <c r="X8" s="187"/>
      <c r="Y8" s="188"/>
      <c r="Z8" s="188"/>
      <c r="AA8" s="188"/>
      <c r="AB8" s="188"/>
      <c r="AC8" s="188"/>
      <c r="AD8" s="188"/>
      <c r="AE8" s="188"/>
      <c r="AF8" s="188"/>
      <c r="AG8" s="188"/>
      <c r="AH8" s="189"/>
      <c r="AI8" s="187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9"/>
      <c r="AU8" s="187"/>
      <c r="AV8" s="188"/>
      <c r="AW8" s="188"/>
      <c r="AX8" s="188"/>
      <c r="AY8" s="188"/>
      <c r="AZ8" s="188"/>
      <c r="BA8" s="188"/>
      <c r="BB8" s="188"/>
      <c r="BC8" s="188"/>
      <c r="BD8" s="188"/>
      <c r="BE8" s="188"/>
      <c r="BF8" s="195"/>
    </row>
    <row r="9" spans="2:58" ht="13" customHeight="1" x14ac:dyDescent="0.25">
      <c r="B9" s="203"/>
      <c r="C9" s="191"/>
      <c r="D9" s="191"/>
      <c r="E9" s="191"/>
      <c r="F9" s="191"/>
      <c r="G9" s="191"/>
      <c r="H9" s="191"/>
      <c r="I9" s="191"/>
      <c r="J9" s="191"/>
      <c r="K9" s="191"/>
      <c r="L9" s="148"/>
      <c r="M9" s="190"/>
      <c r="N9" s="191"/>
      <c r="O9" s="191"/>
      <c r="P9" s="191"/>
      <c r="Q9" s="191"/>
      <c r="R9" s="191"/>
      <c r="S9" s="191"/>
      <c r="T9" s="191"/>
      <c r="U9" s="191"/>
      <c r="V9" s="191"/>
      <c r="W9" s="148"/>
      <c r="X9" s="190"/>
      <c r="Y9" s="191"/>
      <c r="Z9" s="191"/>
      <c r="AA9" s="191"/>
      <c r="AB9" s="191"/>
      <c r="AC9" s="191"/>
      <c r="AD9" s="191"/>
      <c r="AE9" s="191"/>
      <c r="AF9" s="191"/>
      <c r="AG9" s="191"/>
      <c r="AH9" s="148"/>
      <c r="AI9" s="190"/>
      <c r="AJ9" s="191"/>
      <c r="AK9" s="191"/>
      <c r="AL9" s="191"/>
      <c r="AM9" s="191"/>
      <c r="AN9" s="191"/>
      <c r="AO9" s="191"/>
      <c r="AP9" s="191"/>
      <c r="AQ9" s="191"/>
      <c r="AR9" s="191"/>
      <c r="AS9" s="191"/>
      <c r="AT9" s="148"/>
      <c r="AU9" s="190"/>
      <c r="AV9" s="191"/>
      <c r="AW9" s="191"/>
      <c r="AX9" s="191"/>
      <c r="AY9" s="191"/>
      <c r="AZ9" s="191"/>
      <c r="BA9" s="191"/>
      <c r="BB9" s="191"/>
      <c r="BC9" s="191"/>
      <c r="BD9" s="191"/>
      <c r="BE9" s="191"/>
      <c r="BF9" s="196"/>
    </row>
    <row r="10" spans="2:58" ht="13" customHeight="1" x14ac:dyDescent="0.25">
      <c r="B10" s="180" t="s">
        <v>236</v>
      </c>
      <c r="C10" s="178"/>
      <c r="D10" s="178"/>
      <c r="E10" s="178"/>
      <c r="F10" s="178"/>
      <c r="G10" s="178"/>
      <c r="H10" s="178"/>
      <c r="I10" s="178"/>
      <c r="J10" s="178"/>
      <c r="K10" s="178"/>
      <c r="L10" s="149"/>
      <c r="M10" s="200" t="s">
        <v>237</v>
      </c>
      <c r="N10" s="178"/>
      <c r="O10" s="178"/>
      <c r="P10" s="178"/>
      <c r="Q10" s="178"/>
      <c r="R10" s="178"/>
      <c r="S10" s="178"/>
      <c r="T10" s="178"/>
      <c r="U10" s="178"/>
      <c r="V10" s="178"/>
      <c r="W10" s="149"/>
      <c r="X10" s="155" t="s">
        <v>238</v>
      </c>
      <c r="Y10" s="178"/>
      <c r="Z10" s="178"/>
      <c r="AA10" s="178"/>
      <c r="AB10" s="178"/>
      <c r="AC10" s="178"/>
      <c r="AD10" s="178"/>
      <c r="AE10" s="178"/>
      <c r="AF10" s="178"/>
      <c r="AG10" s="178"/>
      <c r="AH10" s="149"/>
      <c r="AI10" s="155" t="s">
        <v>239</v>
      </c>
      <c r="AJ10" s="178"/>
      <c r="AK10" s="178"/>
      <c r="AL10" s="178"/>
      <c r="AM10" s="178"/>
      <c r="AN10" s="178"/>
      <c r="AO10" s="178"/>
      <c r="AP10" s="178"/>
      <c r="AQ10" s="178"/>
      <c r="AR10" s="178"/>
      <c r="AS10" s="178"/>
      <c r="AT10" s="149"/>
      <c r="AU10" s="131" t="s">
        <v>240</v>
      </c>
      <c r="AV10" s="178"/>
      <c r="AW10" s="178"/>
      <c r="AX10" s="178"/>
      <c r="AY10" s="178"/>
      <c r="AZ10" s="178"/>
      <c r="BA10" s="178"/>
      <c r="BB10" s="178"/>
      <c r="BC10" s="178"/>
      <c r="BD10" s="178"/>
      <c r="BE10" s="178"/>
      <c r="BF10" s="182"/>
    </row>
    <row r="11" spans="2:58" ht="13" customHeight="1" x14ac:dyDescent="0.25">
      <c r="B11" s="201"/>
      <c r="C11" s="185"/>
      <c r="D11" s="185"/>
      <c r="E11" s="185"/>
      <c r="F11" s="185"/>
      <c r="G11" s="185"/>
      <c r="H11" s="185"/>
      <c r="I11" s="185"/>
      <c r="J11" s="185"/>
      <c r="K11" s="185"/>
      <c r="L11" s="186"/>
      <c r="M11" s="204"/>
      <c r="N11" s="185"/>
      <c r="O11" s="185"/>
      <c r="P11" s="185"/>
      <c r="Q11" s="185"/>
      <c r="R11" s="185"/>
      <c r="S11" s="185"/>
      <c r="T11" s="185"/>
      <c r="U11" s="185"/>
      <c r="V11" s="185"/>
      <c r="W11" s="186"/>
      <c r="X11" s="204"/>
      <c r="Y11" s="185"/>
      <c r="Z11" s="185"/>
      <c r="AA11" s="185"/>
      <c r="AB11" s="185"/>
      <c r="AC11" s="185"/>
      <c r="AD11" s="185"/>
      <c r="AE11" s="185"/>
      <c r="AF11" s="185"/>
      <c r="AG11" s="185"/>
      <c r="AH11" s="186"/>
      <c r="AI11" s="204"/>
      <c r="AJ11" s="185"/>
      <c r="AK11" s="185"/>
      <c r="AL11" s="185"/>
      <c r="AM11" s="185"/>
      <c r="AN11" s="185"/>
      <c r="AO11" s="185"/>
      <c r="AP11" s="185"/>
      <c r="AQ11" s="185"/>
      <c r="AR11" s="185"/>
      <c r="AS11" s="185"/>
      <c r="AT11" s="186"/>
      <c r="AU11" s="193"/>
      <c r="AV11" s="185"/>
      <c r="AW11" s="185"/>
      <c r="AX11" s="185"/>
      <c r="AY11" s="185"/>
      <c r="AZ11" s="185"/>
      <c r="BA11" s="185"/>
      <c r="BB11" s="185"/>
      <c r="BC11" s="185"/>
      <c r="BD11" s="185"/>
      <c r="BE11" s="185"/>
      <c r="BF11" s="194"/>
    </row>
    <row r="12" spans="2:58" ht="13" customHeight="1" x14ac:dyDescent="0.25">
      <c r="B12" s="202"/>
      <c r="C12" s="188"/>
      <c r="D12" s="188"/>
      <c r="E12" s="188"/>
      <c r="F12" s="188"/>
      <c r="G12" s="188"/>
      <c r="H12" s="188"/>
      <c r="I12" s="188"/>
      <c r="J12" s="188"/>
      <c r="K12" s="188"/>
      <c r="L12" s="189"/>
      <c r="M12" s="187"/>
      <c r="N12" s="188"/>
      <c r="O12" s="188"/>
      <c r="P12" s="188"/>
      <c r="Q12" s="188"/>
      <c r="R12" s="188"/>
      <c r="S12" s="188"/>
      <c r="T12" s="188"/>
      <c r="U12" s="188"/>
      <c r="V12" s="188"/>
      <c r="W12" s="189"/>
      <c r="X12" s="187"/>
      <c r="Y12" s="188"/>
      <c r="Z12" s="188"/>
      <c r="AA12" s="188"/>
      <c r="AB12" s="188"/>
      <c r="AC12" s="188"/>
      <c r="AD12" s="188"/>
      <c r="AE12" s="188"/>
      <c r="AF12" s="188"/>
      <c r="AG12" s="188"/>
      <c r="AH12" s="189"/>
      <c r="AI12" s="187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9"/>
      <c r="AU12" s="187"/>
      <c r="AV12" s="188"/>
      <c r="AW12" s="188"/>
      <c r="AX12" s="188"/>
      <c r="AY12" s="188"/>
      <c r="AZ12" s="188"/>
      <c r="BA12" s="188"/>
      <c r="BB12" s="188"/>
      <c r="BC12" s="188"/>
      <c r="BD12" s="188"/>
      <c r="BE12" s="188"/>
      <c r="BF12" s="195"/>
    </row>
    <row r="13" spans="2:58" ht="13" customHeight="1" x14ac:dyDescent="0.25">
      <c r="B13" s="202"/>
      <c r="C13" s="188"/>
      <c r="D13" s="188"/>
      <c r="E13" s="188"/>
      <c r="F13" s="188"/>
      <c r="G13" s="188"/>
      <c r="H13" s="188"/>
      <c r="I13" s="188"/>
      <c r="J13" s="188"/>
      <c r="K13" s="188"/>
      <c r="L13" s="189"/>
      <c r="M13" s="187"/>
      <c r="N13" s="188"/>
      <c r="O13" s="188"/>
      <c r="P13" s="188"/>
      <c r="Q13" s="188"/>
      <c r="R13" s="188"/>
      <c r="S13" s="188"/>
      <c r="T13" s="188"/>
      <c r="U13" s="188"/>
      <c r="V13" s="188"/>
      <c r="W13" s="189"/>
      <c r="X13" s="187"/>
      <c r="Y13" s="188"/>
      <c r="Z13" s="188"/>
      <c r="AA13" s="188"/>
      <c r="AB13" s="188"/>
      <c r="AC13" s="188"/>
      <c r="AD13" s="188"/>
      <c r="AE13" s="188"/>
      <c r="AF13" s="188"/>
      <c r="AG13" s="188"/>
      <c r="AH13" s="189"/>
      <c r="AI13" s="187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9"/>
      <c r="AU13" s="187"/>
      <c r="AV13" s="188"/>
      <c r="AW13" s="188"/>
      <c r="AX13" s="188"/>
      <c r="AY13" s="188"/>
      <c r="AZ13" s="188"/>
      <c r="BA13" s="188"/>
      <c r="BB13" s="188"/>
      <c r="BC13" s="188"/>
      <c r="BD13" s="188"/>
      <c r="BE13" s="188"/>
      <c r="BF13" s="195"/>
    </row>
    <row r="14" spans="2:58" ht="13" customHeight="1" x14ac:dyDescent="0.25">
      <c r="B14" s="202"/>
      <c r="C14" s="188"/>
      <c r="D14" s="188"/>
      <c r="E14" s="188"/>
      <c r="F14" s="188"/>
      <c r="G14" s="188"/>
      <c r="H14" s="188"/>
      <c r="I14" s="188"/>
      <c r="J14" s="188"/>
      <c r="K14" s="188"/>
      <c r="L14" s="189"/>
      <c r="M14" s="187"/>
      <c r="N14" s="188"/>
      <c r="O14" s="188"/>
      <c r="P14" s="188"/>
      <c r="Q14" s="188"/>
      <c r="R14" s="188"/>
      <c r="S14" s="188"/>
      <c r="T14" s="188"/>
      <c r="U14" s="188"/>
      <c r="V14" s="188"/>
      <c r="W14" s="189"/>
      <c r="X14" s="187"/>
      <c r="Y14" s="188"/>
      <c r="Z14" s="188"/>
      <c r="AA14" s="188"/>
      <c r="AB14" s="188"/>
      <c r="AC14" s="188"/>
      <c r="AD14" s="188"/>
      <c r="AE14" s="188"/>
      <c r="AF14" s="188"/>
      <c r="AG14" s="188"/>
      <c r="AH14" s="189"/>
      <c r="AI14" s="187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9"/>
      <c r="AU14" s="187"/>
      <c r="AV14" s="188"/>
      <c r="AW14" s="188"/>
      <c r="AX14" s="188"/>
      <c r="AY14" s="188"/>
      <c r="AZ14" s="188"/>
      <c r="BA14" s="188"/>
      <c r="BB14" s="188"/>
      <c r="BC14" s="188"/>
      <c r="BD14" s="188"/>
      <c r="BE14" s="188"/>
      <c r="BF14" s="195"/>
    </row>
    <row r="15" spans="2:58" ht="13" customHeight="1" x14ac:dyDescent="0.25">
      <c r="B15" s="202"/>
      <c r="C15" s="188"/>
      <c r="D15" s="188"/>
      <c r="E15" s="188"/>
      <c r="F15" s="188"/>
      <c r="G15" s="188"/>
      <c r="H15" s="188"/>
      <c r="I15" s="188"/>
      <c r="J15" s="188"/>
      <c r="K15" s="188"/>
      <c r="L15" s="189"/>
      <c r="M15" s="187"/>
      <c r="N15" s="188"/>
      <c r="O15" s="188"/>
      <c r="P15" s="188"/>
      <c r="Q15" s="188"/>
      <c r="R15" s="188"/>
      <c r="S15" s="188"/>
      <c r="T15" s="188"/>
      <c r="U15" s="188"/>
      <c r="V15" s="188"/>
      <c r="W15" s="189"/>
      <c r="X15" s="187"/>
      <c r="Y15" s="188"/>
      <c r="Z15" s="188"/>
      <c r="AA15" s="188"/>
      <c r="AB15" s="188"/>
      <c r="AC15" s="188"/>
      <c r="AD15" s="188"/>
      <c r="AE15" s="188"/>
      <c r="AF15" s="188"/>
      <c r="AG15" s="188"/>
      <c r="AH15" s="189"/>
      <c r="AI15" s="187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9"/>
      <c r="AU15" s="187"/>
      <c r="AV15" s="188"/>
      <c r="AW15" s="188"/>
      <c r="AX15" s="188"/>
      <c r="AY15" s="188"/>
      <c r="AZ15" s="188"/>
      <c r="BA15" s="188"/>
      <c r="BB15" s="188"/>
      <c r="BC15" s="188"/>
      <c r="BD15" s="188"/>
      <c r="BE15" s="188"/>
      <c r="BF15" s="195"/>
    </row>
    <row r="16" spans="2:58" ht="13" customHeight="1" x14ac:dyDescent="0.25">
      <c r="B16" s="202"/>
      <c r="C16" s="188"/>
      <c r="D16" s="188"/>
      <c r="E16" s="188"/>
      <c r="F16" s="188"/>
      <c r="G16" s="188"/>
      <c r="H16" s="188"/>
      <c r="I16" s="188"/>
      <c r="J16" s="188"/>
      <c r="K16" s="188"/>
      <c r="L16" s="189"/>
      <c r="M16" s="187"/>
      <c r="N16" s="188"/>
      <c r="O16" s="188"/>
      <c r="P16" s="188"/>
      <c r="Q16" s="188"/>
      <c r="R16" s="188"/>
      <c r="S16" s="188"/>
      <c r="T16" s="188"/>
      <c r="U16" s="188"/>
      <c r="V16" s="188"/>
      <c r="W16" s="189"/>
      <c r="X16" s="187"/>
      <c r="Y16" s="188"/>
      <c r="Z16" s="188"/>
      <c r="AA16" s="188"/>
      <c r="AB16" s="188"/>
      <c r="AC16" s="188"/>
      <c r="AD16" s="188"/>
      <c r="AE16" s="188"/>
      <c r="AF16" s="188"/>
      <c r="AG16" s="188"/>
      <c r="AH16" s="189"/>
      <c r="AI16" s="187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9"/>
      <c r="AU16" s="187"/>
      <c r="AV16" s="188"/>
      <c r="AW16" s="188"/>
      <c r="AX16" s="188"/>
      <c r="AY16" s="188"/>
      <c r="AZ16" s="188"/>
      <c r="BA16" s="188"/>
      <c r="BB16" s="188"/>
      <c r="BC16" s="188"/>
      <c r="BD16" s="188"/>
      <c r="BE16" s="188"/>
      <c r="BF16" s="195"/>
    </row>
    <row r="17" spans="2:58" ht="13" customHeight="1" x14ac:dyDescent="0.25">
      <c r="B17" s="203"/>
      <c r="C17" s="191"/>
      <c r="D17" s="191"/>
      <c r="E17" s="191"/>
      <c r="F17" s="191"/>
      <c r="G17" s="191"/>
      <c r="H17" s="191"/>
      <c r="I17" s="191"/>
      <c r="J17" s="191"/>
      <c r="K17" s="191"/>
      <c r="L17" s="148"/>
      <c r="M17" s="190"/>
      <c r="N17" s="191"/>
      <c r="O17" s="191"/>
      <c r="P17" s="191"/>
      <c r="Q17" s="191"/>
      <c r="R17" s="191"/>
      <c r="S17" s="191"/>
      <c r="T17" s="191"/>
      <c r="U17" s="191"/>
      <c r="V17" s="191"/>
      <c r="W17" s="148"/>
      <c r="X17" s="190"/>
      <c r="Y17" s="191"/>
      <c r="Z17" s="191"/>
      <c r="AA17" s="191"/>
      <c r="AB17" s="191"/>
      <c r="AC17" s="191"/>
      <c r="AD17" s="191"/>
      <c r="AE17" s="191"/>
      <c r="AF17" s="191"/>
      <c r="AG17" s="191"/>
      <c r="AH17" s="148"/>
      <c r="AI17" s="190"/>
      <c r="AJ17" s="191"/>
      <c r="AK17" s="191"/>
      <c r="AL17" s="191"/>
      <c r="AM17" s="191"/>
      <c r="AN17" s="191"/>
      <c r="AO17" s="191"/>
      <c r="AP17" s="191"/>
      <c r="AQ17" s="191"/>
      <c r="AR17" s="191"/>
      <c r="AS17" s="191"/>
      <c r="AT17" s="148"/>
      <c r="AU17" s="190"/>
      <c r="AV17" s="191"/>
      <c r="AW17" s="191"/>
      <c r="AX17" s="191"/>
      <c r="AY17" s="191"/>
      <c r="AZ17" s="191"/>
      <c r="BA17" s="191"/>
      <c r="BB17" s="191"/>
      <c r="BC17" s="191"/>
      <c r="BD17" s="191"/>
      <c r="BE17" s="191"/>
      <c r="BF17" s="196"/>
    </row>
    <row r="18" spans="2:58" ht="13" customHeight="1" x14ac:dyDescent="0.25">
      <c r="B18" s="180" t="s">
        <v>241</v>
      </c>
      <c r="C18" s="178"/>
      <c r="D18" s="178"/>
      <c r="E18" s="178"/>
      <c r="F18" s="178"/>
      <c r="G18" s="178"/>
      <c r="H18" s="178"/>
      <c r="I18" s="178"/>
      <c r="J18" s="178"/>
      <c r="K18" s="178"/>
      <c r="L18" s="178"/>
      <c r="M18" s="213" t="s">
        <v>242</v>
      </c>
      <c r="N18" s="178"/>
      <c r="O18" s="178"/>
      <c r="P18" s="178"/>
      <c r="Q18" s="178"/>
      <c r="R18" s="178"/>
      <c r="S18" s="178"/>
      <c r="T18" s="178"/>
      <c r="U18" s="178"/>
      <c r="V18" s="178"/>
      <c r="W18" s="149"/>
      <c r="X18" s="212" t="s">
        <v>243</v>
      </c>
      <c r="Y18" s="178"/>
      <c r="Z18" s="178"/>
      <c r="AA18" s="178"/>
      <c r="AB18" s="178"/>
      <c r="AC18" s="178"/>
      <c r="AD18" s="178"/>
      <c r="AE18" s="178"/>
      <c r="AF18" s="178"/>
      <c r="AG18" s="178"/>
      <c r="AH18" s="149"/>
      <c r="AI18" s="117" t="s">
        <v>244</v>
      </c>
      <c r="AJ18" s="178"/>
      <c r="AK18" s="178"/>
      <c r="AL18" s="178"/>
      <c r="AM18" s="178"/>
      <c r="AN18" s="178"/>
      <c r="AO18" s="178"/>
      <c r="AP18" s="178"/>
      <c r="AQ18" s="178"/>
      <c r="AR18" s="178"/>
      <c r="AS18" s="178"/>
      <c r="AT18" s="149"/>
      <c r="AU18" s="131" t="s">
        <v>245</v>
      </c>
      <c r="AV18" s="178"/>
      <c r="AW18" s="178"/>
      <c r="AX18" s="178"/>
      <c r="AY18" s="178"/>
      <c r="AZ18" s="178"/>
      <c r="BA18" s="178"/>
      <c r="BB18" s="178"/>
      <c r="BC18" s="178"/>
      <c r="BD18" s="178"/>
      <c r="BE18" s="178"/>
      <c r="BF18" s="182"/>
    </row>
    <row r="19" spans="2:58" ht="13" customHeight="1" x14ac:dyDescent="0.25">
      <c r="B19" s="201"/>
      <c r="C19" s="185"/>
      <c r="D19" s="185"/>
      <c r="E19" s="185"/>
      <c r="F19" s="185"/>
      <c r="G19" s="185"/>
      <c r="H19" s="185"/>
      <c r="I19" s="185"/>
      <c r="J19" s="185"/>
      <c r="K19" s="185"/>
      <c r="L19" s="186"/>
      <c r="M19" s="215"/>
      <c r="N19" s="185"/>
      <c r="O19" s="185"/>
      <c r="P19" s="185"/>
      <c r="Q19" s="185"/>
      <c r="R19" s="185"/>
      <c r="S19" s="185"/>
      <c r="T19" s="185"/>
      <c r="U19" s="185"/>
      <c r="V19" s="185"/>
      <c r="W19" s="186"/>
      <c r="X19" s="184"/>
      <c r="Y19" s="185"/>
      <c r="Z19" s="185"/>
      <c r="AA19" s="185"/>
      <c r="AB19" s="185"/>
      <c r="AC19" s="185"/>
      <c r="AD19" s="185"/>
      <c r="AE19" s="185"/>
      <c r="AF19" s="185"/>
      <c r="AG19" s="185"/>
      <c r="AH19" s="186"/>
      <c r="AI19" s="192"/>
      <c r="AJ19" s="185"/>
      <c r="AK19" s="185"/>
      <c r="AL19" s="185"/>
      <c r="AM19" s="185"/>
      <c r="AN19" s="185"/>
      <c r="AO19" s="185"/>
      <c r="AP19" s="185"/>
      <c r="AQ19" s="185"/>
      <c r="AR19" s="185"/>
      <c r="AS19" s="185"/>
      <c r="AT19" s="186"/>
      <c r="AU19" s="193"/>
      <c r="AV19" s="185"/>
      <c r="AW19" s="185"/>
      <c r="AX19" s="185"/>
      <c r="AY19" s="185"/>
      <c r="AZ19" s="185"/>
      <c r="BA19" s="185"/>
      <c r="BB19" s="185"/>
      <c r="BC19" s="185"/>
      <c r="BD19" s="185"/>
      <c r="BE19" s="185"/>
      <c r="BF19" s="194"/>
    </row>
    <row r="20" spans="2:58" ht="13" customHeight="1" x14ac:dyDescent="0.25">
      <c r="B20" s="202"/>
      <c r="C20" s="188"/>
      <c r="D20" s="188"/>
      <c r="E20" s="188"/>
      <c r="F20" s="188"/>
      <c r="G20" s="188"/>
      <c r="H20" s="188"/>
      <c r="I20" s="188"/>
      <c r="J20" s="188"/>
      <c r="K20" s="188"/>
      <c r="L20" s="189"/>
      <c r="M20" s="187"/>
      <c r="N20" s="188"/>
      <c r="O20" s="188"/>
      <c r="P20" s="188"/>
      <c r="Q20" s="188"/>
      <c r="R20" s="188"/>
      <c r="S20" s="188"/>
      <c r="T20" s="188"/>
      <c r="U20" s="188"/>
      <c r="V20" s="188"/>
      <c r="W20" s="189"/>
      <c r="X20" s="187"/>
      <c r="Y20" s="188"/>
      <c r="Z20" s="188"/>
      <c r="AA20" s="188"/>
      <c r="AB20" s="188"/>
      <c r="AC20" s="188"/>
      <c r="AD20" s="188"/>
      <c r="AE20" s="188"/>
      <c r="AF20" s="188"/>
      <c r="AG20" s="188"/>
      <c r="AH20" s="189"/>
      <c r="AI20" s="187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9"/>
      <c r="AU20" s="187"/>
      <c r="AV20" s="188"/>
      <c r="AW20" s="188"/>
      <c r="AX20" s="188"/>
      <c r="AY20" s="188"/>
      <c r="AZ20" s="188"/>
      <c r="BA20" s="188"/>
      <c r="BB20" s="188"/>
      <c r="BC20" s="188"/>
      <c r="BD20" s="188"/>
      <c r="BE20" s="188"/>
      <c r="BF20" s="195"/>
    </row>
    <row r="21" spans="2:58" ht="13" customHeight="1" x14ac:dyDescent="0.25">
      <c r="B21" s="202"/>
      <c r="C21" s="188"/>
      <c r="D21" s="188"/>
      <c r="E21" s="188"/>
      <c r="F21" s="188"/>
      <c r="G21" s="188"/>
      <c r="H21" s="188"/>
      <c r="I21" s="188"/>
      <c r="J21" s="188"/>
      <c r="K21" s="188"/>
      <c r="L21" s="189"/>
      <c r="M21" s="187"/>
      <c r="N21" s="188"/>
      <c r="O21" s="188"/>
      <c r="P21" s="188"/>
      <c r="Q21" s="188"/>
      <c r="R21" s="188"/>
      <c r="S21" s="188"/>
      <c r="T21" s="188"/>
      <c r="U21" s="188"/>
      <c r="V21" s="188"/>
      <c r="W21" s="189"/>
      <c r="X21" s="187"/>
      <c r="Y21" s="188"/>
      <c r="Z21" s="188"/>
      <c r="AA21" s="188"/>
      <c r="AB21" s="188"/>
      <c r="AC21" s="188"/>
      <c r="AD21" s="188"/>
      <c r="AE21" s="188"/>
      <c r="AF21" s="188"/>
      <c r="AG21" s="188"/>
      <c r="AH21" s="189"/>
      <c r="AI21" s="187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9"/>
      <c r="AU21" s="187"/>
      <c r="AV21" s="188"/>
      <c r="AW21" s="188"/>
      <c r="AX21" s="188"/>
      <c r="AY21" s="188"/>
      <c r="AZ21" s="188"/>
      <c r="BA21" s="188"/>
      <c r="BB21" s="188"/>
      <c r="BC21" s="188"/>
      <c r="BD21" s="188"/>
      <c r="BE21" s="188"/>
      <c r="BF21" s="195"/>
    </row>
    <row r="22" spans="2:58" ht="13" customHeight="1" x14ac:dyDescent="0.25">
      <c r="B22" s="202"/>
      <c r="C22" s="188"/>
      <c r="D22" s="188"/>
      <c r="E22" s="188"/>
      <c r="F22" s="188"/>
      <c r="G22" s="188"/>
      <c r="H22" s="188"/>
      <c r="I22" s="188"/>
      <c r="J22" s="188"/>
      <c r="K22" s="188"/>
      <c r="L22" s="189"/>
      <c r="M22" s="187"/>
      <c r="N22" s="188"/>
      <c r="O22" s="188"/>
      <c r="P22" s="188"/>
      <c r="Q22" s="188"/>
      <c r="R22" s="188"/>
      <c r="S22" s="188"/>
      <c r="T22" s="188"/>
      <c r="U22" s="188"/>
      <c r="V22" s="188"/>
      <c r="W22" s="189"/>
      <c r="X22" s="187"/>
      <c r="Y22" s="188"/>
      <c r="Z22" s="188"/>
      <c r="AA22" s="188"/>
      <c r="AB22" s="188"/>
      <c r="AC22" s="188"/>
      <c r="AD22" s="188"/>
      <c r="AE22" s="188"/>
      <c r="AF22" s="188"/>
      <c r="AG22" s="188"/>
      <c r="AH22" s="189"/>
      <c r="AI22" s="187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9"/>
      <c r="AU22" s="187"/>
      <c r="AV22" s="188"/>
      <c r="AW22" s="188"/>
      <c r="AX22" s="188"/>
      <c r="AY22" s="188"/>
      <c r="AZ22" s="188"/>
      <c r="BA22" s="188"/>
      <c r="BB22" s="188"/>
      <c r="BC22" s="188"/>
      <c r="BD22" s="188"/>
      <c r="BE22" s="188"/>
      <c r="BF22" s="195"/>
    </row>
    <row r="23" spans="2:58" ht="13" customHeight="1" x14ac:dyDescent="0.25">
      <c r="B23" s="202"/>
      <c r="C23" s="188"/>
      <c r="D23" s="188"/>
      <c r="E23" s="188"/>
      <c r="F23" s="188"/>
      <c r="G23" s="188"/>
      <c r="H23" s="188"/>
      <c r="I23" s="188"/>
      <c r="J23" s="188"/>
      <c r="K23" s="188"/>
      <c r="L23" s="189"/>
      <c r="M23" s="187"/>
      <c r="N23" s="188"/>
      <c r="O23" s="188"/>
      <c r="P23" s="188"/>
      <c r="Q23" s="188"/>
      <c r="R23" s="188"/>
      <c r="S23" s="188"/>
      <c r="T23" s="188"/>
      <c r="U23" s="188"/>
      <c r="V23" s="188"/>
      <c r="W23" s="189"/>
      <c r="X23" s="187"/>
      <c r="Y23" s="188"/>
      <c r="Z23" s="188"/>
      <c r="AA23" s="188"/>
      <c r="AB23" s="188"/>
      <c r="AC23" s="188"/>
      <c r="AD23" s="188"/>
      <c r="AE23" s="188"/>
      <c r="AF23" s="188"/>
      <c r="AG23" s="188"/>
      <c r="AH23" s="189"/>
      <c r="AI23" s="187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9"/>
      <c r="AU23" s="187"/>
      <c r="AV23" s="188"/>
      <c r="AW23" s="188"/>
      <c r="AX23" s="188"/>
      <c r="AY23" s="188"/>
      <c r="AZ23" s="188"/>
      <c r="BA23" s="188"/>
      <c r="BB23" s="188"/>
      <c r="BC23" s="188"/>
      <c r="BD23" s="188"/>
      <c r="BE23" s="188"/>
      <c r="BF23" s="195"/>
    </row>
    <row r="24" spans="2:58" ht="13" customHeight="1" x14ac:dyDescent="0.25">
      <c r="B24" s="203"/>
      <c r="C24" s="191"/>
      <c r="D24" s="191"/>
      <c r="E24" s="191"/>
      <c r="F24" s="191"/>
      <c r="G24" s="191"/>
      <c r="H24" s="191"/>
      <c r="I24" s="191"/>
      <c r="J24" s="191"/>
      <c r="K24" s="191"/>
      <c r="L24" s="148"/>
      <c r="M24" s="190"/>
      <c r="N24" s="191"/>
      <c r="O24" s="191"/>
      <c r="P24" s="191"/>
      <c r="Q24" s="191"/>
      <c r="R24" s="191"/>
      <c r="S24" s="191"/>
      <c r="T24" s="191"/>
      <c r="U24" s="191"/>
      <c r="V24" s="191"/>
      <c r="W24" s="148"/>
      <c r="X24" s="190"/>
      <c r="Y24" s="191"/>
      <c r="Z24" s="191"/>
      <c r="AA24" s="191"/>
      <c r="AB24" s="191"/>
      <c r="AC24" s="191"/>
      <c r="AD24" s="191"/>
      <c r="AE24" s="191"/>
      <c r="AF24" s="191"/>
      <c r="AG24" s="191"/>
      <c r="AH24" s="148"/>
      <c r="AI24" s="190"/>
      <c r="AJ24" s="191"/>
      <c r="AK24" s="191"/>
      <c r="AL24" s="191"/>
      <c r="AM24" s="191"/>
      <c r="AN24" s="191"/>
      <c r="AO24" s="191"/>
      <c r="AP24" s="191"/>
      <c r="AQ24" s="191"/>
      <c r="AR24" s="191"/>
      <c r="AS24" s="191"/>
      <c r="AT24" s="148"/>
      <c r="AU24" s="190"/>
      <c r="AV24" s="191"/>
      <c r="AW24" s="191"/>
      <c r="AX24" s="191"/>
      <c r="AY24" s="191"/>
      <c r="AZ24" s="191"/>
      <c r="BA24" s="191"/>
      <c r="BB24" s="191"/>
      <c r="BC24" s="191"/>
      <c r="BD24" s="191"/>
      <c r="BE24" s="191"/>
      <c r="BF24" s="196"/>
    </row>
    <row r="25" spans="2:58" ht="13" customHeight="1" x14ac:dyDescent="0.25">
      <c r="B25" s="180" t="s">
        <v>246</v>
      </c>
      <c r="C25" s="178"/>
      <c r="D25" s="178"/>
      <c r="E25" s="178"/>
      <c r="F25" s="178"/>
      <c r="G25" s="178"/>
      <c r="H25" s="178"/>
      <c r="I25" s="178"/>
      <c r="J25" s="178"/>
      <c r="K25" s="178"/>
      <c r="L25" s="149"/>
      <c r="M25" s="155" t="s">
        <v>247</v>
      </c>
      <c r="N25" s="178"/>
      <c r="O25" s="178"/>
      <c r="P25" s="178"/>
      <c r="Q25" s="178"/>
      <c r="R25" s="178"/>
      <c r="S25" s="178"/>
      <c r="T25" s="178"/>
      <c r="U25" s="178"/>
      <c r="V25" s="178"/>
      <c r="W25" s="149"/>
      <c r="X25" s="181" t="s">
        <v>248</v>
      </c>
      <c r="Y25" s="178"/>
      <c r="Z25" s="178"/>
      <c r="AA25" s="178"/>
      <c r="AB25" s="178"/>
      <c r="AC25" s="178"/>
      <c r="AD25" s="178"/>
      <c r="AE25" s="178"/>
      <c r="AF25" s="178"/>
      <c r="AG25" s="178"/>
      <c r="AH25" s="149"/>
      <c r="AI25" s="131" t="s">
        <v>249</v>
      </c>
      <c r="AJ25" s="178"/>
      <c r="AK25" s="178"/>
      <c r="AL25" s="178"/>
      <c r="AM25" s="178"/>
      <c r="AN25" s="178"/>
      <c r="AO25" s="178"/>
      <c r="AP25" s="178"/>
      <c r="AQ25" s="178"/>
      <c r="AR25" s="178"/>
      <c r="AS25" s="178"/>
      <c r="AT25" s="149"/>
      <c r="AU25" s="131" t="s">
        <v>250</v>
      </c>
      <c r="AV25" s="178"/>
      <c r="AW25" s="178"/>
      <c r="AX25" s="178"/>
      <c r="AY25" s="178"/>
      <c r="AZ25" s="178"/>
      <c r="BA25" s="178"/>
      <c r="BB25" s="178"/>
      <c r="BC25" s="178"/>
      <c r="BD25" s="178"/>
      <c r="BE25" s="178"/>
      <c r="BF25" s="182"/>
    </row>
    <row r="26" spans="2:58" ht="13" customHeight="1" x14ac:dyDescent="0.25">
      <c r="B26" s="201"/>
      <c r="C26" s="185"/>
      <c r="D26" s="185"/>
      <c r="E26" s="185"/>
      <c r="F26" s="185"/>
      <c r="G26" s="185"/>
      <c r="H26" s="185"/>
      <c r="I26" s="185"/>
      <c r="J26" s="185"/>
      <c r="K26" s="185"/>
      <c r="L26" s="186"/>
      <c r="M26" s="209"/>
      <c r="N26" s="185"/>
      <c r="O26" s="185"/>
      <c r="P26" s="185"/>
      <c r="Q26" s="185"/>
      <c r="R26" s="185"/>
      <c r="S26" s="185"/>
      <c r="T26" s="185"/>
      <c r="U26" s="185"/>
      <c r="V26" s="185"/>
      <c r="W26" s="186"/>
      <c r="X26" s="205"/>
      <c r="Y26" s="185"/>
      <c r="Z26" s="185"/>
      <c r="AA26" s="185"/>
      <c r="AB26" s="185"/>
      <c r="AC26" s="185"/>
      <c r="AD26" s="185"/>
      <c r="AE26" s="185"/>
      <c r="AF26" s="185"/>
      <c r="AG26" s="185"/>
      <c r="AH26" s="186"/>
      <c r="AI26" s="193"/>
      <c r="AJ26" s="185"/>
      <c r="AK26" s="185"/>
      <c r="AL26" s="185"/>
      <c r="AM26" s="185"/>
      <c r="AN26" s="185"/>
      <c r="AO26" s="185"/>
      <c r="AP26" s="185"/>
      <c r="AQ26" s="185"/>
      <c r="AR26" s="185"/>
      <c r="AS26" s="185"/>
      <c r="AT26" s="186"/>
      <c r="AU26" s="193"/>
      <c r="AV26" s="185"/>
      <c r="AW26" s="185"/>
      <c r="AX26" s="185"/>
      <c r="AY26" s="185"/>
      <c r="AZ26" s="185"/>
      <c r="BA26" s="185"/>
      <c r="BB26" s="185"/>
      <c r="BC26" s="185"/>
      <c r="BD26" s="185"/>
      <c r="BE26" s="185"/>
      <c r="BF26" s="194"/>
    </row>
    <row r="27" spans="2:58" ht="13" customHeight="1" x14ac:dyDescent="0.25">
      <c r="B27" s="202"/>
      <c r="C27" s="188"/>
      <c r="D27" s="188"/>
      <c r="E27" s="188"/>
      <c r="F27" s="188"/>
      <c r="G27" s="188"/>
      <c r="H27" s="188"/>
      <c r="I27" s="188"/>
      <c r="J27" s="188"/>
      <c r="K27" s="188"/>
      <c r="L27" s="189"/>
      <c r="M27" s="187"/>
      <c r="N27" s="188"/>
      <c r="O27" s="188"/>
      <c r="P27" s="188"/>
      <c r="Q27" s="188"/>
      <c r="R27" s="188"/>
      <c r="S27" s="188"/>
      <c r="T27" s="188"/>
      <c r="U27" s="188"/>
      <c r="V27" s="188"/>
      <c r="W27" s="189"/>
      <c r="X27" s="187"/>
      <c r="Y27" s="188"/>
      <c r="Z27" s="188"/>
      <c r="AA27" s="188"/>
      <c r="AB27" s="188"/>
      <c r="AC27" s="188"/>
      <c r="AD27" s="188"/>
      <c r="AE27" s="188"/>
      <c r="AF27" s="188"/>
      <c r="AG27" s="188"/>
      <c r="AH27" s="189"/>
      <c r="AI27" s="187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9"/>
      <c r="AU27" s="187"/>
      <c r="AV27" s="188"/>
      <c r="AW27" s="188"/>
      <c r="AX27" s="188"/>
      <c r="AY27" s="188"/>
      <c r="AZ27" s="188"/>
      <c r="BA27" s="188"/>
      <c r="BB27" s="188"/>
      <c r="BC27" s="188"/>
      <c r="BD27" s="188"/>
      <c r="BE27" s="188"/>
      <c r="BF27" s="195"/>
    </row>
    <row r="28" spans="2:58" ht="13" customHeight="1" x14ac:dyDescent="0.25">
      <c r="B28" s="202"/>
      <c r="C28" s="188"/>
      <c r="D28" s="188"/>
      <c r="E28" s="188"/>
      <c r="F28" s="188"/>
      <c r="G28" s="188"/>
      <c r="H28" s="188"/>
      <c r="I28" s="188"/>
      <c r="J28" s="188"/>
      <c r="K28" s="188"/>
      <c r="L28" s="189"/>
      <c r="M28" s="187"/>
      <c r="N28" s="188"/>
      <c r="O28" s="188"/>
      <c r="P28" s="188"/>
      <c r="Q28" s="188"/>
      <c r="R28" s="188"/>
      <c r="S28" s="188"/>
      <c r="T28" s="188"/>
      <c r="U28" s="188"/>
      <c r="V28" s="188"/>
      <c r="W28" s="189"/>
      <c r="X28" s="187"/>
      <c r="Y28" s="188"/>
      <c r="Z28" s="188"/>
      <c r="AA28" s="188"/>
      <c r="AB28" s="188"/>
      <c r="AC28" s="188"/>
      <c r="AD28" s="188"/>
      <c r="AE28" s="188"/>
      <c r="AF28" s="188"/>
      <c r="AG28" s="188"/>
      <c r="AH28" s="189"/>
      <c r="AI28" s="187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9"/>
      <c r="AU28" s="187"/>
      <c r="AV28" s="188"/>
      <c r="AW28" s="188"/>
      <c r="AX28" s="188"/>
      <c r="AY28" s="188"/>
      <c r="AZ28" s="188"/>
      <c r="BA28" s="188"/>
      <c r="BB28" s="188"/>
      <c r="BC28" s="188"/>
      <c r="BD28" s="188"/>
      <c r="BE28" s="188"/>
      <c r="BF28" s="195"/>
    </row>
    <row r="29" spans="2:58" ht="13" customHeight="1" x14ac:dyDescent="0.25">
      <c r="B29" s="202"/>
      <c r="C29" s="188"/>
      <c r="D29" s="188"/>
      <c r="E29" s="188"/>
      <c r="F29" s="188"/>
      <c r="G29" s="188"/>
      <c r="H29" s="188"/>
      <c r="I29" s="188"/>
      <c r="J29" s="188"/>
      <c r="K29" s="188"/>
      <c r="L29" s="189"/>
      <c r="M29" s="187"/>
      <c r="N29" s="188"/>
      <c r="O29" s="188"/>
      <c r="P29" s="188"/>
      <c r="Q29" s="188"/>
      <c r="R29" s="188"/>
      <c r="S29" s="188"/>
      <c r="T29" s="188"/>
      <c r="U29" s="188"/>
      <c r="V29" s="188"/>
      <c r="W29" s="189"/>
      <c r="X29" s="187"/>
      <c r="Y29" s="188"/>
      <c r="Z29" s="188"/>
      <c r="AA29" s="188"/>
      <c r="AB29" s="188"/>
      <c r="AC29" s="188"/>
      <c r="AD29" s="188"/>
      <c r="AE29" s="188"/>
      <c r="AF29" s="188"/>
      <c r="AG29" s="188"/>
      <c r="AH29" s="189"/>
      <c r="AI29" s="187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9"/>
      <c r="AU29" s="187"/>
      <c r="AV29" s="188"/>
      <c r="AW29" s="188"/>
      <c r="AX29" s="188"/>
      <c r="AY29" s="188"/>
      <c r="AZ29" s="188"/>
      <c r="BA29" s="188"/>
      <c r="BB29" s="188"/>
      <c r="BC29" s="188"/>
      <c r="BD29" s="188"/>
      <c r="BE29" s="188"/>
      <c r="BF29" s="195"/>
    </row>
    <row r="30" spans="2:58" ht="13" customHeight="1" x14ac:dyDescent="0.25">
      <c r="B30" s="202"/>
      <c r="C30" s="188"/>
      <c r="D30" s="188"/>
      <c r="E30" s="188"/>
      <c r="F30" s="188"/>
      <c r="G30" s="188"/>
      <c r="H30" s="188"/>
      <c r="I30" s="188"/>
      <c r="J30" s="188"/>
      <c r="K30" s="188"/>
      <c r="L30" s="189"/>
      <c r="M30" s="187"/>
      <c r="N30" s="188"/>
      <c r="O30" s="188"/>
      <c r="P30" s="188"/>
      <c r="Q30" s="188"/>
      <c r="R30" s="188"/>
      <c r="S30" s="188"/>
      <c r="T30" s="188"/>
      <c r="U30" s="188"/>
      <c r="V30" s="188"/>
      <c r="W30" s="189"/>
      <c r="X30" s="187"/>
      <c r="Y30" s="188"/>
      <c r="Z30" s="188"/>
      <c r="AA30" s="188"/>
      <c r="AB30" s="188"/>
      <c r="AC30" s="188"/>
      <c r="AD30" s="188"/>
      <c r="AE30" s="188"/>
      <c r="AF30" s="188"/>
      <c r="AG30" s="188"/>
      <c r="AH30" s="189"/>
      <c r="AI30" s="187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9"/>
      <c r="AU30" s="187"/>
      <c r="AV30" s="188"/>
      <c r="AW30" s="188"/>
      <c r="AX30" s="188"/>
      <c r="AY30" s="188"/>
      <c r="AZ30" s="188"/>
      <c r="BA30" s="188"/>
      <c r="BB30" s="188"/>
      <c r="BC30" s="188"/>
      <c r="BD30" s="188"/>
      <c r="BE30" s="188"/>
      <c r="BF30" s="195"/>
    </row>
    <row r="31" spans="2:58" ht="13" customHeight="1" x14ac:dyDescent="0.25">
      <c r="B31" s="203"/>
      <c r="C31" s="191"/>
      <c r="D31" s="191"/>
      <c r="E31" s="191"/>
      <c r="F31" s="191"/>
      <c r="G31" s="191"/>
      <c r="H31" s="191"/>
      <c r="I31" s="191"/>
      <c r="J31" s="191"/>
      <c r="K31" s="191"/>
      <c r="L31" s="148"/>
      <c r="M31" s="190"/>
      <c r="N31" s="191"/>
      <c r="O31" s="191"/>
      <c r="P31" s="191"/>
      <c r="Q31" s="191"/>
      <c r="R31" s="191"/>
      <c r="S31" s="191"/>
      <c r="T31" s="191"/>
      <c r="U31" s="191"/>
      <c r="V31" s="191"/>
      <c r="W31" s="148"/>
      <c r="X31" s="190"/>
      <c r="Y31" s="191"/>
      <c r="Z31" s="191"/>
      <c r="AA31" s="191"/>
      <c r="AB31" s="191"/>
      <c r="AC31" s="191"/>
      <c r="AD31" s="191"/>
      <c r="AE31" s="191"/>
      <c r="AF31" s="191"/>
      <c r="AG31" s="191"/>
      <c r="AH31" s="148"/>
      <c r="AI31" s="190"/>
      <c r="AJ31" s="191"/>
      <c r="AK31" s="191"/>
      <c r="AL31" s="191"/>
      <c r="AM31" s="191"/>
      <c r="AN31" s="191"/>
      <c r="AO31" s="191"/>
      <c r="AP31" s="191"/>
      <c r="AQ31" s="191"/>
      <c r="AR31" s="191"/>
      <c r="AS31" s="191"/>
      <c r="AT31" s="148"/>
      <c r="AU31" s="190"/>
      <c r="AV31" s="191"/>
      <c r="AW31" s="191"/>
      <c r="AX31" s="191"/>
      <c r="AY31" s="191"/>
      <c r="AZ31" s="191"/>
      <c r="BA31" s="191"/>
      <c r="BB31" s="191"/>
      <c r="BC31" s="191"/>
      <c r="BD31" s="191"/>
      <c r="BE31" s="191"/>
      <c r="BF31" s="196"/>
    </row>
    <row r="32" spans="2:58" ht="13" customHeight="1" x14ac:dyDescent="0.25">
      <c r="B32" s="180" t="s">
        <v>251</v>
      </c>
      <c r="C32" s="178"/>
      <c r="D32" s="178"/>
      <c r="E32" s="178"/>
      <c r="F32" s="178"/>
      <c r="G32" s="178"/>
      <c r="H32" s="178"/>
      <c r="I32" s="178"/>
      <c r="J32" s="178"/>
      <c r="K32" s="178"/>
      <c r="L32" s="149"/>
      <c r="M32" s="183" t="s">
        <v>252</v>
      </c>
      <c r="N32" s="178"/>
      <c r="O32" s="178"/>
      <c r="P32" s="178"/>
      <c r="Q32" s="178"/>
      <c r="R32" s="178"/>
      <c r="S32" s="178"/>
      <c r="T32" s="178"/>
      <c r="U32" s="178"/>
      <c r="V32" s="178"/>
      <c r="W32" s="149"/>
      <c r="X32" s="181" t="s">
        <v>253</v>
      </c>
      <c r="Y32" s="178"/>
      <c r="Z32" s="178"/>
      <c r="AA32" s="178"/>
      <c r="AB32" s="178"/>
      <c r="AC32" s="178"/>
      <c r="AD32" s="178"/>
      <c r="AE32" s="178"/>
      <c r="AF32" s="178"/>
      <c r="AG32" s="178"/>
      <c r="AH32" s="149"/>
      <c r="AI32" s="131" t="s">
        <v>254</v>
      </c>
      <c r="AJ32" s="178"/>
      <c r="AK32" s="178"/>
      <c r="AL32" s="178"/>
      <c r="AM32" s="178"/>
      <c r="AN32" s="178"/>
      <c r="AO32" s="178"/>
      <c r="AP32" s="178"/>
      <c r="AQ32" s="178"/>
      <c r="AR32" s="178"/>
      <c r="AS32" s="178"/>
      <c r="AT32" s="149"/>
      <c r="AU32" s="131" t="s">
        <v>255</v>
      </c>
      <c r="AV32" s="178"/>
      <c r="AW32" s="178"/>
      <c r="AX32" s="178"/>
      <c r="AY32" s="178"/>
      <c r="AZ32" s="178"/>
      <c r="BA32" s="178"/>
      <c r="BB32" s="178"/>
      <c r="BC32" s="178"/>
      <c r="BD32" s="178"/>
      <c r="BE32" s="178"/>
      <c r="BF32" s="182"/>
    </row>
    <row r="33" spans="2:58" ht="13" customHeight="1" x14ac:dyDescent="0.25">
      <c r="B33" s="201"/>
      <c r="C33" s="185"/>
      <c r="D33" s="185"/>
      <c r="E33" s="185"/>
      <c r="F33" s="185"/>
      <c r="G33" s="185"/>
      <c r="H33" s="185"/>
      <c r="I33" s="185"/>
      <c r="J33" s="185"/>
      <c r="K33" s="185"/>
      <c r="L33" s="186"/>
      <c r="M33" s="204"/>
      <c r="N33" s="185"/>
      <c r="O33" s="185"/>
      <c r="P33" s="185"/>
      <c r="Q33" s="185"/>
      <c r="R33" s="185"/>
      <c r="S33" s="185"/>
      <c r="T33" s="185"/>
      <c r="U33" s="185"/>
      <c r="V33" s="185"/>
      <c r="W33" s="186"/>
      <c r="X33" s="205"/>
      <c r="Y33" s="185"/>
      <c r="Z33" s="185"/>
      <c r="AA33" s="185"/>
      <c r="AB33" s="185"/>
      <c r="AC33" s="185"/>
      <c r="AD33" s="185"/>
      <c r="AE33" s="185"/>
      <c r="AF33" s="185"/>
      <c r="AG33" s="185"/>
      <c r="AH33" s="186"/>
      <c r="AI33" s="193"/>
      <c r="AJ33" s="185"/>
      <c r="AK33" s="185"/>
      <c r="AL33" s="185"/>
      <c r="AM33" s="185"/>
      <c r="AN33" s="185"/>
      <c r="AO33" s="185"/>
      <c r="AP33" s="185"/>
      <c r="AQ33" s="185"/>
      <c r="AR33" s="185"/>
      <c r="AS33" s="185"/>
      <c r="AT33" s="186"/>
      <c r="AU33" s="193"/>
      <c r="AV33" s="185"/>
      <c r="AW33" s="185"/>
      <c r="AX33" s="185"/>
      <c r="AY33" s="185"/>
      <c r="AZ33" s="185"/>
      <c r="BA33" s="185"/>
      <c r="BB33" s="185"/>
      <c r="BC33" s="185"/>
      <c r="BD33" s="185"/>
      <c r="BE33" s="185"/>
      <c r="BF33" s="194"/>
    </row>
    <row r="34" spans="2:58" ht="13" customHeight="1" x14ac:dyDescent="0.25">
      <c r="B34" s="202"/>
      <c r="C34" s="188"/>
      <c r="D34" s="188"/>
      <c r="E34" s="188"/>
      <c r="F34" s="188"/>
      <c r="G34" s="188"/>
      <c r="H34" s="188"/>
      <c r="I34" s="188"/>
      <c r="J34" s="188"/>
      <c r="K34" s="188"/>
      <c r="L34" s="189"/>
      <c r="M34" s="187"/>
      <c r="N34" s="188"/>
      <c r="O34" s="188"/>
      <c r="P34" s="188"/>
      <c r="Q34" s="188"/>
      <c r="R34" s="188"/>
      <c r="S34" s="188"/>
      <c r="T34" s="188"/>
      <c r="U34" s="188"/>
      <c r="V34" s="188"/>
      <c r="W34" s="189"/>
      <c r="X34" s="187"/>
      <c r="Y34" s="188"/>
      <c r="Z34" s="188"/>
      <c r="AA34" s="188"/>
      <c r="AB34" s="188"/>
      <c r="AC34" s="188"/>
      <c r="AD34" s="188"/>
      <c r="AE34" s="188"/>
      <c r="AF34" s="188"/>
      <c r="AG34" s="188"/>
      <c r="AH34" s="189"/>
      <c r="AI34" s="187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9"/>
      <c r="AU34" s="187"/>
      <c r="AV34" s="188"/>
      <c r="AW34" s="188"/>
      <c r="AX34" s="188"/>
      <c r="AY34" s="188"/>
      <c r="AZ34" s="188"/>
      <c r="BA34" s="188"/>
      <c r="BB34" s="188"/>
      <c r="BC34" s="188"/>
      <c r="BD34" s="188"/>
      <c r="BE34" s="188"/>
      <c r="BF34" s="195"/>
    </row>
    <row r="35" spans="2:58" ht="13" customHeight="1" x14ac:dyDescent="0.25">
      <c r="B35" s="202"/>
      <c r="C35" s="188"/>
      <c r="D35" s="188"/>
      <c r="E35" s="188"/>
      <c r="F35" s="188"/>
      <c r="G35" s="188"/>
      <c r="H35" s="188"/>
      <c r="I35" s="188"/>
      <c r="J35" s="188"/>
      <c r="K35" s="188"/>
      <c r="L35" s="189"/>
      <c r="M35" s="187"/>
      <c r="N35" s="188"/>
      <c r="O35" s="188"/>
      <c r="P35" s="188"/>
      <c r="Q35" s="188"/>
      <c r="R35" s="188"/>
      <c r="S35" s="188"/>
      <c r="T35" s="188"/>
      <c r="U35" s="188"/>
      <c r="V35" s="188"/>
      <c r="W35" s="189"/>
      <c r="X35" s="187"/>
      <c r="Y35" s="188"/>
      <c r="Z35" s="188"/>
      <c r="AA35" s="188"/>
      <c r="AB35" s="188"/>
      <c r="AC35" s="188"/>
      <c r="AD35" s="188"/>
      <c r="AE35" s="188"/>
      <c r="AF35" s="188"/>
      <c r="AG35" s="188"/>
      <c r="AH35" s="189"/>
      <c r="AI35" s="187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9"/>
      <c r="AU35" s="187"/>
      <c r="AV35" s="188"/>
      <c r="AW35" s="188"/>
      <c r="AX35" s="188"/>
      <c r="AY35" s="188"/>
      <c r="AZ35" s="188"/>
      <c r="BA35" s="188"/>
      <c r="BB35" s="188"/>
      <c r="BC35" s="188"/>
      <c r="BD35" s="188"/>
      <c r="BE35" s="188"/>
      <c r="BF35" s="195"/>
    </row>
    <row r="36" spans="2:58" ht="13" customHeight="1" x14ac:dyDescent="0.25">
      <c r="B36" s="202"/>
      <c r="C36" s="188"/>
      <c r="D36" s="188"/>
      <c r="E36" s="188"/>
      <c r="F36" s="188"/>
      <c r="G36" s="188"/>
      <c r="H36" s="188"/>
      <c r="I36" s="188"/>
      <c r="J36" s="188"/>
      <c r="K36" s="188"/>
      <c r="L36" s="189"/>
      <c r="M36" s="187"/>
      <c r="N36" s="188"/>
      <c r="O36" s="188"/>
      <c r="P36" s="188"/>
      <c r="Q36" s="188"/>
      <c r="R36" s="188"/>
      <c r="S36" s="188"/>
      <c r="T36" s="188"/>
      <c r="U36" s="188"/>
      <c r="V36" s="188"/>
      <c r="W36" s="189"/>
      <c r="X36" s="187"/>
      <c r="Y36" s="188"/>
      <c r="Z36" s="188"/>
      <c r="AA36" s="188"/>
      <c r="AB36" s="188"/>
      <c r="AC36" s="188"/>
      <c r="AD36" s="188"/>
      <c r="AE36" s="188"/>
      <c r="AF36" s="188"/>
      <c r="AG36" s="188"/>
      <c r="AH36" s="189"/>
      <c r="AI36" s="187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9"/>
      <c r="AU36" s="187"/>
      <c r="AV36" s="188"/>
      <c r="AW36" s="188"/>
      <c r="AX36" s="188"/>
      <c r="AY36" s="188"/>
      <c r="AZ36" s="188"/>
      <c r="BA36" s="188"/>
      <c r="BB36" s="188"/>
      <c r="BC36" s="188"/>
      <c r="BD36" s="188"/>
      <c r="BE36" s="188"/>
      <c r="BF36" s="195"/>
    </row>
    <row r="37" spans="2:58" ht="13" customHeight="1" x14ac:dyDescent="0.25">
      <c r="B37" s="202"/>
      <c r="C37" s="188"/>
      <c r="D37" s="188"/>
      <c r="E37" s="188"/>
      <c r="F37" s="188"/>
      <c r="G37" s="188"/>
      <c r="H37" s="188"/>
      <c r="I37" s="188"/>
      <c r="J37" s="188"/>
      <c r="K37" s="188"/>
      <c r="L37" s="189"/>
      <c r="M37" s="187"/>
      <c r="N37" s="188"/>
      <c r="O37" s="188"/>
      <c r="P37" s="188"/>
      <c r="Q37" s="188"/>
      <c r="R37" s="188"/>
      <c r="S37" s="188"/>
      <c r="T37" s="188"/>
      <c r="U37" s="188"/>
      <c r="V37" s="188"/>
      <c r="W37" s="189"/>
      <c r="X37" s="187"/>
      <c r="Y37" s="188"/>
      <c r="Z37" s="188"/>
      <c r="AA37" s="188"/>
      <c r="AB37" s="188"/>
      <c r="AC37" s="188"/>
      <c r="AD37" s="188"/>
      <c r="AE37" s="188"/>
      <c r="AF37" s="188"/>
      <c r="AG37" s="188"/>
      <c r="AH37" s="189"/>
      <c r="AI37" s="187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9"/>
      <c r="AU37" s="187"/>
      <c r="AV37" s="188"/>
      <c r="AW37" s="188"/>
      <c r="AX37" s="188"/>
      <c r="AY37" s="188"/>
      <c r="AZ37" s="188"/>
      <c r="BA37" s="188"/>
      <c r="BB37" s="188"/>
      <c r="BC37" s="188"/>
      <c r="BD37" s="188"/>
      <c r="BE37" s="188"/>
      <c r="BF37" s="195"/>
    </row>
    <row r="38" spans="2:58" ht="13" customHeight="1" x14ac:dyDescent="0.25">
      <c r="B38" s="203"/>
      <c r="C38" s="191"/>
      <c r="D38" s="191"/>
      <c r="E38" s="191"/>
      <c r="F38" s="191"/>
      <c r="G38" s="191"/>
      <c r="H38" s="191"/>
      <c r="I38" s="191"/>
      <c r="J38" s="191"/>
      <c r="K38" s="191"/>
      <c r="L38" s="148"/>
      <c r="M38" s="190"/>
      <c r="N38" s="191"/>
      <c r="O38" s="191"/>
      <c r="P38" s="191"/>
      <c r="Q38" s="191"/>
      <c r="R38" s="191"/>
      <c r="S38" s="191"/>
      <c r="T38" s="191"/>
      <c r="U38" s="191"/>
      <c r="V38" s="191"/>
      <c r="W38" s="148"/>
      <c r="X38" s="190"/>
      <c r="Y38" s="191"/>
      <c r="Z38" s="191"/>
      <c r="AA38" s="191"/>
      <c r="AB38" s="191"/>
      <c r="AC38" s="191"/>
      <c r="AD38" s="191"/>
      <c r="AE38" s="191"/>
      <c r="AF38" s="191"/>
      <c r="AG38" s="191"/>
      <c r="AH38" s="148"/>
      <c r="AI38" s="190"/>
      <c r="AJ38" s="191"/>
      <c r="AK38" s="191"/>
      <c r="AL38" s="191"/>
      <c r="AM38" s="191"/>
      <c r="AN38" s="191"/>
      <c r="AO38" s="191"/>
      <c r="AP38" s="191"/>
      <c r="AQ38" s="191"/>
      <c r="AR38" s="191"/>
      <c r="AS38" s="191"/>
      <c r="AT38" s="148"/>
      <c r="AU38" s="190"/>
      <c r="AV38" s="191"/>
      <c r="AW38" s="191"/>
      <c r="AX38" s="191"/>
      <c r="AY38" s="191"/>
      <c r="AZ38" s="191"/>
      <c r="BA38" s="191"/>
      <c r="BB38" s="191"/>
      <c r="BC38" s="191"/>
      <c r="BD38" s="191"/>
      <c r="BE38" s="191"/>
      <c r="BF38" s="196"/>
    </row>
    <row r="39" spans="2:58" ht="13" customHeight="1" x14ac:dyDescent="0.25">
      <c r="B39" s="180" t="s">
        <v>256</v>
      </c>
      <c r="C39" s="178"/>
      <c r="D39" s="178"/>
      <c r="E39" s="178"/>
      <c r="F39" s="178"/>
      <c r="G39" s="178"/>
      <c r="H39" s="178"/>
      <c r="I39" s="178"/>
      <c r="J39" s="178"/>
      <c r="K39" s="178"/>
      <c r="L39" s="149"/>
      <c r="M39" s="183" t="s">
        <v>257</v>
      </c>
      <c r="N39" s="178"/>
      <c r="O39" s="178"/>
      <c r="P39" s="178"/>
      <c r="Q39" s="178"/>
      <c r="R39" s="178"/>
      <c r="S39" s="178"/>
      <c r="T39" s="178"/>
      <c r="U39" s="178"/>
      <c r="V39" s="178"/>
      <c r="W39" s="149"/>
      <c r="X39" s="181" t="s">
        <v>258</v>
      </c>
      <c r="Y39" s="178"/>
      <c r="Z39" s="178"/>
      <c r="AA39" s="178"/>
      <c r="AB39" s="178"/>
      <c r="AC39" s="178"/>
      <c r="AD39" s="178"/>
      <c r="AE39" s="178"/>
      <c r="AF39" s="178"/>
      <c r="AG39" s="178"/>
      <c r="AH39" s="149"/>
      <c r="AI39" s="131" t="s">
        <v>259</v>
      </c>
      <c r="AJ39" s="178"/>
      <c r="AK39" s="178"/>
      <c r="AL39" s="178"/>
      <c r="AM39" s="178"/>
      <c r="AN39" s="178"/>
      <c r="AO39" s="178"/>
      <c r="AP39" s="178"/>
      <c r="AQ39" s="178"/>
      <c r="AR39" s="178"/>
      <c r="AS39" s="178"/>
      <c r="AT39" s="149"/>
      <c r="AU39" s="131" t="s">
        <v>260</v>
      </c>
      <c r="AV39" s="178"/>
      <c r="AW39" s="178"/>
      <c r="AX39" s="178"/>
      <c r="AY39" s="178"/>
      <c r="AZ39" s="178"/>
      <c r="BA39" s="178"/>
      <c r="BB39" s="178"/>
      <c r="BC39" s="178"/>
      <c r="BD39" s="178"/>
      <c r="BE39" s="178"/>
      <c r="BF39" s="182"/>
    </row>
    <row r="40" spans="2:58" ht="13" customHeight="1" x14ac:dyDescent="0.25">
      <c r="B40" s="201"/>
      <c r="C40" s="185"/>
      <c r="D40" s="185"/>
      <c r="E40" s="185"/>
      <c r="F40" s="185"/>
      <c r="G40" s="185"/>
      <c r="H40" s="185"/>
      <c r="I40" s="185"/>
      <c r="J40" s="185"/>
      <c r="K40" s="185"/>
      <c r="L40" s="186"/>
      <c r="M40" s="204"/>
      <c r="N40" s="185"/>
      <c r="O40" s="185"/>
      <c r="P40" s="185"/>
      <c r="Q40" s="185"/>
      <c r="R40" s="185"/>
      <c r="S40" s="185"/>
      <c r="T40" s="185"/>
      <c r="U40" s="185"/>
      <c r="V40" s="185"/>
      <c r="W40" s="186"/>
      <c r="X40" s="205"/>
      <c r="Y40" s="185"/>
      <c r="Z40" s="185"/>
      <c r="AA40" s="185"/>
      <c r="AB40" s="185"/>
      <c r="AC40" s="185"/>
      <c r="AD40" s="185"/>
      <c r="AE40" s="185"/>
      <c r="AF40" s="185"/>
      <c r="AG40" s="185"/>
      <c r="AH40" s="186"/>
      <c r="AI40" s="193"/>
      <c r="AJ40" s="185"/>
      <c r="AK40" s="185"/>
      <c r="AL40" s="185"/>
      <c r="AM40" s="185"/>
      <c r="AN40" s="185"/>
      <c r="AO40" s="185"/>
      <c r="AP40" s="185"/>
      <c r="AQ40" s="185"/>
      <c r="AR40" s="185"/>
      <c r="AS40" s="185"/>
      <c r="AT40" s="186"/>
      <c r="AU40" s="193"/>
      <c r="AV40" s="185"/>
      <c r="AW40" s="185"/>
      <c r="AX40" s="185"/>
      <c r="AY40" s="185"/>
      <c r="AZ40" s="185"/>
      <c r="BA40" s="185"/>
      <c r="BB40" s="185"/>
      <c r="BC40" s="185"/>
      <c r="BD40" s="185"/>
      <c r="BE40" s="185"/>
      <c r="BF40" s="194"/>
    </row>
    <row r="41" spans="2:58" ht="13" customHeight="1" x14ac:dyDescent="0.25">
      <c r="B41" s="202"/>
      <c r="C41" s="188"/>
      <c r="D41" s="188"/>
      <c r="E41" s="188"/>
      <c r="F41" s="188"/>
      <c r="G41" s="188"/>
      <c r="H41" s="188"/>
      <c r="I41" s="188"/>
      <c r="J41" s="188"/>
      <c r="K41" s="188"/>
      <c r="L41" s="189"/>
      <c r="M41" s="187"/>
      <c r="N41" s="188"/>
      <c r="O41" s="188"/>
      <c r="P41" s="188"/>
      <c r="Q41" s="188"/>
      <c r="R41" s="188"/>
      <c r="S41" s="188"/>
      <c r="T41" s="188"/>
      <c r="U41" s="188"/>
      <c r="V41" s="188"/>
      <c r="W41" s="189"/>
      <c r="X41" s="187"/>
      <c r="Y41" s="188"/>
      <c r="Z41" s="188"/>
      <c r="AA41" s="188"/>
      <c r="AB41" s="188"/>
      <c r="AC41" s="188"/>
      <c r="AD41" s="188"/>
      <c r="AE41" s="188"/>
      <c r="AF41" s="188"/>
      <c r="AG41" s="188"/>
      <c r="AH41" s="189"/>
      <c r="AI41" s="187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9"/>
      <c r="AU41" s="187"/>
      <c r="AV41" s="188"/>
      <c r="AW41" s="188"/>
      <c r="AX41" s="188"/>
      <c r="AY41" s="188"/>
      <c r="AZ41" s="188"/>
      <c r="BA41" s="188"/>
      <c r="BB41" s="188"/>
      <c r="BC41" s="188"/>
      <c r="BD41" s="188"/>
      <c r="BE41" s="188"/>
      <c r="BF41" s="195"/>
    </row>
    <row r="42" spans="2:58" ht="13" customHeight="1" x14ac:dyDescent="0.25">
      <c r="B42" s="202"/>
      <c r="C42" s="188"/>
      <c r="D42" s="188"/>
      <c r="E42" s="188"/>
      <c r="F42" s="188"/>
      <c r="G42" s="188"/>
      <c r="H42" s="188"/>
      <c r="I42" s="188"/>
      <c r="J42" s="188"/>
      <c r="K42" s="188"/>
      <c r="L42" s="189"/>
      <c r="M42" s="187"/>
      <c r="N42" s="188"/>
      <c r="O42" s="188"/>
      <c r="P42" s="188"/>
      <c r="Q42" s="188"/>
      <c r="R42" s="188"/>
      <c r="S42" s="188"/>
      <c r="T42" s="188"/>
      <c r="U42" s="188"/>
      <c r="V42" s="188"/>
      <c r="W42" s="189"/>
      <c r="X42" s="187"/>
      <c r="Y42" s="188"/>
      <c r="Z42" s="188"/>
      <c r="AA42" s="188"/>
      <c r="AB42" s="188"/>
      <c r="AC42" s="188"/>
      <c r="AD42" s="188"/>
      <c r="AE42" s="188"/>
      <c r="AF42" s="188"/>
      <c r="AG42" s="188"/>
      <c r="AH42" s="189"/>
      <c r="AI42" s="187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9"/>
      <c r="AU42" s="187"/>
      <c r="AV42" s="188"/>
      <c r="AW42" s="188"/>
      <c r="AX42" s="188"/>
      <c r="AY42" s="188"/>
      <c r="AZ42" s="188"/>
      <c r="BA42" s="188"/>
      <c r="BB42" s="188"/>
      <c r="BC42" s="188"/>
      <c r="BD42" s="188"/>
      <c r="BE42" s="188"/>
      <c r="BF42" s="195"/>
    </row>
    <row r="43" spans="2:58" ht="13" customHeight="1" x14ac:dyDescent="0.25">
      <c r="B43" s="202"/>
      <c r="C43" s="188"/>
      <c r="D43" s="188"/>
      <c r="E43" s="188"/>
      <c r="F43" s="188"/>
      <c r="G43" s="188"/>
      <c r="H43" s="188"/>
      <c r="I43" s="188"/>
      <c r="J43" s="188"/>
      <c r="K43" s="188"/>
      <c r="L43" s="189"/>
      <c r="M43" s="187"/>
      <c r="N43" s="188"/>
      <c r="O43" s="188"/>
      <c r="P43" s="188"/>
      <c r="Q43" s="188"/>
      <c r="R43" s="188"/>
      <c r="S43" s="188"/>
      <c r="T43" s="188"/>
      <c r="U43" s="188"/>
      <c r="V43" s="188"/>
      <c r="W43" s="189"/>
      <c r="X43" s="187"/>
      <c r="Y43" s="188"/>
      <c r="Z43" s="188"/>
      <c r="AA43" s="188"/>
      <c r="AB43" s="188"/>
      <c r="AC43" s="188"/>
      <c r="AD43" s="188"/>
      <c r="AE43" s="188"/>
      <c r="AF43" s="188"/>
      <c r="AG43" s="188"/>
      <c r="AH43" s="189"/>
      <c r="AI43" s="187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9"/>
      <c r="AU43" s="187"/>
      <c r="AV43" s="188"/>
      <c r="AW43" s="188"/>
      <c r="AX43" s="188"/>
      <c r="AY43" s="188"/>
      <c r="AZ43" s="188"/>
      <c r="BA43" s="188"/>
      <c r="BB43" s="188"/>
      <c r="BC43" s="188"/>
      <c r="BD43" s="188"/>
      <c r="BE43" s="188"/>
      <c r="BF43" s="195"/>
    </row>
    <row r="44" spans="2:58" ht="13" customHeight="1" x14ac:dyDescent="0.25">
      <c r="B44" s="202"/>
      <c r="C44" s="188"/>
      <c r="D44" s="188"/>
      <c r="E44" s="188"/>
      <c r="F44" s="188"/>
      <c r="G44" s="188"/>
      <c r="H44" s="188"/>
      <c r="I44" s="188"/>
      <c r="J44" s="188"/>
      <c r="K44" s="188"/>
      <c r="L44" s="189"/>
      <c r="M44" s="187"/>
      <c r="N44" s="188"/>
      <c r="O44" s="188"/>
      <c r="P44" s="188"/>
      <c r="Q44" s="188"/>
      <c r="R44" s="188"/>
      <c r="S44" s="188"/>
      <c r="T44" s="188"/>
      <c r="U44" s="188"/>
      <c r="V44" s="188"/>
      <c r="W44" s="189"/>
      <c r="X44" s="187"/>
      <c r="Y44" s="188"/>
      <c r="Z44" s="188"/>
      <c r="AA44" s="188"/>
      <c r="AB44" s="188"/>
      <c r="AC44" s="188"/>
      <c r="AD44" s="188"/>
      <c r="AE44" s="188"/>
      <c r="AF44" s="188"/>
      <c r="AG44" s="188"/>
      <c r="AH44" s="189"/>
      <c r="AI44" s="187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9"/>
      <c r="AU44" s="187"/>
      <c r="AV44" s="188"/>
      <c r="AW44" s="188"/>
      <c r="AX44" s="188"/>
      <c r="AY44" s="188"/>
      <c r="AZ44" s="188"/>
      <c r="BA44" s="188"/>
      <c r="BB44" s="188"/>
      <c r="BC44" s="188"/>
      <c r="BD44" s="188"/>
      <c r="BE44" s="188"/>
      <c r="BF44" s="195"/>
    </row>
    <row r="45" spans="2:58" ht="13" customHeight="1" x14ac:dyDescent="0.25">
      <c r="B45" s="203"/>
      <c r="C45" s="191"/>
      <c r="D45" s="191"/>
      <c r="E45" s="191"/>
      <c r="F45" s="191"/>
      <c r="G45" s="191"/>
      <c r="H45" s="191"/>
      <c r="I45" s="191"/>
      <c r="J45" s="191"/>
      <c r="K45" s="191"/>
      <c r="L45" s="148"/>
      <c r="M45" s="190"/>
      <c r="N45" s="191"/>
      <c r="O45" s="191"/>
      <c r="P45" s="191"/>
      <c r="Q45" s="191"/>
      <c r="R45" s="191"/>
      <c r="S45" s="191"/>
      <c r="T45" s="191"/>
      <c r="U45" s="191"/>
      <c r="V45" s="191"/>
      <c r="W45" s="148"/>
      <c r="X45" s="190"/>
      <c r="Y45" s="191"/>
      <c r="Z45" s="191"/>
      <c r="AA45" s="191"/>
      <c r="AB45" s="191"/>
      <c r="AC45" s="191"/>
      <c r="AD45" s="191"/>
      <c r="AE45" s="191"/>
      <c r="AF45" s="191"/>
      <c r="AG45" s="191"/>
      <c r="AH45" s="148"/>
      <c r="AI45" s="190"/>
      <c r="AJ45" s="191"/>
      <c r="AK45" s="191"/>
      <c r="AL45" s="191"/>
      <c r="AM45" s="191"/>
      <c r="AN45" s="191"/>
      <c r="AO45" s="191"/>
      <c r="AP45" s="191"/>
      <c r="AQ45" s="191"/>
      <c r="AR45" s="191"/>
      <c r="AS45" s="191"/>
      <c r="AT45" s="148"/>
      <c r="AU45" s="190"/>
      <c r="AV45" s="191"/>
      <c r="AW45" s="191"/>
      <c r="AX45" s="191"/>
      <c r="AY45" s="191"/>
      <c r="AZ45" s="191"/>
      <c r="BA45" s="191"/>
      <c r="BB45" s="191"/>
      <c r="BC45" s="191"/>
      <c r="BD45" s="191"/>
      <c r="BE45" s="191"/>
      <c r="BF45" s="196"/>
    </row>
    <row r="46" spans="2:58" ht="13" customHeight="1" x14ac:dyDescent="0.25">
      <c r="B46" s="180" t="s">
        <v>261</v>
      </c>
      <c r="C46" s="178"/>
      <c r="D46" s="178"/>
      <c r="E46" s="178"/>
      <c r="F46" s="178"/>
      <c r="G46" s="178"/>
      <c r="H46" s="178"/>
      <c r="I46" s="178"/>
      <c r="J46" s="178"/>
      <c r="K46" s="178"/>
      <c r="L46" s="149"/>
      <c r="M46" s="155" t="s">
        <v>262</v>
      </c>
      <c r="N46" s="178"/>
      <c r="O46" s="178"/>
      <c r="P46" s="178"/>
      <c r="Q46" s="178"/>
      <c r="R46" s="178"/>
      <c r="S46" s="178"/>
      <c r="T46" s="178"/>
      <c r="U46" s="178"/>
      <c r="V46" s="178"/>
      <c r="W46" s="149"/>
      <c r="X46" s="181" t="s">
        <v>263</v>
      </c>
      <c r="Y46" s="178"/>
      <c r="Z46" s="178"/>
      <c r="AA46" s="178"/>
      <c r="AB46" s="178"/>
      <c r="AC46" s="178"/>
      <c r="AD46" s="178"/>
      <c r="AE46" s="178"/>
      <c r="AF46" s="178"/>
      <c r="AG46" s="178"/>
      <c r="AH46" s="149"/>
      <c r="AI46" s="131" t="s">
        <v>264</v>
      </c>
      <c r="AJ46" s="178"/>
      <c r="AK46" s="178"/>
      <c r="AL46" s="178"/>
      <c r="AM46" s="178"/>
      <c r="AN46" s="178"/>
      <c r="AO46" s="178"/>
      <c r="AP46" s="178"/>
      <c r="AQ46" s="178"/>
      <c r="AR46" s="178"/>
      <c r="AS46" s="178"/>
      <c r="AT46" s="149"/>
      <c r="AU46" s="131" t="s">
        <v>265</v>
      </c>
      <c r="AV46" s="178"/>
      <c r="AW46" s="178"/>
      <c r="AX46" s="178"/>
      <c r="AY46" s="178"/>
      <c r="AZ46" s="178"/>
      <c r="BA46" s="178"/>
      <c r="BB46" s="178"/>
      <c r="BC46" s="178"/>
      <c r="BD46" s="178"/>
      <c r="BE46" s="178"/>
      <c r="BF46" s="182"/>
    </row>
    <row r="47" spans="2:58" ht="13" customHeight="1" x14ac:dyDescent="0.25">
      <c r="B47" s="201"/>
      <c r="C47" s="185"/>
      <c r="D47" s="185"/>
      <c r="E47" s="185"/>
      <c r="F47" s="185"/>
      <c r="G47" s="185"/>
      <c r="H47" s="185"/>
      <c r="I47" s="185"/>
      <c r="J47" s="185"/>
      <c r="K47" s="185"/>
      <c r="L47" s="186"/>
      <c r="M47" s="204"/>
      <c r="N47" s="185"/>
      <c r="O47" s="185"/>
      <c r="P47" s="185"/>
      <c r="Q47" s="185"/>
      <c r="R47" s="185"/>
      <c r="S47" s="185"/>
      <c r="T47" s="185"/>
      <c r="U47" s="185"/>
      <c r="V47" s="185"/>
      <c r="W47" s="186"/>
      <c r="X47" s="205"/>
      <c r="Y47" s="185"/>
      <c r="Z47" s="185"/>
      <c r="AA47" s="185"/>
      <c r="AB47" s="185"/>
      <c r="AC47" s="185"/>
      <c r="AD47" s="185"/>
      <c r="AE47" s="185"/>
      <c r="AF47" s="185"/>
      <c r="AG47" s="185"/>
      <c r="AH47" s="186"/>
      <c r="AI47" s="193"/>
      <c r="AJ47" s="185"/>
      <c r="AK47" s="185"/>
      <c r="AL47" s="185"/>
      <c r="AM47" s="185"/>
      <c r="AN47" s="185"/>
      <c r="AO47" s="185"/>
      <c r="AP47" s="185"/>
      <c r="AQ47" s="185"/>
      <c r="AR47" s="185"/>
      <c r="AS47" s="185"/>
      <c r="AT47" s="186"/>
      <c r="AU47" s="193"/>
      <c r="AV47" s="185"/>
      <c r="AW47" s="185"/>
      <c r="AX47" s="185"/>
      <c r="AY47" s="185"/>
      <c r="AZ47" s="185"/>
      <c r="BA47" s="185"/>
      <c r="BB47" s="185"/>
      <c r="BC47" s="185"/>
      <c r="BD47" s="185"/>
      <c r="BE47" s="185"/>
      <c r="BF47" s="194"/>
    </row>
    <row r="48" spans="2:58" ht="13" customHeight="1" x14ac:dyDescent="0.25">
      <c r="B48" s="202"/>
      <c r="C48" s="188"/>
      <c r="D48" s="188"/>
      <c r="E48" s="188"/>
      <c r="F48" s="188"/>
      <c r="G48" s="188"/>
      <c r="H48" s="188"/>
      <c r="I48" s="188"/>
      <c r="J48" s="188"/>
      <c r="K48" s="188"/>
      <c r="L48" s="189"/>
      <c r="M48" s="187"/>
      <c r="N48" s="188"/>
      <c r="O48" s="188"/>
      <c r="P48" s="188"/>
      <c r="Q48" s="188"/>
      <c r="R48" s="188"/>
      <c r="S48" s="188"/>
      <c r="T48" s="188"/>
      <c r="U48" s="188"/>
      <c r="V48" s="188"/>
      <c r="W48" s="189"/>
      <c r="X48" s="187"/>
      <c r="Y48" s="188"/>
      <c r="Z48" s="188"/>
      <c r="AA48" s="188"/>
      <c r="AB48" s="188"/>
      <c r="AC48" s="188"/>
      <c r="AD48" s="188"/>
      <c r="AE48" s="188"/>
      <c r="AF48" s="188"/>
      <c r="AG48" s="188"/>
      <c r="AH48" s="189"/>
      <c r="AI48" s="187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9"/>
      <c r="AU48" s="187"/>
      <c r="AV48" s="188"/>
      <c r="AW48" s="188"/>
      <c r="AX48" s="188"/>
      <c r="AY48" s="188"/>
      <c r="AZ48" s="188"/>
      <c r="BA48" s="188"/>
      <c r="BB48" s="188"/>
      <c r="BC48" s="188"/>
      <c r="BD48" s="188"/>
      <c r="BE48" s="188"/>
      <c r="BF48" s="195"/>
    </row>
    <row r="49" spans="2:58" ht="13" customHeight="1" x14ac:dyDescent="0.25">
      <c r="B49" s="202"/>
      <c r="C49" s="188"/>
      <c r="D49" s="188"/>
      <c r="E49" s="188"/>
      <c r="F49" s="188"/>
      <c r="G49" s="188"/>
      <c r="H49" s="188"/>
      <c r="I49" s="188"/>
      <c r="J49" s="188"/>
      <c r="K49" s="188"/>
      <c r="L49" s="189"/>
      <c r="M49" s="187"/>
      <c r="N49" s="188"/>
      <c r="O49" s="188"/>
      <c r="P49" s="188"/>
      <c r="Q49" s="188"/>
      <c r="R49" s="188"/>
      <c r="S49" s="188"/>
      <c r="T49" s="188"/>
      <c r="U49" s="188"/>
      <c r="V49" s="188"/>
      <c r="W49" s="189"/>
      <c r="X49" s="187"/>
      <c r="Y49" s="188"/>
      <c r="Z49" s="188"/>
      <c r="AA49" s="188"/>
      <c r="AB49" s="188"/>
      <c r="AC49" s="188"/>
      <c r="AD49" s="188"/>
      <c r="AE49" s="188"/>
      <c r="AF49" s="188"/>
      <c r="AG49" s="188"/>
      <c r="AH49" s="189"/>
      <c r="AI49" s="187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9"/>
      <c r="AU49" s="187"/>
      <c r="AV49" s="188"/>
      <c r="AW49" s="188"/>
      <c r="AX49" s="188"/>
      <c r="AY49" s="188"/>
      <c r="AZ49" s="188"/>
      <c r="BA49" s="188"/>
      <c r="BB49" s="188"/>
      <c r="BC49" s="188"/>
      <c r="BD49" s="188"/>
      <c r="BE49" s="188"/>
      <c r="BF49" s="195"/>
    </row>
    <row r="50" spans="2:58" ht="13" customHeight="1" x14ac:dyDescent="0.25">
      <c r="B50" s="202"/>
      <c r="C50" s="188"/>
      <c r="D50" s="188"/>
      <c r="E50" s="188"/>
      <c r="F50" s="188"/>
      <c r="G50" s="188"/>
      <c r="H50" s="188"/>
      <c r="I50" s="188"/>
      <c r="J50" s="188"/>
      <c r="K50" s="188"/>
      <c r="L50" s="189"/>
      <c r="M50" s="187"/>
      <c r="N50" s="188"/>
      <c r="O50" s="188"/>
      <c r="P50" s="188"/>
      <c r="Q50" s="188"/>
      <c r="R50" s="188"/>
      <c r="S50" s="188"/>
      <c r="T50" s="188"/>
      <c r="U50" s="188"/>
      <c r="V50" s="188"/>
      <c r="W50" s="189"/>
      <c r="X50" s="187"/>
      <c r="Y50" s="188"/>
      <c r="Z50" s="188"/>
      <c r="AA50" s="188"/>
      <c r="AB50" s="188"/>
      <c r="AC50" s="188"/>
      <c r="AD50" s="188"/>
      <c r="AE50" s="188"/>
      <c r="AF50" s="188"/>
      <c r="AG50" s="188"/>
      <c r="AH50" s="189"/>
      <c r="AI50" s="187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9"/>
      <c r="AU50" s="187"/>
      <c r="AV50" s="188"/>
      <c r="AW50" s="188"/>
      <c r="AX50" s="188"/>
      <c r="AY50" s="188"/>
      <c r="AZ50" s="188"/>
      <c r="BA50" s="188"/>
      <c r="BB50" s="188"/>
      <c r="BC50" s="188"/>
      <c r="BD50" s="188"/>
      <c r="BE50" s="188"/>
      <c r="BF50" s="195"/>
    </row>
    <row r="51" spans="2:58" ht="13" customHeight="1" x14ac:dyDescent="0.25">
      <c r="B51" s="202"/>
      <c r="C51" s="188"/>
      <c r="D51" s="188"/>
      <c r="E51" s="188"/>
      <c r="F51" s="188"/>
      <c r="G51" s="188"/>
      <c r="H51" s="188"/>
      <c r="I51" s="188"/>
      <c r="J51" s="188"/>
      <c r="K51" s="188"/>
      <c r="L51" s="189"/>
      <c r="M51" s="187"/>
      <c r="N51" s="188"/>
      <c r="O51" s="188"/>
      <c r="P51" s="188"/>
      <c r="Q51" s="188"/>
      <c r="R51" s="188"/>
      <c r="S51" s="188"/>
      <c r="T51" s="188"/>
      <c r="U51" s="188"/>
      <c r="V51" s="188"/>
      <c r="W51" s="189"/>
      <c r="X51" s="187"/>
      <c r="Y51" s="188"/>
      <c r="Z51" s="188"/>
      <c r="AA51" s="188"/>
      <c r="AB51" s="188"/>
      <c r="AC51" s="188"/>
      <c r="AD51" s="188"/>
      <c r="AE51" s="188"/>
      <c r="AF51" s="188"/>
      <c r="AG51" s="188"/>
      <c r="AH51" s="189"/>
      <c r="AI51" s="187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9"/>
      <c r="AU51" s="187"/>
      <c r="AV51" s="188"/>
      <c r="AW51" s="188"/>
      <c r="AX51" s="188"/>
      <c r="AY51" s="188"/>
      <c r="AZ51" s="188"/>
      <c r="BA51" s="188"/>
      <c r="BB51" s="188"/>
      <c r="BC51" s="188"/>
      <c r="BD51" s="188"/>
      <c r="BE51" s="188"/>
      <c r="BF51" s="195"/>
    </row>
    <row r="52" spans="2:58" ht="13" customHeight="1" x14ac:dyDescent="0.25">
      <c r="B52" s="203"/>
      <c r="C52" s="191"/>
      <c r="D52" s="191"/>
      <c r="E52" s="191"/>
      <c r="F52" s="191"/>
      <c r="G52" s="191"/>
      <c r="H52" s="191"/>
      <c r="I52" s="191"/>
      <c r="J52" s="191"/>
      <c r="K52" s="191"/>
      <c r="L52" s="148"/>
      <c r="M52" s="190"/>
      <c r="N52" s="191"/>
      <c r="O52" s="191"/>
      <c r="P52" s="191"/>
      <c r="Q52" s="191"/>
      <c r="R52" s="191"/>
      <c r="S52" s="191"/>
      <c r="T52" s="191"/>
      <c r="U52" s="191"/>
      <c r="V52" s="191"/>
      <c r="W52" s="148"/>
      <c r="X52" s="190"/>
      <c r="Y52" s="191"/>
      <c r="Z52" s="191"/>
      <c r="AA52" s="191"/>
      <c r="AB52" s="191"/>
      <c r="AC52" s="191"/>
      <c r="AD52" s="191"/>
      <c r="AE52" s="191"/>
      <c r="AF52" s="191"/>
      <c r="AG52" s="191"/>
      <c r="AH52" s="148"/>
      <c r="AI52" s="190"/>
      <c r="AJ52" s="191"/>
      <c r="AK52" s="191"/>
      <c r="AL52" s="191"/>
      <c r="AM52" s="191"/>
      <c r="AN52" s="191"/>
      <c r="AO52" s="191"/>
      <c r="AP52" s="191"/>
      <c r="AQ52" s="191"/>
      <c r="AR52" s="191"/>
      <c r="AS52" s="191"/>
      <c r="AT52" s="148"/>
      <c r="AU52" s="190"/>
      <c r="AV52" s="191"/>
      <c r="AW52" s="191"/>
      <c r="AX52" s="191"/>
      <c r="AY52" s="191"/>
      <c r="AZ52" s="191"/>
      <c r="BA52" s="191"/>
      <c r="BB52" s="191"/>
      <c r="BC52" s="191"/>
      <c r="BD52" s="191"/>
      <c r="BE52" s="191"/>
      <c r="BF52" s="196"/>
    </row>
    <row r="53" spans="2:58" ht="13" customHeight="1" x14ac:dyDescent="0.25">
      <c r="B53" s="180" t="s">
        <v>266</v>
      </c>
      <c r="C53" s="178"/>
      <c r="D53" s="178"/>
      <c r="E53" s="178"/>
      <c r="F53" s="178"/>
      <c r="G53" s="178"/>
      <c r="H53" s="178"/>
      <c r="I53" s="178"/>
      <c r="J53" s="178"/>
      <c r="K53" s="178"/>
      <c r="L53" s="149"/>
      <c r="M53" s="183" t="s">
        <v>267</v>
      </c>
      <c r="N53" s="178"/>
      <c r="O53" s="178"/>
      <c r="P53" s="178"/>
      <c r="Q53" s="178"/>
      <c r="R53" s="178"/>
      <c r="S53" s="178"/>
      <c r="T53" s="178"/>
      <c r="U53" s="178"/>
      <c r="V53" s="178"/>
      <c r="W53" s="149"/>
      <c r="X53" s="181" t="s">
        <v>268</v>
      </c>
      <c r="Y53" s="178"/>
      <c r="Z53" s="178"/>
      <c r="AA53" s="178"/>
      <c r="AB53" s="178"/>
      <c r="AC53" s="178"/>
      <c r="AD53" s="178"/>
      <c r="AE53" s="178"/>
      <c r="AF53" s="178"/>
      <c r="AG53" s="178"/>
      <c r="AH53" s="149"/>
      <c r="AI53" s="131" t="s">
        <v>269</v>
      </c>
      <c r="AJ53" s="178"/>
      <c r="AK53" s="178"/>
      <c r="AL53" s="178"/>
      <c r="AM53" s="178"/>
      <c r="AN53" s="178"/>
      <c r="AO53" s="178"/>
      <c r="AP53" s="178"/>
      <c r="AQ53" s="178"/>
      <c r="AR53" s="178"/>
      <c r="AS53" s="178"/>
      <c r="AT53" s="149"/>
      <c r="AU53" s="131" t="s">
        <v>270</v>
      </c>
      <c r="AV53" s="178"/>
      <c r="AW53" s="178"/>
      <c r="AX53" s="178"/>
      <c r="AY53" s="178"/>
      <c r="AZ53" s="178"/>
      <c r="BA53" s="178"/>
      <c r="BB53" s="178"/>
      <c r="BC53" s="178"/>
      <c r="BD53" s="178"/>
      <c r="BE53" s="178"/>
      <c r="BF53" s="182"/>
    </row>
    <row r="54" spans="2:58" ht="13" customHeight="1" x14ac:dyDescent="0.25">
      <c r="B54" s="201"/>
      <c r="C54" s="185"/>
      <c r="D54" s="185"/>
      <c r="E54" s="185"/>
      <c r="F54" s="185"/>
      <c r="G54" s="185"/>
      <c r="H54" s="185"/>
      <c r="I54" s="185"/>
      <c r="J54" s="185"/>
      <c r="K54" s="185"/>
      <c r="L54" s="186"/>
      <c r="M54" s="209"/>
      <c r="N54" s="185"/>
      <c r="O54" s="185"/>
      <c r="P54" s="185"/>
      <c r="Q54" s="185"/>
      <c r="R54" s="185"/>
      <c r="S54" s="185"/>
      <c r="T54" s="185"/>
      <c r="U54" s="185"/>
      <c r="V54" s="185"/>
      <c r="W54" s="186"/>
      <c r="X54" s="205"/>
      <c r="Y54" s="185"/>
      <c r="Z54" s="185"/>
      <c r="AA54" s="185"/>
      <c r="AB54" s="185"/>
      <c r="AC54" s="185"/>
      <c r="AD54" s="185"/>
      <c r="AE54" s="185"/>
      <c r="AF54" s="185"/>
      <c r="AG54" s="185"/>
      <c r="AH54" s="186"/>
      <c r="AI54" s="193"/>
      <c r="AJ54" s="185"/>
      <c r="AK54" s="185"/>
      <c r="AL54" s="185"/>
      <c r="AM54" s="185"/>
      <c r="AN54" s="185"/>
      <c r="AO54" s="185"/>
      <c r="AP54" s="185"/>
      <c r="AQ54" s="185"/>
      <c r="AR54" s="185"/>
      <c r="AS54" s="185"/>
      <c r="AT54" s="186"/>
      <c r="AU54" s="193"/>
      <c r="AV54" s="185"/>
      <c r="AW54" s="185"/>
      <c r="AX54" s="185"/>
      <c r="AY54" s="185"/>
      <c r="AZ54" s="185"/>
      <c r="BA54" s="185"/>
      <c r="BB54" s="185"/>
      <c r="BC54" s="185"/>
      <c r="BD54" s="185"/>
      <c r="BE54" s="185"/>
      <c r="BF54" s="194"/>
    </row>
    <row r="55" spans="2:58" ht="13" customHeight="1" x14ac:dyDescent="0.25">
      <c r="B55" s="202"/>
      <c r="C55" s="188"/>
      <c r="D55" s="188"/>
      <c r="E55" s="188"/>
      <c r="F55" s="188"/>
      <c r="G55" s="188"/>
      <c r="H55" s="188"/>
      <c r="I55" s="188"/>
      <c r="J55" s="188"/>
      <c r="K55" s="188"/>
      <c r="L55" s="189"/>
      <c r="M55" s="187"/>
      <c r="N55" s="188"/>
      <c r="O55" s="188"/>
      <c r="P55" s="188"/>
      <c r="Q55" s="188"/>
      <c r="R55" s="188"/>
      <c r="S55" s="188"/>
      <c r="T55" s="188"/>
      <c r="U55" s="188"/>
      <c r="V55" s="188"/>
      <c r="W55" s="189"/>
      <c r="X55" s="187"/>
      <c r="Y55" s="188"/>
      <c r="Z55" s="188"/>
      <c r="AA55" s="188"/>
      <c r="AB55" s="188"/>
      <c r="AC55" s="188"/>
      <c r="AD55" s="188"/>
      <c r="AE55" s="188"/>
      <c r="AF55" s="188"/>
      <c r="AG55" s="188"/>
      <c r="AH55" s="189"/>
      <c r="AI55" s="187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9"/>
      <c r="AU55" s="187"/>
      <c r="AV55" s="188"/>
      <c r="AW55" s="188"/>
      <c r="AX55" s="188"/>
      <c r="AY55" s="188"/>
      <c r="AZ55" s="188"/>
      <c r="BA55" s="188"/>
      <c r="BB55" s="188"/>
      <c r="BC55" s="188"/>
      <c r="BD55" s="188"/>
      <c r="BE55" s="188"/>
      <c r="BF55" s="195"/>
    </row>
    <row r="56" spans="2:58" ht="13" customHeight="1" x14ac:dyDescent="0.25">
      <c r="B56" s="202"/>
      <c r="C56" s="188"/>
      <c r="D56" s="188"/>
      <c r="E56" s="188"/>
      <c r="F56" s="188"/>
      <c r="G56" s="188"/>
      <c r="H56" s="188"/>
      <c r="I56" s="188"/>
      <c r="J56" s="188"/>
      <c r="K56" s="188"/>
      <c r="L56" s="189"/>
      <c r="M56" s="187"/>
      <c r="N56" s="188"/>
      <c r="O56" s="188"/>
      <c r="P56" s="188"/>
      <c r="Q56" s="188"/>
      <c r="R56" s="188"/>
      <c r="S56" s="188"/>
      <c r="T56" s="188"/>
      <c r="U56" s="188"/>
      <c r="V56" s="188"/>
      <c r="W56" s="189"/>
      <c r="X56" s="187"/>
      <c r="Y56" s="188"/>
      <c r="Z56" s="188"/>
      <c r="AA56" s="188"/>
      <c r="AB56" s="188"/>
      <c r="AC56" s="188"/>
      <c r="AD56" s="188"/>
      <c r="AE56" s="188"/>
      <c r="AF56" s="188"/>
      <c r="AG56" s="188"/>
      <c r="AH56" s="189"/>
      <c r="AI56" s="187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9"/>
      <c r="AU56" s="187"/>
      <c r="AV56" s="188"/>
      <c r="AW56" s="188"/>
      <c r="AX56" s="188"/>
      <c r="AY56" s="188"/>
      <c r="AZ56" s="188"/>
      <c r="BA56" s="188"/>
      <c r="BB56" s="188"/>
      <c r="BC56" s="188"/>
      <c r="BD56" s="188"/>
      <c r="BE56" s="188"/>
      <c r="BF56" s="195"/>
    </row>
    <row r="57" spans="2:58" ht="13" customHeight="1" x14ac:dyDescent="0.25">
      <c r="B57" s="202"/>
      <c r="C57" s="188"/>
      <c r="D57" s="188"/>
      <c r="E57" s="188"/>
      <c r="F57" s="188"/>
      <c r="G57" s="188"/>
      <c r="H57" s="188"/>
      <c r="I57" s="188"/>
      <c r="J57" s="188"/>
      <c r="K57" s="188"/>
      <c r="L57" s="189"/>
      <c r="M57" s="187"/>
      <c r="N57" s="188"/>
      <c r="O57" s="188"/>
      <c r="P57" s="188"/>
      <c r="Q57" s="188"/>
      <c r="R57" s="188"/>
      <c r="S57" s="188"/>
      <c r="T57" s="188"/>
      <c r="U57" s="188"/>
      <c r="V57" s="188"/>
      <c r="W57" s="189"/>
      <c r="X57" s="187"/>
      <c r="Y57" s="188"/>
      <c r="Z57" s="188"/>
      <c r="AA57" s="188"/>
      <c r="AB57" s="188"/>
      <c r="AC57" s="188"/>
      <c r="AD57" s="188"/>
      <c r="AE57" s="188"/>
      <c r="AF57" s="188"/>
      <c r="AG57" s="188"/>
      <c r="AH57" s="189"/>
      <c r="AI57" s="187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9"/>
      <c r="AU57" s="187"/>
      <c r="AV57" s="188"/>
      <c r="AW57" s="188"/>
      <c r="AX57" s="188"/>
      <c r="AY57" s="188"/>
      <c r="AZ57" s="188"/>
      <c r="BA57" s="188"/>
      <c r="BB57" s="188"/>
      <c r="BC57" s="188"/>
      <c r="BD57" s="188"/>
      <c r="BE57" s="188"/>
      <c r="BF57" s="195"/>
    </row>
    <row r="58" spans="2:58" ht="13" customHeight="1" x14ac:dyDescent="0.25">
      <c r="B58" s="202"/>
      <c r="C58" s="188"/>
      <c r="D58" s="188"/>
      <c r="E58" s="188"/>
      <c r="F58" s="188"/>
      <c r="G58" s="188"/>
      <c r="H58" s="188"/>
      <c r="I58" s="188"/>
      <c r="J58" s="188"/>
      <c r="K58" s="188"/>
      <c r="L58" s="189"/>
      <c r="M58" s="187"/>
      <c r="N58" s="188"/>
      <c r="O58" s="188"/>
      <c r="P58" s="188"/>
      <c r="Q58" s="188"/>
      <c r="R58" s="188"/>
      <c r="S58" s="188"/>
      <c r="T58" s="188"/>
      <c r="U58" s="188"/>
      <c r="V58" s="188"/>
      <c r="W58" s="189"/>
      <c r="X58" s="187"/>
      <c r="Y58" s="188"/>
      <c r="Z58" s="188"/>
      <c r="AA58" s="188"/>
      <c r="AB58" s="188"/>
      <c r="AC58" s="188"/>
      <c r="AD58" s="188"/>
      <c r="AE58" s="188"/>
      <c r="AF58" s="188"/>
      <c r="AG58" s="188"/>
      <c r="AH58" s="189"/>
      <c r="AI58" s="187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9"/>
      <c r="AU58" s="187"/>
      <c r="AV58" s="188"/>
      <c r="AW58" s="188"/>
      <c r="AX58" s="188"/>
      <c r="AY58" s="188"/>
      <c r="AZ58" s="188"/>
      <c r="BA58" s="188"/>
      <c r="BB58" s="188"/>
      <c r="BC58" s="188"/>
      <c r="BD58" s="188"/>
      <c r="BE58" s="188"/>
      <c r="BF58" s="195"/>
    </row>
    <row r="59" spans="2:58" ht="13" customHeight="1" x14ac:dyDescent="0.25">
      <c r="B59" s="206"/>
      <c r="C59" s="207"/>
      <c r="D59" s="207"/>
      <c r="E59" s="207"/>
      <c r="F59" s="207"/>
      <c r="G59" s="207"/>
      <c r="H59" s="207"/>
      <c r="I59" s="207"/>
      <c r="J59" s="207"/>
      <c r="K59" s="207"/>
      <c r="L59" s="208"/>
      <c r="M59" s="210"/>
      <c r="N59" s="207"/>
      <c r="O59" s="207"/>
      <c r="P59" s="207"/>
      <c r="Q59" s="207"/>
      <c r="R59" s="207"/>
      <c r="S59" s="207"/>
      <c r="T59" s="207"/>
      <c r="U59" s="207"/>
      <c r="V59" s="207"/>
      <c r="W59" s="208"/>
      <c r="X59" s="210"/>
      <c r="Y59" s="207"/>
      <c r="Z59" s="207"/>
      <c r="AA59" s="207"/>
      <c r="AB59" s="207"/>
      <c r="AC59" s="207"/>
      <c r="AD59" s="207"/>
      <c r="AE59" s="207"/>
      <c r="AF59" s="207"/>
      <c r="AG59" s="207"/>
      <c r="AH59" s="208"/>
      <c r="AI59" s="210"/>
      <c r="AJ59" s="207"/>
      <c r="AK59" s="207"/>
      <c r="AL59" s="207"/>
      <c r="AM59" s="207"/>
      <c r="AN59" s="207"/>
      <c r="AO59" s="207"/>
      <c r="AP59" s="207"/>
      <c r="AQ59" s="207"/>
      <c r="AR59" s="207"/>
      <c r="AS59" s="207"/>
      <c r="AT59" s="208"/>
      <c r="AU59" s="210"/>
      <c r="AV59" s="207"/>
      <c r="AW59" s="207"/>
      <c r="AX59" s="207"/>
      <c r="AY59" s="207"/>
      <c r="AZ59" s="207"/>
      <c r="BA59" s="207"/>
      <c r="BB59" s="207"/>
      <c r="BC59" s="207"/>
      <c r="BD59" s="207"/>
      <c r="BE59" s="207"/>
      <c r="BF59" s="211"/>
    </row>
    <row r="60" spans="2:58" ht="13" customHeight="1" x14ac:dyDescent="0.25">
      <c r="B60" s="147" t="s">
        <v>49</v>
      </c>
      <c r="C60" s="148"/>
      <c r="D60" s="9" t="s">
        <v>274</v>
      </c>
      <c r="E60" s="124" t="s">
        <v>20</v>
      </c>
      <c r="F60" s="127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  <c r="AD60" s="128"/>
      <c r="AE60" s="128"/>
      <c r="AF60" s="128"/>
      <c r="AG60" s="128"/>
      <c r="AH60" s="128"/>
      <c r="AI60" s="128"/>
      <c r="AJ60" s="128"/>
      <c r="AK60" s="128"/>
      <c r="AL60" s="128"/>
      <c r="AM60" s="128"/>
      <c r="AN60" s="128"/>
      <c r="AO60" s="129"/>
      <c r="AP60" s="129"/>
      <c r="AQ60" s="129"/>
      <c r="AR60" s="129"/>
      <c r="AS60" s="129"/>
      <c r="AT60" s="129"/>
      <c r="AU60" s="129"/>
      <c r="AV60" s="129"/>
      <c r="AW60" s="129"/>
      <c r="AX60" s="129"/>
      <c r="AY60" s="129"/>
      <c r="AZ60" s="129"/>
      <c r="BA60" s="129"/>
      <c r="BB60" s="129"/>
      <c r="BC60" s="129"/>
      <c r="BD60" s="129"/>
      <c r="BE60" s="129"/>
      <c r="BF60" s="130"/>
    </row>
    <row r="61" spans="2:58" ht="13" customHeight="1" x14ac:dyDescent="0.25">
      <c r="B61" s="123" t="s">
        <v>275</v>
      </c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  <c r="AM61" s="125"/>
      <c r="AN61" s="125"/>
      <c r="AO61" s="131"/>
      <c r="AP61" s="131"/>
      <c r="AQ61" s="131"/>
      <c r="AR61" s="131"/>
      <c r="AS61" s="131"/>
      <c r="AT61" s="131"/>
      <c r="AU61" s="131"/>
      <c r="AV61" s="131"/>
      <c r="AW61" s="131"/>
      <c r="AX61" s="131"/>
      <c r="AY61" s="131"/>
      <c r="AZ61" s="131"/>
      <c r="BA61" s="131"/>
      <c r="BB61" s="131"/>
      <c r="BC61" s="131"/>
      <c r="BD61" s="131"/>
      <c r="BE61" s="131"/>
      <c r="BF61" s="132"/>
    </row>
    <row r="62" spans="2:58" ht="13" customHeight="1" thickBot="1" x14ac:dyDescent="0.3">
      <c r="B62" s="135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  <c r="AD62" s="126"/>
      <c r="AE62" s="126"/>
      <c r="AF62" s="126"/>
      <c r="AG62" s="126"/>
      <c r="AH62" s="126"/>
      <c r="AI62" s="126"/>
      <c r="AJ62" s="126"/>
      <c r="AK62" s="126"/>
      <c r="AL62" s="126"/>
      <c r="AM62" s="126"/>
      <c r="AN62" s="126"/>
      <c r="AO62" s="133"/>
      <c r="AP62" s="133"/>
      <c r="AQ62" s="133"/>
      <c r="AR62" s="133"/>
      <c r="AS62" s="133"/>
      <c r="AT62" s="133"/>
      <c r="AU62" s="133"/>
      <c r="AV62" s="133"/>
      <c r="AW62" s="133"/>
      <c r="AX62" s="133"/>
      <c r="AY62" s="133"/>
      <c r="AZ62" s="133"/>
      <c r="BA62" s="133"/>
      <c r="BB62" s="133"/>
      <c r="BC62" s="133"/>
      <c r="BD62" s="133"/>
      <c r="BE62" s="133"/>
      <c r="BF62" s="134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F2269-FA86-40F0-A08D-26CC67AB685A}">
  <sheetPr>
    <pageSetUpPr fitToPage="1"/>
  </sheetPr>
  <dimension ref="B2:S11"/>
  <sheetViews>
    <sheetView tabSelected="1" zoomScaleNormal="100" workbookViewId="0">
      <selection activeCell="I19" sqref="I19:J19"/>
    </sheetView>
  </sheetViews>
  <sheetFormatPr defaultColWidth="9.81640625" defaultRowHeight="13" x14ac:dyDescent="0.25"/>
  <cols>
    <col min="1" max="1" width="1.7265625" style="105" customWidth="1"/>
    <col min="2" max="7" width="13.7265625" style="105" customWidth="1"/>
    <col min="8" max="10" width="13.90625" style="105" customWidth="1"/>
    <col min="11" max="11" width="12.7265625" style="105" bestFit="1" customWidth="1"/>
    <col min="12" max="12" width="11.36328125" style="105" bestFit="1" customWidth="1"/>
    <col min="13" max="15" width="9.90625" style="105" bestFit="1" customWidth="1"/>
    <col min="16" max="16" width="12.36328125" style="105" bestFit="1" customWidth="1"/>
    <col min="17" max="17" width="9.90625" style="105" bestFit="1" customWidth="1"/>
    <col min="18" max="16384" width="9.81640625" style="105"/>
  </cols>
  <sheetData>
    <row r="2" spans="2:19" x14ac:dyDescent="0.25">
      <c r="B2" s="243" t="s">
        <v>350</v>
      </c>
      <c r="C2" s="244"/>
      <c r="D2" s="244"/>
      <c r="E2" s="244"/>
      <c r="F2" s="244"/>
      <c r="G2" s="244"/>
      <c r="H2" s="244"/>
      <c r="I2" s="244"/>
      <c r="J2" s="244"/>
      <c r="K2" s="244"/>
      <c r="L2" s="244"/>
      <c r="M2" s="244"/>
      <c r="N2" s="244"/>
      <c r="O2" s="244"/>
      <c r="P2" s="244"/>
      <c r="Q2" s="244"/>
      <c r="R2" s="244"/>
      <c r="S2" s="245"/>
    </row>
    <row r="3" spans="2:19" x14ac:dyDescent="0.25">
      <c r="B3" s="246"/>
      <c r="C3" s="247"/>
      <c r="D3" s="247"/>
      <c r="E3" s="247"/>
      <c r="F3" s="247"/>
      <c r="G3" s="247"/>
      <c r="H3" s="247"/>
      <c r="I3" s="247"/>
      <c r="J3" s="247"/>
      <c r="K3" s="247"/>
      <c r="L3" s="247"/>
      <c r="M3" s="247"/>
      <c r="N3" s="247"/>
      <c r="O3" s="247"/>
      <c r="P3" s="247"/>
      <c r="Q3" s="247"/>
      <c r="R3" s="247"/>
      <c r="S3" s="248"/>
    </row>
    <row r="4" spans="2:19" x14ac:dyDescent="0.25">
      <c r="B4" s="216" t="s">
        <v>351</v>
      </c>
      <c r="C4" s="91" t="s">
        <v>292</v>
      </c>
      <c r="D4" s="106" t="s">
        <v>352</v>
      </c>
      <c r="E4" s="106" t="s">
        <v>287</v>
      </c>
      <c r="F4" s="106" t="s">
        <v>288</v>
      </c>
      <c r="G4" s="91" t="s">
        <v>353</v>
      </c>
      <c r="H4" s="91" t="s">
        <v>354</v>
      </c>
      <c r="I4" s="91" t="s">
        <v>355</v>
      </c>
      <c r="J4" s="91" t="s">
        <v>356</v>
      </c>
      <c r="K4" s="106" t="s">
        <v>357</v>
      </c>
      <c r="L4" s="106" t="s">
        <v>358</v>
      </c>
      <c r="M4" s="91" t="s">
        <v>359</v>
      </c>
      <c r="N4" s="91" t="s">
        <v>360</v>
      </c>
      <c r="O4" s="91" t="s">
        <v>361</v>
      </c>
      <c r="P4" s="91" t="s">
        <v>362</v>
      </c>
      <c r="Q4" s="91" t="s">
        <v>363</v>
      </c>
      <c r="R4" s="91" t="s">
        <v>371</v>
      </c>
      <c r="S4" s="91" t="s">
        <v>370</v>
      </c>
    </row>
    <row r="5" spans="2:19" x14ac:dyDescent="0.25">
      <c r="B5" s="216"/>
      <c r="C5" s="91" t="s">
        <v>293</v>
      </c>
      <c r="D5" s="107" t="s">
        <v>364</v>
      </c>
      <c r="E5" s="91" t="s">
        <v>365</v>
      </c>
      <c r="F5" s="91" t="s">
        <v>366</v>
      </c>
      <c r="G5" s="91" t="s">
        <v>366</v>
      </c>
      <c r="H5" s="91" t="s">
        <v>366</v>
      </c>
      <c r="I5" s="91" t="s">
        <v>366</v>
      </c>
      <c r="J5" s="91" t="s">
        <v>366</v>
      </c>
      <c r="K5" s="91" t="s">
        <v>284</v>
      </c>
      <c r="L5" s="91" t="s">
        <v>282</v>
      </c>
      <c r="M5" s="91" t="s">
        <v>283</v>
      </c>
      <c r="N5" s="91" t="s">
        <v>283</v>
      </c>
      <c r="O5" s="91" t="s">
        <v>283</v>
      </c>
      <c r="P5" s="91" t="s">
        <v>281</v>
      </c>
      <c r="Q5" s="91" t="s">
        <v>281</v>
      </c>
      <c r="R5" s="91" t="s">
        <v>281</v>
      </c>
      <c r="S5" s="91" t="s">
        <v>281</v>
      </c>
    </row>
    <row r="6" spans="2:19" x14ac:dyDescent="0.25">
      <c r="B6" s="249"/>
      <c r="C6" s="249" t="s">
        <v>367</v>
      </c>
      <c r="D6" s="108"/>
      <c r="E6" s="108"/>
      <c r="F6" s="108"/>
      <c r="G6" s="250">
        <f>F6+F7+F8</f>
        <v>0</v>
      </c>
      <c r="H6" s="109">
        <f>F6*D6/100</f>
        <v>0</v>
      </c>
      <c r="I6" s="251">
        <f>H6+H7+H8</f>
        <v>0</v>
      </c>
      <c r="J6" s="251">
        <f t="shared" ref="J6" si="0">I6</f>
        <v>0</v>
      </c>
      <c r="K6" s="251"/>
      <c r="L6" s="251"/>
      <c r="M6" s="251">
        <f>K6*L6/1000</f>
        <v>0</v>
      </c>
      <c r="N6" s="251">
        <f>M6+'[1]2025.12月 '!N190</f>
        <v>0</v>
      </c>
      <c r="O6" s="251" t="e">
        <f>I6/M6*1.2/10</f>
        <v>#DIV/0!</v>
      </c>
      <c r="P6" s="252" t="s">
        <v>368</v>
      </c>
      <c r="Q6" s="251" t="e">
        <f>(I6+I9)/(K6+K9)/L6*1.2*100</f>
        <v>#DIV/0!</v>
      </c>
      <c r="R6" s="251"/>
      <c r="S6" s="251"/>
    </row>
    <row r="7" spans="2:19" x14ac:dyDescent="0.25">
      <c r="B7" s="249"/>
      <c r="C7" s="249"/>
      <c r="D7" s="108"/>
      <c r="E7" s="108"/>
      <c r="F7" s="108"/>
      <c r="G7" s="250"/>
      <c r="H7" s="109">
        <f t="shared" ref="H7:H11" si="1">F7*D7/100</f>
        <v>0</v>
      </c>
      <c r="I7" s="251"/>
      <c r="J7" s="251"/>
      <c r="K7" s="251"/>
      <c r="L7" s="251"/>
      <c r="M7" s="251"/>
      <c r="N7" s="251"/>
      <c r="O7" s="251"/>
      <c r="P7" s="252" t="s">
        <v>368</v>
      </c>
      <c r="Q7" s="251"/>
      <c r="R7" s="251"/>
      <c r="S7" s="251"/>
    </row>
    <row r="8" spans="2:19" x14ac:dyDescent="0.25">
      <c r="B8" s="249"/>
      <c r="C8" s="249"/>
      <c r="D8" s="108"/>
      <c r="E8" s="108"/>
      <c r="F8" s="108"/>
      <c r="G8" s="250"/>
      <c r="H8" s="109">
        <f t="shared" si="1"/>
        <v>0</v>
      </c>
      <c r="I8" s="251"/>
      <c r="J8" s="251"/>
      <c r="K8" s="251"/>
      <c r="L8" s="251"/>
      <c r="M8" s="251"/>
      <c r="N8" s="251"/>
      <c r="O8" s="251"/>
      <c r="P8" s="252" t="s">
        <v>369</v>
      </c>
      <c r="Q8" s="251"/>
      <c r="R8" s="251"/>
      <c r="S8" s="251"/>
    </row>
    <row r="9" spans="2:19" x14ac:dyDescent="0.25">
      <c r="B9" s="249"/>
      <c r="C9" s="249"/>
      <c r="D9" s="108"/>
      <c r="E9" s="108"/>
      <c r="F9" s="108"/>
      <c r="G9" s="250">
        <f>F9+F10+F11</f>
        <v>0</v>
      </c>
      <c r="H9" s="109">
        <f>F9*D9/100</f>
        <v>0</v>
      </c>
      <c r="I9" s="251">
        <f>H9+H10+H11</f>
        <v>0</v>
      </c>
      <c r="J9" s="251">
        <f>J6+I9</f>
        <v>0</v>
      </c>
      <c r="K9" s="251"/>
      <c r="L9" s="251"/>
      <c r="M9" s="251">
        <f>K9*L9/1000</f>
        <v>0</v>
      </c>
      <c r="N9" s="251">
        <f>M9+N6</f>
        <v>0</v>
      </c>
      <c r="O9" s="251" t="e">
        <f>I9/M9*1.2/10</f>
        <v>#DIV/0!</v>
      </c>
      <c r="P9" s="252" t="s">
        <v>368</v>
      </c>
      <c r="Q9" s="251"/>
      <c r="R9" s="251"/>
      <c r="S9" s="251"/>
    </row>
    <row r="10" spans="2:19" x14ac:dyDescent="0.25">
      <c r="B10" s="249"/>
      <c r="C10" s="249"/>
      <c r="D10" s="108"/>
      <c r="E10" s="108"/>
      <c r="F10" s="108"/>
      <c r="G10" s="250"/>
      <c r="H10" s="109">
        <f t="shared" si="1"/>
        <v>0</v>
      </c>
      <c r="I10" s="251"/>
      <c r="J10" s="251"/>
      <c r="K10" s="251"/>
      <c r="L10" s="251"/>
      <c r="M10" s="251"/>
      <c r="N10" s="251"/>
      <c r="O10" s="251"/>
      <c r="P10" s="252" t="s">
        <v>368</v>
      </c>
      <c r="Q10" s="251"/>
      <c r="R10" s="251"/>
      <c r="S10" s="251"/>
    </row>
    <row r="11" spans="2:19" x14ac:dyDescent="0.25">
      <c r="B11" s="249"/>
      <c r="C11" s="249"/>
      <c r="D11" s="108"/>
      <c r="E11" s="108"/>
      <c r="F11" s="108"/>
      <c r="G11" s="250"/>
      <c r="H11" s="109">
        <f t="shared" si="1"/>
        <v>0</v>
      </c>
      <c r="I11" s="251"/>
      <c r="J11" s="251"/>
      <c r="K11" s="251"/>
      <c r="L11" s="251"/>
      <c r="M11" s="251"/>
      <c r="N11" s="251"/>
      <c r="O11" s="251"/>
      <c r="P11" s="252" t="s">
        <v>369</v>
      </c>
      <c r="Q11" s="251"/>
      <c r="R11" s="251"/>
      <c r="S11" s="251"/>
    </row>
  </sheetData>
  <mergeCells count="24">
    <mergeCell ref="B2:S2"/>
    <mergeCell ref="B3:S3"/>
    <mergeCell ref="B4:B5"/>
    <mergeCell ref="B6:B11"/>
    <mergeCell ref="C6:C11"/>
    <mergeCell ref="G6:G8"/>
    <mergeCell ref="I6:I8"/>
    <mergeCell ref="J6:J8"/>
    <mergeCell ref="O6:O8"/>
    <mergeCell ref="Q6:Q11"/>
    <mergeCell ref="G9:G11"/>
    <mergeCell ref="I9:I11"/>
    <mergeCell ref="J9:J11"/>
    <mergeCell ref="K9:K11"/>
    <mergeCell ref="L9:L11"/>
    <mergeCell ref="M9:M11"/>
    <mergeCell ref="S6:S11"/>
    <mergeCell ref="R6:R11"/>
    <mergeCell ref="N9:N11"/>
    <mergeCell ref="O9:O11"/>
    <mergeCell ref="K6:K8"/>
    <mergeCell ref="L6:L8"/>
    <mergeCell ref="M6:M8"/>
    <mergeCell ref="N6:N8"/>
  </mergeCells>
  <phoneticPr fontId="1" type="noConversion"/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CEA73-FCDC-4A96-868F-26A72DE36800}">
  <dimension ref="B1:J35"/>
  <sheetViews>
    <sheetView zoomScaleNormal="100" workbookViewId="0">
      <selection activeCell="O16" sqref="O16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49999999999999" customHeight="1" x14ac:dyDescent="0.25">
      <c r="B2" s="220" t="s">
        <v>349</v>
      </c>
      <c r="C2" s="221"/>
      <c r="D2" s="221"/>
      <c r="E2" s="221"/>
      <c r="F2" s="221"/>
      <c r="G2" s="221"/>
      <c r="H2" s="221"/>
      <c r="I2" s="221"/>
      <c r="J2" s="222"/>
    </row>
    <row r="3" spans="2:10" ht="20.149999999999999" customHeight="1" x14ac:dyDescent="0.25">
      <c r="B3" s="85"/>
      <c r="C3" s="86"/>
      <c r="D3" s="86"/>
      <c r="E3" s="86"/>
      <c r="F3" s="86"/>
      <c r="G3" s="87"/>
      <c r="H3" s="223"/>
      <c r="I3" s="223"/>
      <c r="J3" s="224"/>
    </row>
    <row r="4" spans="2:10" ht="21" x14ac:dyDescent="0.25">
      <c r="B4" s="225" t="s">
        <v>292</v>
      </c>
      <c r="C4" s="226"/>
      <c r="D4" s="227"/>
      <c r="E4" s="88" t="s">
        <v>293</v>
      </c>
      <c r="F4" s="88" t="s">
        <v>294</v>
      </c>
      <c r="G4" s="88" t="s">
        <v>295</v>
      </c>
      <c r="H4" s="228" t="s">
        <v>296</v>
      </c>
      <c r="I4" s="227"/>
      <c r="J4" s="89" t="s">
        <v>297</v>
      </c>
    </row>
    <row r="5" spans="2:10" x14ac:dyDescent="0.25">
      <c r="B5" s="90" t="s">
        <v>298</v>
      </c>
      <c r="C5" s="216" t="s">
        <v>299</v>
      </c>
      <c r="D5" s="216"/>
      <c r="E5" s="91" t="s">
        <v>283</v>
      </c>
      <c r="F5" s="92">
        <v>90</v>
      </c>
      <c r="G5" s="93">
        <v>0</v>
      </c>
      <c r="H5" s="94">
        <f>(G5-F5)/F5*100</f>
        <v>-100</v>
      </c>
      <c r="I5" s="95" t="s">
        <v>283</v>
      </c>
      <c r="J5" s="96"/>
    </row>
    <row r="6" spans="2:10" x14ac:dyDescent="0.25">
      <c r="B6" s="217" t="s">
        <v>300</v>
      </c>
      <c r="C6" s="216" t="s">
        <v>301</v>
      </c>
      <c r="D6" s="216"/>
      <c r="E6" s="91" t="s">
        <v>280</v>
      </c>
      <c r="F6" s="92" t="s">
        <v>302</v>
      </c>
      <c r="G6" s="93"/>
      <c r="H6" s="97" t="str">
        <f>IF($G6="","",IF(AND($G6&gt;=0,$G6&lt;=1427),"合格","不合格"))</f>
        <v/>
      </c>
      <c r="I6" s="98" t="s">
        <v>4</v>
      </c>
      <c r="J6" s="96"/>
    </row>
    <row r="7" spans="2:10" x14ac:dyDescent="0.25">
      <c r="B7" s="218"/>
      <c r="C7" s="216" t="s">
        <v>303</v>
      </c>
      <c r="D7" s="216"/>
      <c r="E7" s="91" t="s">
        <v>280</v>
      </c>
      <c r="F7" s="92" t="s">
        <v>304</v>
      </c>
      <c r="G7" s="93"/>
      <c r="H7" s="97" t="str">
        <f>IF($G7="","",IF(AND($G7&gt;=210,$G7&lt;=220),"合格","不合格"))</f>
        <v/>
      </c>
      <c r="I7" s="98" t="s">
        <v>4</v>
      </c>
      <c r="J7" s="96"/>
    </row>
    <row r="8" spans="2:10" x14ac:dyDescent="0.25">
      <c r="B8" s="219"/>
      <c r="C8" s="216" t="s">
        <v>305</v>
      </c>
      <c r="D8" s="216"/>
      <c r="E8" s="91" t="s">
        <v>280</v>
      </c>
      <c r="F8" s="92" t="s">
        <v>306</v>
      </c>
      <c r="G8" s="93"/>
      <c r="H8" s="97" t="str">
        <f>IF($G8="","",IF(AND($G8&gt;=190,$G8&lt;=210),"合格","不合格"))</f>
        <v/>
      </c>
      <c r="I8" s="98" t="s">
        <v>4</v>
      </c>
      <c r="J8" s="96"/>
    </row>
    <row r="9" spans="2:10" x14ac:dyDescent="0.25">
      <c r="B9" s="217" t="s">
        <v>307</v>
      </c>
      <c r="C9" s="91" t="s">
        <v>308</v>
      </c>
      <c r="D9" s="91" t="s">
        <v>309</v>
      </c>
      <c r="E9" s="91" t="s">
        <v>310</v>
      </c>
      <c r="F9" s="92" t="s">
        <v>311</v>
      </c>
      <c r="G9" s="93"/>
      <c r="H9" s="97" t="str">
        <f>IF($G9="","",IF(AND($G9&gt;=412,$G9&lt;=422),"合格","不合格"))</f>
        <v/>
      </c>
      <c r="I9" s="98" t="s">
        <v>4</v>
      </c>
      <c r="J9" s="96"/>
    </row>
    <row r="10" spans="2:10" x14ac:dyDescent="0.25">
      <c r="B10" s="218"/>
      <c r="C10" s="216" t="s">
        <v>312</v>
      </c>
      <c r="D10" s="91" t="s">
        <v>313</v>
      </c>
      <c r="E10" s="98" t="s">
        <v>4</v>
      </c>
      <c r="F10" s="92" t="s">
        <v>314</v>
      </c>
      <c r="G10" s="93"/>
      <c r="H10" s="97" t="str">
        <f>IF($G10="","",IF(AND($G10&gt;=0.525,$G10&lt;=0.5357),"合格","不合格"))</f>
        <v/>
      </c>
      <c r="I10" s="98" t="s">
        <v>4</v>
      </c>
      <c r="J10" s="96"/>
    </row>
    <row r="11" spans="2:10" x14ac:dyDescent="0.25">
      <c r="B11" s="218"/>
      <c r="C11" s="216"/>
      <c r="D11" s="91" t="s">
        <v>315</v>
      </c>
      <c r="E11" s="91" t="s">
        <v>316</v>
      </c>
      <c r="F11" s="92">
        <v>46.63</v>
      </c>
      <c r="G11" s="93"/>
      <c r="H11" s="97" t="s">
        <v>317</v>
      </c>
      <c r="I11" s="98" t="s">
        <v>4</v>
      </c>
      <c r="J11" s="96"/>
    </row>
    <row r="12" spans="2:10" x14ac:dyDescent="0.25">
      <c r="B12" s="218"/>
      <c r="C12" s="216"/>
      <c r="D12" s="91" t="s">
        <v>318</v>
      </c>
      <c r="E12" s="91" t="s">
        <v>285</v>
      </c>
      <c r="F12" s="92" t="s">
        <v>319</v>
      </c>
      <c r="G12" s="93"/>
      <c r="H12" s="97" t="str">
        <f>IF($G12="","",IF(AND($G12&gt;=0.745,$G12&lt;=0.755),"合格","不合格"))</f>
        <v/>
      </c>
      <c r="I12" s="98" t="s">
        <v>4</v>
      </c>
      <c r="J12" s="96"/>
    </row>
    <row r="13" spans="2:10" x14ac:dyDescent="0.25">
      <c r="B13" s="218"/>
      <c r="C13" s="216"/>
      <c r="D13" s="91" t="s">
        <v>320</v>
      </c>
      <c r="E13" s="91" t="s">
        <v>286</v>
      </c>
      <c r="F13" s="92" t="s">
        <v>321</v>
      </c>
      <c r="G13" s="93"/>
      <c r="H13" s="97" t="str">
        <f>IF($G13="","",IF(AND($G13&gt;=88,$G13&lt;=92),"合格","不合格"))</f>
        <v/>
      </c>
      <c r="I13" s="98" t="s">
        <v>4</v>
      </c>
      <c r="J13" s="96"/>
    </row>
    <row r="14" spans="2:10" x14ac:dyDescent="0.25">
      <c r="B14" s="218"/>
      <c r="C14" s="216"/>
      <c r="D14" s="91" t="s">
        <v>322</v>
      </c>
      <c r="E14" s="91" t="s">
        <v>286</v>
      </c>
      <c r="F14" s="92" t="s">
        <v>323</v>
      </c>
      <c r="G14" s="93"/>
      <c r="H14" s="97" t="str">
        <f>IF($G14="","",IF(AND($G14&gt;=143,$G14&lt;=147),"合格","不合格"))</f>
        <v/>
      </c>
      <c r="I14" s="98" t="s">
        <v>4</v>
      </c>
      <c r="J14" s="96"/>
    </row>
    <row r="15" spans="2:10" x14ac:dyDescent="0.25">
      <c r="B15" s="218"/>
      <c r="C15" s="216"/>
      <c r="D15" s="91" t="s">
        <v>324</v>
      </c>
      <c r="E15" s="91" t="s">
        <v>286</v>
      </c>
      <c r="F15" s="92" t="s">
        <v>325</v>
      </c>
      <c r="G15" s="93"/>
      <c r="H15" s="97" t="str">
        <f>IF($G15="","",IF(AND($G15&gt;=166,$G15&lt;=170),"合格","不合格"))</f>
        <v/>
      </c>
      <c r="I15" s="98" t="s">
        <v>4</v>
      </c>
      <c r="J15" s="96"/>
    </row>
    <row r="16" spans="2:10" x14ac:dyDescent="0.25">
      <c r="B16" s="218"/>
      <c r="C16" s="216" t="s">
        <v>326</v>
      </c>
      <c r="D16" s="91" t="s">
        <v>327</v>
      </c>
      <c r="E16" s="91" t="s">
        <v>286</v>
      </c>
      <c r="F16" s="92" t="s">
        <v>328</v>
      </c>
      <c r="G16" s="93"/>
      <c r="H16" s="97" t="str">
        <f>IF($G16="","",IF(AND($G16&gt;=0,$G16&lt;=45),"合格","不合格"))</f>
        <v/>
      </c>
      <c r="I16" s="98" t="s">
        <v>4</v>
      </c>
      <c r="J16" s="96"/>
    </row>
    <row r="17" spans="2:10" x14ac:dyDescent="0.25">
      <c r="B17" s="218"/>
      <c r="C17" s="216"/>
      <c r="D17" s="91" t="s">
        <v>329</v>
      </c>
      <c r="E17" s="91" t="s">
        <v>286</v>
      </c>
      <c r="F17" s="92" t="s">
        <v>330</v>
      </c>
      <c r="G17" s="93"/>
      <c r="H17" s="97" t="str">
        <f>IF($G17="","",IF(AND($G17&gt;=0,$G17&lt;=20),"合格","不合格"))</f>
        <v/>
      </c>
      <c r="I17" s="98" t="s">
        <v>4</v>
      </c>
      <c r="J17" s="96"/>
    </row>
    <row r="18" spans="2:10" x14ac:dyDescent="0.25">
      <c r="B18" s="218"/>
      <c r="C18" s="216"/>
      <c r="D18" s="91" t="s">
        <v>331</v>
      </c>
      <c r="E18" s="91" t="s">
        <v>286</v>
      </c>
      <c r="F18" s="92" t="s">
        <v>332</v>
      </c>
      <c r="G18" s="93"/>
      <c r="H18" s="97" t="str">
        <f>IF($G18="","",IF(AND($G18&gt;=46,$G18&lt;=50),"合格","不合格"))</f>
        <v/>
      </c>
      <c r="I18" s="98" t="s">
        <v>4</v>
      </c>
      <c r="J18" s="96"/>
    </row>
    <row r="19" spans="2:10" x14ac:dyDescent="0.25">
      <c r="B19" s="218"/>
      <c r="C19" s="216"/>
      <c r="D19" s="91" t="s">
        <v>333</v>
      </c>
      <c r="E19" s="91" t="s">
        <v>286</v>
      </c>
      <c r="F19" s="92" t="s">
        <v>334</v>
      </c>
      <c r="G19" s="93"/>
      <c r="H19" s="97" t="str">
        <f>IF($G19="","",IF(AND($G19&gt;=0,$G19&lt;=20),"合格","不合格"))</f>
        <v/>
      </c>
      <c r="I19" s="98" t="s">
        <v>4</v>
      </c>
      <c r="J19" s="96"/>
    </row>
    <row r="20" spans="2:10" x14ac:dyDescent="0.25">
      <c r="B20" s="218"/>
      <c r="C20" s="216" t="s">
        <v>335</v>
      </c>
      <c r="D20" s="91" t="s">
        <v>89</v>
      </c>
      <c r="E20" s="91" t="s">
        <v>283</v>
      </c>
      <c r="F20" s="99" t="s">
        <v>82</v>
      </c>
      <c r="G20" s="93"/>
      <c r="H20" s="100" t="s">
        <v>336</v>
      </c>
      <c r="I20" s="98" t="s">
        <v>4</v>
      </c>
      <c r="J20" s="96"/>
    </row>
    <row r="21" spans="2:10" x14ac:dyDescent="0.25">
      <c r="B21" s="218"/>
      <c r="C21" s="216"/>
      <c r="D21" s="91" t="s">
        <v>92</v>
      </c>
      <c r="E21" s="91" t="s">
        <v>283</v>
      </c>
      <c r="F21" s="99" t="s">
        <v>82</v>
      </c>
      <c r="G21" s="93"/>
      <c r="H21" s="100" t="s">
        <v>336</v>
      </c>
      <c r="I21" s="98" t="s">
        <v>4</v>
      </c>
      <c r="J21" s="96"/>
    </row>
    <row r="22" spans="2:10" x14ac:dyDescent="0.25">
      <c r="B22" s="218"/>
      <c r="C22" s="216"/>
      <c r="D22" s="91" t="s">
        <v>337</v>
      </c>
      <c r="E22" s="98" t="s">
        <v>4</v>
      </c>
      <c r="F22" s="99" t="s">
        <v>82</v>
      </c>
      <c r="G22" s="93"/>
      <c r="H22" s="100" t="s">
        <v>336</v>
      </c>
      <c r="I22" s="98" t="s">
        <v>4</v>
      </c>
      <c r="J22" s="96"/>
    </row>
    <row r="23" spans="2:10" x14ac:dyDescent="0.25">
      <c r="B23" s="218"/>
      <c r="C23" s="216"/>
      <c r="D23" s="91" t="s">
        <v>166</v>
      </c>
      <c r="E23" s="91" t="s">
        <v>310</v>
      </c>
      <c r="F23" s="99" t="s">
        <v>82</v>
      </c>
      <c r="G23" s="93"/>
      <c r="H23" s="100" t="s">
        <v>336</v>
      </c>
      <c r="I23" s="98" t="s">
        <v>4</v>
      </c>
      <c r="J23" s="96"/>
    </row>
    <row r="24" spans="2:10" x14ac:dyDescent="0.25">
      <c r="B24" s="219"/>
      <c r="C24" s="216"/>
      <c r="D24" s="91" t="s">
        <v>167</v>
      </c>
      <c r="E24" s="91" t="s">
        <v>310</v>
      </c>
      <c r="F24" s="99" t="s">
        <v>82</v>
      </c>
      <c r="G24" s="93"/>
      <c r="H24" s="100" t="s">
        <v>336</v>
      </c>
      <c r="I24" s="98" t="s">
        <v>4</v>
      </c>
      <c r="J24" s="96"/>
    </row>
    <row r="25" spans="2:10" x14ac:dyDescent="0.25">
      <c r="B25" s="229" t="s">
        <v>338</v>
      </c>
      <c r="C25" s="91" t="s">
        <v>339</v>
      </c>
      <c r="D25" s="91" t="s">
        <v>340</v>
      </c>
      <c r="E25" s="91" t="s">
        <v>341</v>
      </c>
      <c r="F25" s="92" t="s">
        <v>342</v>
      </c>
      <c r="G25" s="93"/>
      <c r="H25" s="97" t="str">
        <f>IF($G25="","",IF(AND($G25&gt;=0,$G25&lt;=0.38),"合格","不合格"))</f>
        <v/>
      </c>
      <c r="I25" s="98" t="s">
        <v>4</v>
      </c>
      <c r="J25" s="96"/>
    </row>
    <row r="26" spans="2:10" x14ac:dyDescent="0.25">
      <c r="B26" s="229"/>
      <c r="C26" s="216" t="s">
        <v>343</v>
      </c>
      <c r="D26" s="91" t="s">
        <v>10</v>
      </c>
      <c r="E26" s="91" t="s">
        <v>283</v>
      </c>
      <c r="F26" s="92">
        <v>7</v>
      </c>
      <c r="G26" s="93"/>
      <c r="H26" s="94">
        <f>(G26-F26)</f>
        <v>-7</v>
      </c>
      <c r="I26" s="98" t="s">
        <v>283</v>
      </c>
      <c r="J26" s="96"/>
    </row>
    <row r="27" spans="2:10" x14ac:dyDescent="0.25">
      <c r="B27" s="229"/>
      <c r="C27" s="216"/>
      <c r="D27" s="91" t="s">
        <v>344</v>
      </c>
      <c r="E27" s="91" t="s">
        <v>283</v>
      </c>
      <c r="F27" s="92">
        <v>15</v>
      </c>
      <c r="G27" s="93"/>
      <c r="H27" s="94">
        <f t="shared" ref="H27:H31" si="0">(G27-F27)</f>
        <v>-15</v>
      </c>
      <c r="I27" s="98" t="s">
        <v>283</v>
      </c>
      <c r="J27" s="96"/>
    </row>
    <row r="28" spans="2:10" x14ac:dyDescent="0.25">
      <c r="B28" s="229"/>
      <c r="C28" s="216"/>
      <c r="D28" s="91" t="s">
        <v>345</v>
      </c>
      <c r="E28" s="91" t="s">
        <v>283</v>
      </c>
      <c r="F28" s="92">
        <v>4</v>
      </c>
      <c r="G28" s="93"/>
      <c r="H28" s="94">
        <f t="shared" si="0"/>
        <v>-4</v>
      </c>
      <c r="I28" s="98" t="s">
        <v>283</v>
      </c>
      <c r="J28" s="96"/>
    </row>
    <row r="29" spans="2:10" x14ac:dyDescent="0.25">
      <c r="B29" s="229"/>
      <c r="C29" s="216"/>
      <c r="D29" s="91" t="s">
        <v>166</v>
      </c>
      <c r="E29" s="91" t="s">
        <v>283</v>
      </c>
      <c r="F29" s="92">
        <v>7</v>
      </c>
      <c r="G29" s="93"/>
      <c r="H29" s="94">
        <f t="shared" si="0"/>
        <v>-7</v>
      </c>
      <c r="I29" s="98" t="s">
        <v>283</v>
      </c>
      <c r="J29" s="96"/>
    </row>
    <row r="30" spans="2:10" x14ac:dyDescent="0.25">
      <c r="B30" s="229"/>
      <c r="C30" s="216"/>
      <c r="D30" s="91" t="s">
        <v>167</v>
      </c>
      <c r="E30" s="91" t="s">
        <v>283</v>
      </c>
      <c r="F30" s="92">
        <v>7</v>
      </c>
      <c r="G30" s="93"/>
      <c r="H30" s="94">
        <f t="shared" si="0"/>
        <v>-7</v>
      </c>
      <c r="I30" s="98" t="s">
        <v>283</v>
      </c>
      <c r="J30" s="96"/>
    </row>
    <row r="31" spans="2:10" x14ac:dyDescent="0.25">
      <c r="B31" s="229"/>
      <c r="C31" s="216"/>
      <c r="D31" s="91" t="s">
        <v>346</v>
      </c>
      <c r="E31" s="91" t="s">
        <v>347</v>
      </c>
      <c r="F31" s="92">
        <v>10</v>
      </c>
      <c r="G31" s="93"/>
      <c r="H31" s="94">
        <f t="shared" si="0"/>
        <v>-10</v>
      </c>
      <c r="I31" s="98" t="s">
        <v>283</v>
      </c>
      <c r="J31" s="96"/>
    </row>
    <row r="32" spans="2:10" ht="14.5" thickBot="1" x14ac:dyDescent="0.3">
      <c r="B32" s="217"/>
      <c r="C32" s="230"/>
      <c r="D32" s="101" t="s">
        <v>287</v>
      </c>
      <c r="E32" s="101" t="s">
        <v>283</v>
      </c>
      <c r="F32" s="102">
        <v>50</v>
      </c>
      <c r="G32" s="103"/>
      <c r="H32" s="94">
        <f>(G32-F32)</f>
        <v>-50</v>
      </c>
      <c r="I32" s="98" t="s">
        <v>283</v>
      </c>
      <c r="J32" s="104"/>
    </row>
    <row r="33" spans="2:10" x14ac:dyDescent="0.25">
      <c r="B33" s="231" t="s">
        <v>348</v>
      </c>
      <c r="C33" s="234"/>
      <c r="D33" s="235"/>
      <c r="E33" s="235"/>
      <c r="F33" s="235"/>
      <c r="G33" s="235"/>
      <c r="H33" s="235"/>
      <c r="I33" s="235"/>
      <c r="J33" s="236"/>
    </row>
    <row r="34" spans="2:10" x14ac:dyDescent="0.25">
      <c r="B34" s="232"/>
      <c r="C34" s="237"/>
      <c r="D34" s="238"/>
      <c r="E34" s="238"/>
      <c r="F34" s="238"/>
      <c r="G34" s="238"/>
      <c r="H34" s="238"/>
      <c r="I34" s="238"/>
      <c r="J34" s="239"/>
    </row>
    <row r="35" spans="2:10" ht="14.5" thickBot="1" x14ac:dyDescent="0.3">
      <c r="B35" s="233"/>
      <c r="C35" s="240"/>
      <c r="D35" s="241"/>
      <c r="E35" s="241"/>
      <c r="F35" s="241"/>
      <c r="G35" s="241"/>
      <c r="H35" s="241"/>
      <c r="I35" s="241"/>
      <c r="J35" s="242"/>
    </row>
  </sheetData>
  <mergeCells count="17">
    <mergeCell ref="B25:B32"/>
    <mergeCell ref="C26:C32"/>
    <mergeCell ref="B33:B35"/>
    <mergeCell ref="C33:J35"/>
    <mergeCell ref="B9:B24"/>
    <mergeCell ref="C20:C24"/>
    <mergeCell ref="C16:C19"/>
    <mergeCell ref="C10:C15"/>
    <mergeCell ref="B6:B8"/>
    <mergeCell ref="C6:D6"/>
    <mergeCell ref="C7:D7"/>
    <mergeCell ref="C8:D8"/>
    <mergeCell ref="B2:J2"/>
    <mergeCell ref="H3:J3"/>
    <mergeCell ref="B4:D4"/>
    <mergeCell ref="H4:I4"/>
    <mergeCell ref="C5:D5"/>
  </mergeCells>
  <phoneticPr fontId="1" type="noConversion"/>
  <conditionalFormatting sqref="H5">
    <cfRule type="cellIs" dxfId="15" priority="10" operator="equal">
      <formula>0</formula>
    </cfRule>
    <cfRule type="cellIs" dxfId="14" priority="11" operator="lessThan">
      <formula>0</formula>
    </cfRule>
    <cfRule type="cellIs" dxfId="13" priority="12" operator="greaterThan">
      <formula>0</formula>
    </cfRule>
  </conditionalFormatting>
  <conditionalFormatting sqref="H6:H19">
    <cfRule type="cellIs" dxfId="12" priority="13" operator="equal">
      <formula>"合格"</formula>
    </cfRule>
    <cfRule type="cellIs" dxfId="11" priority="14" operator="equal">
      <formula>"不合格"</formula>
    </cfRule>
    <cfRule type="containsText" dxfId="10" priority="15" operator="containsText" text="不合格">
      <formula>NOT(ISERROR(SEARCH("不合格",H6)))</formula>
    </cfRule>
    <cfRule type="cellIs" dxfId="9" priority="16" operator="equal">
      <formula>"合格"</formula>
    </cfRule>
  </conditionalFormatting>
  <conditionalFormatting sqref="H25">
    <cfRule type="cellIs" dxfId="8" priority="6" operator="equal">
      <formula>"合格"</formula>
    </cfRule>
    <cfRule type="cellIs" dxfId="7" priority="7" operator="equal">
      <formula>"不合格"</formula>
    </cfRule>
    <cfRule type="containsText" dxfId="6" priority="8" operator="containsText" text="不合格">
      <formula>NOT(ISERROR(SEARCH("不合格",H25)))</formula>
    </cfRule>
    <cfRule type="cellIs" dxfId="5" priority="9" operator="equal">
      <formula>"合格"</formula>
    </cfRule>
  </conditionalFormatting>
  <conditionalFormatting sqref="H26:H31">
    <cfRule type="cellIs" dxfId="4" priority="4" operator="greaterThan">
      <formula>0</formula>
    </cfRule>
    <cfRule type="cellIs" dxfId="3" priority="5" operator="lessThan">
      <formula>0</formula>
    </cfRule>
  </conditionalFormatting>
  <conditionalFormatting sqref="H26:H32">
    <cfRule type="cellIs" dxfId="2" priority="1" operator="equal">
      <formula>0</formula>
    </cfRule>
  </conditionalFormatting>
  <conditionalFormatting sqref="H32">
    <cfRule type="cellIs" dxfId="1" priority="2" operator="lessThan">
      <formula>0</formula>
    </cfRule>
    <cfRule type="cellIs" dxfId="0" priority="3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白班过程记录</vt:lpstr>
      <vt:lpstr>白班曲线</vt:lpstr>
      <vt:lpstr>夜班过程记录</vt:lpstr>
      <vt:lpstr>夜班曲线</vt:lpstr>
      <vt:lpstr>台账</vt:lpstr>
      <vt:lpstr>日报表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2026-05-28T03:10:59Z</dcterms:modified>
</cp:coreProperties>
</file>