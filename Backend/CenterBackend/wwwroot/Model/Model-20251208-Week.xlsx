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D:\USER\3_项目\25、四川乐山-和邦生物\报表\熊工发的模板\NO.01- 报表初稿\2026年2月27日定稿\模板\"/>
    </mc:Choice>
  </mc:AlternateContent>
  <xr:revisionPtr revIDLastSave="0" documentId="13_ncr:1_{0E6C6FA6-17B6-4596-8CFF-2C87DE8D142E}" xr6:coauthVersionLast="45" xr6:coauthVersionMax="47" xr10:uidLastSave="{00000000-0000-0000-0000-000000000000}"/>
  <bookViews>
    <workbookView xWindow="-96" yWindow="-96" windowWidth="23232" windowHeight="13992" tabRatio="967" activeTab="12" xr2:uid="{00000000-000D-0000-FFFF-FFFF00000000}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第三页反应液分析数据!$A$1:$H$10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" i="15" l="1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2667A613-E335-4392-8120-3C7CE62C4B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 shapeId="0" xr:uid="{13741C51-AF16-4852-B172-2F686B5CDA8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 shapeId="0" xr:uid="{139C979D-DC17-4808-B944-AA46C2D8713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 shapeId="0" xr:uid="{6639E74B-D12F-4BE3-BED8-B718B5FF890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 shapeId="0" xr:uid="{9A6362F0-FE0D-4093-B5E2-A31AD176475B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 shapeId="0" xr:uid="{DE16200E-6BD2-44A0-AF74-0BF747FA75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 shapeId="0" xr:uid="{25F4CBB6-9326-4F40-A450-BB7AB71BFE2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 shapeId="0" xr:uid="{610CA333-F53A-4675-A58B-BEA90C87AEB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 shapeId="0" xr:uid="{5A136C1C-AF71-4A02-9553-77136BF1CC9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58FFCC24-36C3-4FDD-8205-BA442E2524A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 shapeId="0" xr:uid="{60AE7534-96C9-4B1F-B291-43F9DCC0513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 shapeId="0" xr:uid="{CD97590E-15F1-4CEC-97A8-2EFEAE951B6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 shapeId="0" xr:uid="{52923C86-08E2-4197-917A-D98B0F2CEFC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 shapeId="0" xr:uid="{ABCC817F-CDCE-447B-B665-C88C3D349CE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CFAF8463-7619-4F5F-B923-6D3AE8F5E47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 shapeId="0" xr:uid="{EE690940-A647-4AE6-8DE9-E7E2C5DA68C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 shapeId="0" xr:uid="{9044E9FE-7CBA-4CA8-BD7D-B00EF2F7F4E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 shapeId="0" xr:uid="{20B6F88D-84C4-44BE-A311-58FCA63CA0A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 shapeId="0" xr:uid="{05429616-4CE6-4608-AC27-08B4ECA323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 shapeId="0" xr:uid="{1D418F3F-B9A5-41CB-869E-C806BF933342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 shapeId="0" xr:uid="{05F69F3F-51F6-4942-ADC7-2DAED71CD25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 shapeId="0" xr:uid="{5EC0F064-5134-4932-8976-829861F8424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 shapeId="0" xr:uid="{54218CD0-356D-4A18-91A0-22FF615C8E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7" authorId="0" shapeId="0" xr:uid="{5C483A9E-A48A-4B15-ABF0-3309FD459B75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E7" authorId="0" shapeId="0" xr:uid="{A37A2B81-86CF-4234-A5F7-5B849AC1071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 shapeId="0" xr:uid="{0A35ED70-7C61-47D5-8232-F9DF4BFC23E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 shapeId="0" xr:uid="{B38A9064-6398-45EE-A2FA-5CA0AB8CD1A0}">
      <text>
        <r>
          <rPr>
            <b/>
            <sz val="9"/>
            <color indexed="81"/>
            <rFont val="宋体"/>
            <family val="3"/>
            <charset val="134"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>=本年度检测数据取平均值，其他同</t>
        </r>
      </text>
    </comment>
    <comment ref="I7" authorId="0" shapeId="0" xr:uid="{6FF529D2-A73B-4737-946F-ACFF0CFE23F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 shapeId="0" xr:uid="{256E17A7-0674-4E3C-A6B6-85D18BB6172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 shapeId="0" xr:uid="{FA8B7820-F109-4D1E-9692-93AC9D8B30F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 shapeId="0" xr:uid="{05E24430-5BD3-4BB5-88C1-E47CD001A5A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 shapeId="0" xr:uid="{79845427-F212-477C-BC69-20D248AB37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 shapeId="0" xr:uid="{0FFEAE34-FF58-46AA-BE2B-565CA2F1BCB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634C56AA-A919-453D-B486-5176207435F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 shapeId="0" xr:uid="{96269FEB-06AD-4F5B-A8D3-BBFF744BFAC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 shapeId="0" xr:uid="{D3BC12FE-F86A-406E-B2CF-DFC194800C64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0B3CB284-A078-4E4E-8C12-88C1C425EF6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9" authorId="0" shapeId="0" xr:uid="{57E862EB-5050-4704-971F-D48A82B2D99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 shapeId="0" xr:uid="{CA8101A1-5F59-4114-A3BD-7D9B486363FC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 shapeId="0" xr:uid="{E5376C37-28C5-48C5-BE7C-037E02B8F33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 shapeId="0" xr:uid="{CB5E173B-9D43-482A-ADCD-8CD11A96BF0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 shapeId="0" xr:uid="{924C04E1-B4FB-4C75-A844-5B2F90F08EF0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 shapeId="0" xr:uid="{FF3FD1D9-D23B-4CBA-ADE5-4C6A5B9BEB8E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 shapeId="0" xr:uid="{D6E9E0EB-76CB-4973-BEED-8D96BA1C7583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 shapeId="0" xr:uid="{3EEFAF79-E129-4249-ACCB-34EADE8BE48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6" authorId="0" shapeId="0" xr:uid="{30326DF5-D3BB-4A70-ACCE-4BA8B8DFDB41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 shapeId="0" xr:uid="{075A0126-7751-47A4-BF03-BDA1816C6C1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 shapeId="0" xr:uid="{74F87AD6-6784-4001-93EF-4E980184C6D5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 shapeId="0" xr:uid="{9ABFC379-4A49-4E55-A609-6990D9B50377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 shapeId="0" xr:uid="{C6965BF3-7056-466C-90FA-05BF095A3019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 shapeId="0" xr:uid="{9670136B-8879-4F28-880C-1A95245A651F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熊茂盛</author>
  </authors>
  <commentList>
    <comment ref="C4" authorId="0" shapeId="0" xr:uid="{27BF4EC3-CCBB-40AC-B256-40D1F920FAC8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 shapeId="0" xr:uid="{4F5634FA-21E0-41BF-8582-4AF304DD824A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 shapeId="0" xr:uid="{182C6BA2-AD59-4D9D-A6B0-BAAFDF045E8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 shapeId="0" xr:uid="{8D65E87B-5174-413C-A8E8-ED0DDC8D7CCD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 shapeId="0" xr:uid="{C59B725D-6732-4ABB-9D01-9405C182FF16}">
      <text>
        <r>
          <rPr>
            <b/>
            <sz val="9"/>
            <color indexed="81"/>
            <rFont val="宋体"/>
            <family val="3"/>
            <charset val="134"/>
          </rPr>
          <t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<sst xmlns="http://schemas.openxmlformats.org/spreadsheetml/2006/main" count="290" uniqueCount="185">
  <si>
    <t>设计参数</t>
    <phoneticPr fontId="1" type="noConversion"/>
  </si>
  <si>
    <t>时间</t>
    <phoneticPr fontId="1" type="noConversion"/>
  </si>
  <si>
    <t>反应器
入口温度</t>
    <phoneticPr fontId="1" type="noConversion"/>
  </si>
  <si>
    <t>羟基
流量</t>
    <phoneticPr fontId="1" type="noConversion"/>
  </si>
  <si>
    <t>反应器
入口压力</t>
    <phoneticPr fontId="1" type="noConversion"/>
  </si>
  <si>
    <t>反应器
出口温度</t>
    <phoneticPr fontId="1" type="noConversion"/>
  </si>
  <si>
    <t>反应器
温度</t>
    <phoneticPr fontId="1" type="noConversion"/>
  </si>
  <si>
    <t>气氨
流量</t>
    <phoneticPr fontId="1" type="noConversion"/>
  </si>
  <si>
    <t>配比蒸汽
流量</t>
    <phoneticPr fontId="1" type="noConversion"/>
  </si>
  <si>
    <t>平均配比
摩尔比</t>
    <phoneticPr fontId="1" type="noConversion"/>
  </si>
  <si>
    <t>m3/h</t>
    <phoneticPr fontId="1" type="noConversion"/>
  </si>
  <si>
    <t>kg/h</t>
    <phoneticPr fontId="1" type="noConversion"/>
  </si>
  <si>
    <t>/</t>
    <phoneticPr fontId="1" type="noConversion"/>
  </si>
  <si>
    <t>℃</t>
    <phoneticPr fontId="1" type="noConversion"/>
  </si>
  <si>
    <t>Mpa</t>
  </si>
  <si>
    <t>Mpa</t>
    <phoneticPr fontId="1" type="noConversion"/>
  </si>
  <si>
    <t>项目</t>
    <phoneticPr fontId="1" type="noConversion"/>
  </si>
  <si>
    <t>上上周参数</t>
    <phoneticPr fontId="1" type="noConversion"/>
  </si>
  <si>
    <t>上周参数</t>
    <phoneticPr fontId="1" type="noConversion"/>
  </si>
  <si>
    <t>本周参数</t>
    <phoneticPr fontId="1" type="noConversion"/>
  </si>
  <si>
    <t>反应器
出口压力</t>
    <phoneticPr fontId="1" type="noConversion"/>
  </si>
  <si>
    <t>二乙腈含量</t>
    <phoneticPr fontId="1" type="noConversion"/>
  </si>
  <si>
    <t>二乙腈含量
（%）</t>
    <phoneticPr fontId="1" type="noConversion"/>
  </si>
  <si>
    <t>色谱法</t>
    <phoneticPr fontId="1" type="noConversion"/>
  </si>
  <si>
    <t>化分法
（%）</t>
    <phoneticPr fontId="1" type="noConversion"/>
  </si>
  <si>
    <t>色谱法
（%）</t>
    <phoneticPr fontId="1" type="noConversion"/>
  </si>
  <si>
    <t>二乙腈
含 量</t>
    <phoneticPr fontId="1" type="noConversion"/>
  </si>
  <si>
    <t>羟基乙腈
残 余</t>
    <phoneticPr fontId="1" type="noConversion"/>
  </si>
  <si>
    <t>百分比
（%）</t>
    <phoneticPr fontId="1" type="noConversion"/>
  </si>
  <si>
    <t>浓度
（g/L）</t>
    <phoneticPr fontId="1" type="noConversion"/>
  </si>
  <si>
    <t>项 目</t>
    <phoneticPr fontId="1" type="noConversion"/>
  </si>
  <si>
    <t>pH值</t>
    <phoneticPr fontId="1" type="noConversion"/>
  </si>
  <si>
    <t>硫酸用量
（kg/h）</t>
    <phoneticPr fontId="1" type="noConversion"/>
  </si>
  <si>
    <t>本月平均</t>
    <phoneticPr fontId="1" type="noConversion"/>
  </si>
  <si>
    <t>上周平均</t>
    <phoneticPr fontId="1" type="noConversion"/>
  </si>
  <si>
    <t>本周平均</t>
    <phoneticPr fontId="1" type="noConversion"/>
  </si>
  <si>
    <t>差值</t>
    <phoneticPr fontId="1" type="noConversion"/>
  </si>
  <si>
    <t>mg/L</t>
    <phoneticPr fontId="1" type="noConversion"/>
  </si>
  <si>
    <t>COD</t>
    <phoneticPr fontId="1" type="noConversion"/>
  </si>
  <si>
    <t>指标</t>
    <phoneticPr fontId="1" type="noConversion"/>
  </si>
  <si>
    <t>单位</t>
    <phoneticPr fontId="1" type="noConversion"/>
  </si>
  <si>
    <t>TCN/总腈</t>
    <phoneticPr fontId="1" type="noConversion"/>
  </si>
  <si>
    <t>NH3-N/氨氮</t>
    <phoneticPr fontId="1" type="noConversion"/>
  </si>
  <si>
    <t>HCHO/甲醛</t>
    <phoneticPr fontId="1" type="noConversion"/>
  </si>
  <si>
    <t>pH</t>
    <phoneticPr fontId="1" type="noConversion"/>
  </si>
  <si>
    <t>大生产数据</t>
    <phoneticPr fontId="1" type="noConversion"/>
  </si>
  <si>
    <t>上上周平均</t>
    <phoneticPr fontId="1" type="noConversion"/>
  </si>
  <si>
    <t>农科数据</t>
    <phoneticPr fontId="1" type="noConversion"/>
  </si>
  <si>
    <t>低蒸压力</t>
    <phoneticPr fontId="1" type="noConversion"/>
  </si>
  <si>
    <t>低蒸温度</t>
    <phoneticPr fontId="1" type="noConversion"/>
  </si>
  <si>
    <t>备注：分析密度，每24小时白班送检一次。</t>
    <phoneticPr fontId="1" type="noConversion"/>
  </si>
  <si>
    <r>
      <t>25000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30000</t>
    </r>
    <phoneticPr fontId="1" type="noConversion"/>
  </si>
  <si>
    <r>
      <t>900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1200</t>
    </r>
    <phoneticPr fontId="1" type="noConversion"/>
  </si>
  <si>
    <r>
      <t>2500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3000</t>
    </r>
    <phoneticPr fontId="1" type="noConversion"/>
  </si>
  <si>
    <r>
      <t>30</t>
    </r>
    <r>
      <rPr>
        <sz val="10"/>
        <color rgb="FFFF0000"/>
        <rFont val="SimSun"/>
        <charset val="134"/>
      </rPr>
      <t>～</t>
    </r>
    <r>
      <rPr>
        <sz val="10"/>
        <color rgb="FFFF0000"/>
        <rFont val="等线"/>
        <family val="3"/>
        <charset val="134"/>
      </rPr>
      <t>50</t>
    </r>
    <phoneticPr fontId="1" type="noConversion"/>
  </si>
  <si>
    <t>月份</t>
    <phoneticPr fontId="1" type="noConversion"/>
  </si>
  <si>
    <t>%</t>
    <phoneticPr fontId="1" type="noConversion"/>
  </si>
  <si>
    <t>水分含量</t>
    <phoneticPr fontId="1" type="noConversion"/>
  </si>
  <si>
    <t>综合含量</t>
    <phoneticPr fontId="1" type="noConversion"/>
  </si>
  <si>
    <t>未知物含量</t>
    <phoneticPr fontId="1" type="noConversion"/>
  </si>
  <si>
    <t>本年度平均</t>
    <phoneticPr fontId="1" type="noConversion"/>
  </si>
  <si>
    <t>化学分析法</t>
    <phoneticPr fontId="1" type="noConversion"/>
  </si>
  <si>
    <t>备注</t>
    <phoneticPr fontId="1" type="noConversion"/>
  </si>
  <si>
    <t>上上周</t>
    <phoneticPr fontId="1" type="noConversion"/>
  </si>
  <si>
    <t>上周</t>
    <phoneticPr fontId="1" type="noConversion"/>
  </si>
  <si>
    <t>本周</t>
    <phoneticPr fontId="1" type="noConversion"/>
  </si>
  <si>
    <t>平
均</t>
    <phoneticPr fontId="1" type="noConversion"/>
  </si>
  <si>
    <t>1月</t>
    <phoneticPr fontId="1" type="noConversion"/>
  </si>
  <si>
    <t>2月</t>
    <phoneticPr fontId="1" type="noConversion"/>
  </si>
  <si>
    <t>3月</t>
    <phoneticPr fontId="1" type="noConversion"/>
  </si>
  <si>
    <t>4月</t>
    <phoneticPr fontId="1" type="noConversion"/>
  </si>
  <si>
    <t>5月</t>
    <phoneticPr fontId="1" type="noConversion"/>
  </si>
  <si>
    <t>6月</t>
    <phoneticPr fontId="1" type="noConversion"/>
  </si>
  <si>
    <t>7月</t>
    <phoneticPr fontId="1" type="noConversion"/>
  </si>
  <si>
    <t>8月</t>
    <phoneticPr fontId="1" type="noConversion"/>
  </si>
  <si>
    <t>9月</t>
    <phoneticPr fontId="1" type="noConversion"/>
  </si>
  <si>
    <t>10月</t>
    <phoneticPr fontId="1" type="noConversion"/>
  </si>
  <si>
    <t>11月</t>
    <phoneticPr fontId="1" type="noConversion"/>
  </si>
  <si>
    <t>12月</t>
    <phoneticPr fontId="1" type="noConversion"/>
  </si>
  <si>
    <t>收
率
（%）</t>
    <phoneticPr fontId="1" type="noConversion"/>
  </si>
  <si>
    <t>班
产
量
（t）</t>
    <phoneticPr fontId="1" type="noConversion"/>
  </si>
  <si>
    <t>设计值</t>
    <phoneticPr fontId="1" type="noConversion"/>
  </si>
  <si>
    <t>进料量</t>
    <phoneticPr fontId="1" type="noConversion"/>
  </si>
  <si>
    <t>出料量</t>
    <phoneticPr fontId="1" type="noConversion"/>
  </si>
  <si>
    <t>浓缩比</t>
    <phoneticPr fontId="1" type="noConversion"/>
  </si>
  <si>
    <t>出料比重</t>
    <phoneticPr fontId="1" type="noConversion"/>
  </si>
  <si>
    <t>g/L</t>
    <phoneticPr fontId="1" type="noConversion"/>
  </si>
  <si>
    <t>蒸汽用量</t>
    <phoneticPr fontId="1" type="noConversion"/>
  </si>
  <si>
    <t>t/h</t>
    <phoneticPr fontId="1" type="noConversion"/>
  </si>
  <si>
    <t>无</t>
    <phoneticPr fontId="1" type="noConversion"/>
  </si>
  <si>
    <t>本周数据</t>
    <phoneticPr fontId="1" type="noConversion"/>
  </si>
  <si>
    <t>低蒸运行参数</t>
    <phoneticPr fontId="1" type="noConversion"/>
  </si>
  <si>
    <t>低蒸母液分析：送检频次，一天一次；管反反应液一天三次</t>
    <phoneticPr fontId="1" type="noConversion"/>
  </si>
  <si>
    <t>硫铵含量</t>
    <phoneticPr fontId="1" type="noConversion"/>
  </si>
  <si>
    <t>羟基乙腈含量</t>
    <phoneticPr fontId="1" type="noConversion"/>
  </si>
  <si>
    <t>硫铵含量
（g/L）</t>
    <phoneticPr fontId="1" type="noConversion"/>
  </si>
  <si>
    <t>羟基乙腈含量
（g/L）</t>
    <phoneticPr fontId="1" type="noConversion"/>
  </si>
  <si>
    <t>外排废液
m3废液/t产品</t>
    <phoneticPr fontId="1" type="noConversion"/>
  </si>
  <si>
    <t>本周固液比控制范围：</t>
    <phoneticPr fontId="1" type="noConversion"/>
  </si>
  <si>
    <t>本周累计外排废液量：</t>
    <phoneticPr fontId="1" type="noConversion"/>
  </si>
  <si>
    <t>m3</t>
    <phoneticPr fontId="1" type="noConversion"/>
  </si>
  <si>
    <t>二次母液
分析数据</t>
    <phoneticPr fontId="1" type="noConversion"/>
  </si>
  <si>
    <t>脱色前</t>
    <phoneticPr fontId="1" type="noConversion"/>
  </si>
  <si>
    <t>脱色后</t>
    <phoneticPr fontId="1" type="noConversion"/>
  </si>
  <si>
    <t>差 值</t>
    <phoneticPr fontId="1" type="noConversion"/>
  </si>
  <si>
    <t>上 周</t>
    <phoneticPr fontId="1" type="noConversion"/>
  </si>
  <si>
    <t>本 周</t>
    <phoneticPr fontId="1" type="noConversion"/>
  </si>
  <si>
    <t>kg/t</t>
    <phoneticPr fontId="1" type="noConversion"/>
  </si>
  <si>
    <t>活性炭单耗</t>
    <phoneticPr fontId="1" type="noConversion"/>
  </si>
  <si>
    <t>脱色
消耗</t>
    <phoneticPr fontId="1" type="noConversion"/>
  </si>
  <si>
    <t>透光率</t>
    <phoneticPr fontId="1" type="noConversion"/>
  </si>
  <si>
    <t>型号</t>
    <phoneticPr fontId="1" type="noConversion"/>
  </si>
  <si>
    <t xml:space="preserve">                指标
对比项目</t>
    <phoneticPr fontId="1" type="noConversion"/>
  </si>
  <si>
    <t>t</t>
    <phoneticPr fontId="1" type="noConversion"/>
  </si>
  <si>
    <t>t/t</t>
    <phoneticPr fontId="1" type="noConversion"/>
  </si>
  <si>
    <t>m3/t</t>
    <phoneticPr fontId="1" type="noConversion"/>
  </si>
  <si>
    <t>吨产品原料/动力及排放单耗</t>
    <phoneticPr fontId="1" type="noConversion"/>
  </si>
  <si>
    <t>日期</t>
    <phoneticPr fontId="1" type="noConversion"/>
  </si>
  <si>
    <t>星期</t>
    <phoneticPr fontId="1" type="noConversion"/>
  </si>
  <si>
    <t>五</t>
    <phoneticPr fontId="1" type="noConversion"/>
  </si>
  <si>
    <t>六</t>
    <phoneticPr fontId="1" type="noConversion"/>
  </si>
  <si>
    <t>日</t>
    <phoneticPr fontId="1" type="noConversion"/>
  </si>
  <si>
    <t>一</t>
    <phoneticPr fontId="1" type="noConversion"/>
  </si>
  <si>
    <t>二</t>
    <phoneticPr fontId="1" type="noConversion"/>
  </si>
  <si>
    <t>三</t>
    <phoneticPr fontId="1" type="noConversion"/>
  </si>
  <si>
    <t>四</t>
    <phoneticPr fontId="1" type="noConversion"/>
  </si>
  <si>
    <t>本周
平均</t>
    <phoneticPr fontId="1" type="noConversion"/>
  </si>
  <si>
    <t>上周
平均</t>
    <phoneticPr fontId="1" type="noConversion"/>
  </si>
  <si>
    <t>两周
差值</t>
    <phoneticPr fontId="1" type="noConversion"/>
  </si>
  <si>
    <t>一、反应液</t>
    <phoneticPr fontId="1" type="noConversion"/>
  </si>
  <si>
    <t>二、产品</t>
    <phoneticPr fontId="1" type="noConversion"/>
  </si>
  <si>
    <t>二乙腈</t>
    <phoneticPr fontId="1" type="noConversion"/>
  </si>
  <si>
    <t>折百产量</t>
    <phoneticPr fontId="1" type="noConversion"/>
  </si>
  <si>
    <t>2025年第（44）周</t>
    <phoneticPr fontId="1" type="noConversion"/>
  </si>
  <si>
    <t>班次</t>
    <phoneticPr fontId="1" type="noConversion"/>
  </si>
  <si>
    <t>1号</t>
    <phoneticPr fontId="1" type="noConversion"/>
  </si>
  <si>
    <t>2号</t>
    <phoneticPr fontId="1" type="noConversion"/>
  </si>
  <si>
    <t>3号</t>
    <phoneticPr fontId="1" type="noConversion"/>
  </si>
  <si>
    <t>4号</t>
    <phoneticPr fontId="1" type="noConversion"/>
  </si>
  <si>
    <t>5号</t>
    <phoneticPr fontId="1" type="noConversion"/>
  </si>
  <si>
    <t>6号</t>
    <phoneticPr fontId="1" type="noConversion"/>
  </si>
  <si>
    <t>7号</t>
    <phoneticPr fontId="1" type="noConversion"/>
  </si>
  <si>
    <t>白</t>
    <phoneticPr fontId="1" type="noConversion"/>
  </si>
  <si>
    <t>夜</t>
    <phoneticPr fontId="1" type="noConversion"/>
  </si>
  <si>
    <t>羟基乙腈
单耗</t>
    <phoneticPr fontId="1" type="noConversion"/>
  </si>
  <si>
    <t>液氨
单耗</t>
    <phoneticPr fontId="1" type="noConversion"/>
  </si>
  <si>
    <t>硫酸
单耗</t>
    <phoneticPr fontId="1" type="noConversion"/>
  </si>
  <si>
    <t>总蒸汽
单耗</t>
    <phoneticPr fontId="1" type="noConversion"/>
  </si>
  <si>
    <t>反应蒸汽
单耗</t>
    <phoneticPr fontId="1" type="noConversion"/>
  </si>
  <si>
    <t>低蒸蒸汽
单耗</t>
    <phoneticPr fontId="1" type="noConversion"/>
  </si>
  <si>
    <t>废液
外排</t>
    <phoneticPr fontId="1" type="noConversion"/>
  </si>
  <si>
    <t>废水
外排</t>
    <phoneticPr fontId="1" type="noConversion"/>
  </si>
  <si>
    <t>0，5150±0.05</t>
    <phoneticPr fontId="1" type="noConversion"/>
  </si>
  <si>
    <t>410±5g/L</t>
    <phoneticPr fontId="1" type="noConversion"/>
  </si>
  <si>
    <t>168±2℃</t>
    <phoneticPr fontId="1" type="noConversion"/>
  </si>
  <si>
    <t>≤20℃</t>
    <phoneticPr fontId="1" type="noConversion"/>
  </si>
  <si>
    <t>氨/腈摩尔比
合格率（%）</t>
    <phoneticPr fontId="1" type="noConversion"/>
  </si>
  <si>
    <t>羟基浓度
合格率（%）</t>
    <phoneticPr fontId="1" type="noConversion"/>
  </si>
  <si>
    <t>氨化反应温度
合格率（%）</t>
    <phoneticPr fontId="1" type="noConversion"/>
  </si>
  <si>
    <t>一次结晶出料
温度合格率（%）</t>
    <phoneticPr fontId="1" type="noConversion"/>
  </si>
  <si>
    <t>核心工艺指标合格率
（%）</t>
    <phoneticPr fontId="1" type="noConversion"/>
  </si>
  <si>
    <t>实际产量</t>
    <phoneticPr fontId="1" type="noConversion"/>
  </si>
  <si>
    <t>kg/班</t>
    <phoneticPr fontId="1" type="noConversion"/>
  </si>
  <si>
    <t>收率</t>
    <phoneticPr fontId="1" type="noConversion"/>
  </si>
  <si>
    <t>本月平均</t>
    <phoneticPr fontId="1" type="noConversion"/>
  </si>
  <si>
    <t>一次结晶</t>
    <phoneticPr fontId="1" type="noConversion"/>
  </si>
  <si>
    <t>二次结晶</t>
    <phoneticPr fontId="1" type="noConversion"/>
  </si>
  <si>
    <t>本周</t>
  </si>
  <si>
    <t>上周数据</t>
    <phoneticPr fontId="1" type="noConversion"/>
  </si>
  <si>
    <t xml:space="preserve">                             指标
 时间</t>
    <phoneticPr fontId="1" type="noConversion"/>
  </si>
  <si>
    <t>三、收率</t>
    <phoneticPr fontId="1" type="noConversion"/>
  </si>
  <si>
    <t>四、废液</t>
    <phoneticPr fontId="1" type="noConversion"/>
  </si>
  <si>
    <t>周报-反应液分析数据表</t>
  </si>
  <si>
    <t>周报-反应工序控制参数表</t>
    <phoneticPr fontId="1" type="noConversion"/>
  </si>
  <si>
    <t>周报-闪蒸废水分析数据表</t>
    <phoneticPr fontId="1" type="noConversion"/>
  </si>
  <si>
    <t>周报-结晶工序数据分析表</t>
    <phoneticPr fontId="1" type="noConversion"/>
  </si>
  <si>
    <t>周报-产品指标分析表</t>
    <phoneticPr fontId="1" type="noConversion"/>
  </si>
  <si>
    <t>周报-产品收率数据分析表</t>
    <phoneticPr fontId="1" type="noConversion"/>
  </si>
  <si>
    <t>周报-汇总数据分析表</t>
    <phoneticPr fontId="1" type="noConversion"/>
  </si>
  <si>
    <t>周报-低蒸数据分析表</t>
    <phoneticPr fontId="1" type="noConversion"/>
  </si>
  <si>
    <t>周报-脱色工序数据分析表</t>
    <phoneticPr fontId="1" type="noConversion"/>
  </si>
  <si>
    <t>周报-二次结晶数据分析表</t>
    <phoneticPr fontId="1" type="noConversion"/>
  </si>
  <si>
    <t>周报-产品原料/动力/排放单耗数据分析表</t>
    <phoneticPr fontId="1" type="noConversion"/>
  </si>
  <si>
    <t>周报-核心指标分析汇总表</t>
    <phoneticPr fontId="1" type="noConversion"/>
  </si>
  <si>
    <t>核心指标完成情况汇总表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</si>
</sst>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;[Red]0.00"/>
    <numFmt numFmtId="177" formatCode="0.0000;[Red]0.0000"/>
    <numFmt numFmtId="178" formatCode="0.0;[Red]0.0"/>
    <numFmt numFmtId="179" formatCode="0.000;[Red]0.000"/>
  </numFmts>
  <fonts count="15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0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2" fillId="0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3" xfId="0" applyFont="1" applyFill="1" applyBorder="1" applyAlignment="1">
      <alignment horizontal="center" vertical="center"/>
    </xf>
    <xf numFmtId="0" fontId="14" fillId="0" borderId="23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 wrapText="1"/>
    </xf>
    <xf numFmtId="0" fontId="3" fillId="0" borderId="23" xfId="0" applyFont="1" applyFill="1" applyBorder="1" applyAlignment="1">
      <alignment horizontal="left" vertical="center"/>
    </xf>
    <xf numFmtId="0" fontId="14" fillId="0" borderId="23" xfId="0" applyFont="1" applyFill="1" applyBorder="1" applyAlignment="1">
      <alignment horizontal="left" vertical="center"/>
    </xf>
    <xf numFmtId="0" fontId="14" fillId="0" borderId="23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13" fillId="0" borderId="23" xfId="0" applyFont="1" applyFill="1" applyBorder="1" applyAlignment="1">
      <alignment horizontal="center" vertical="center"/>
    </xf>
    <xf numFmtId="176" fontId="2" fillId="0" borderId="23" xfId="0" applyNumberFormat="1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3" fillId="0" borderId="23" xfId="0" applyFont="1" applyFill="1" applyBorder="1" applyAlignment="1">
      <alignment horizontal="center" vertical="center" wrapText="1"/>
    </xf>
    <xf numFmtId="176" fontId="3" fillId="0" borderId="23" xfId="0" applyNumberFormat="1" applyFont="1" applyFill="1" applyBorder="1" applyAlignment="1">
      <alignment horizontal="center" vertical="center"/>
    </xf>
    <xf numFmtId="0" fontId="0" fillId="0" borderId="26" xfId="0" applyFill="1" applyBorder="1" applyAlignment="1">
      <alignment horizontal="center"/>
    </xf>
    <xf numFmtId="0" fontId="9" fillId="0" borderId="23" xfId="0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wrapText="1"/>
    </xf>
    <xf numFmtId="0" fontId="2" fillId="0" borderId="23" xfId="0" applyFont="1" applyBorder="1" applyAlignment="1">
      <alignment horizontal="center" vertical="center" wrapText="1"/>
    </xf>
    <xf numFmtId="0" fontId="3" fillId="0" borderId="23" xfId="0" applyFont="1" applyBorder="1"/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19050</xdr:rowOff>
    </xdr:from>
    <xdr:to>
      <xdr:col>15</xdr:col>
      <xdr:colOff>579752</xdr:colOff>
      <xdr:row>33</xdr:row>
      <xdr:rowOff>56421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69FC6C3D-987A-34BE-8B30-45568DED9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970" y="198120"/>
          <a:ext cx="9967592" cy="576761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" workbookViewId="0">
      <selection activeCell="R20" sqref="R20"/>
    </sheetView>
  </sheetViews>
  <sheetFormatPr defaultRowHeight="14.1"/>
  <cols>
    <col min="1" max="1" width="1.84765625" customWidth="1"/>
  </cols>
  <sheetData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3708B-AFEE-482C-9EDF-E765F4BF1F1B}">
  <dimension ref="B2:K12"/>
  <sheetViews>
    <sheetView workbookViewId="0">
      <selection activeCell="C6" sqref="C6:K6"/>
    </sheetView>
  </sheetViews>
  <sheetFormatPr defaultColWidth="9" defaultRowHeight="12.6"/>
  <cols>
    <col min="1" max="1" width="1.59765625" style="2" customWidth="1"/>
    <col min="2" max="16384" width="9" style="2"/>
  </cols>
  <sheetData>
    <row r="2" spans="2:11" ht="27.75" customHeight="1">
      <c r="B2" s="64" t="s">
        <v>173</v>
      </c>
      <c r="C2" s="64"/>
      <c r="D2" s="64"/>
      <c r="E2" s="64"/>
      <c r="F2" s="64"/>
      <c r="G2" s="64"/>
      <c r="H2" s="64"/>
      <c r="I2" s="64"/>
      <c r="J2" s="64"/>
      <c r="K2" s="64"/>
    </row>
    <row r="3" spans="2:11" ht="15" customHeight="1">
      <c r="B3" s="62"/>
      <c r="C3" s="63"/>
      <c r="D3" s="63"/>
      <c r="E3" s="63"/>
      <c r="F3" s="63"/>
      <c r="G3" s="63"/>
      <c r="H3" s="63"/>
      <c r="I3" s="63"/>
      <c r="J3" s="63"/>
      <c r="K3" s="63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.05" customHeight="1">
      <c r="B5" s="60" t="s">
        <v>1</v>
      </c>
      <c r="C5" s="61" t="s">
        <v>11</v>
      </c>
      <c r="D5" s="61" t="s">
        <v>10</v>
      </c>
      <c r="E5" s="61" t="s">
        <v>10</v>
      </c>
      <c r="F5" s="61" t="s">
        <v>12</v>
      </c>
      <c r="G5" s="61" t="s">
        <v>15</v>
      </c>
      <c r="H5" s="61" t="s">
        <v>13</v>
      </c>
      <c r="I5" s="61" t="s">
        <v>13</v>
      </c>
      <c r="J5" s="9" t="s">
        <v>14</v>
      </c>
      <c r="K5" s="9" t="s">
        <v>13</v>
      </c>
    </row>
    <row r="6" spans="2:11" ht="25.05" customHeight="1">
      <c r="B6" s="55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.05" customHeight="1">
      <c r="B7" s="56" t="s">
        <v>17</v>
      </c>
      <c r="C7" s="59"/>
      <c r="D7" s="59"/>
      <c r="E7" s="59"/>
      <c r="F7" s="14"/>
      <c r="G7" s="59"/>
      <c r="H7" s="16"/>
      <c r="I7" s="59"/>
      <c r="J7" s="18"/>
      <c r="K7" s="18"/>
    </row>
    <row r="8" spans="2:11" ht="25.05" customHeight="1">
      <c r="B8" s="56" t="s">
        <v>18</v>
      </c>
      <c r="C8" s="59"/>
      <c r="D8" s="59"/>
      <c r="E8" s="59"/>
      <c r="F8" s="14"/>
      <c r="G8" s="59"/>
      <c r="H8" s="16"/>
      <c r="I8" s="59"/>
      <c r="J8" s="18"/>
      <c r="K8" s="18"/>
    </row>
    <row r="9" spans="2:11" ht="25.05" customHeight="1">
      <c r="B9" s="7" t="s">
        <v>19</v>
      </c>
      <c r="C9" s="8"/>
      <c r="D9" s="8"/>
      <c r="E9" s="8"/>
      <c r="F9" s="15"/>
      <c r="G9" s="8"/>
      <c r="H9" s="17"/>
      <c r="I9" s="8"/>
      <c r="J9" s="19"/>
      <c r="K9" s="19"/>
    </row>
    <row r="10" spans="2:11" ht="20.100000000000001" customHeight="1"/>
    <row r="11" spans="2:11" ht="20.100000000000001" customHeight="1"/>
    <row r="12" spans="2:11" ht="20.100000000000001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78E3A-2908-4CDC-B23A-CA8F39AE7803}">
  <dimension ref="B2:G9"/>
  <sheetViews>
    <sheetView zoomScaleNormal="100" zoomScaleSheetLayoutView="130" workbookViewId="0">
      <selection activeCell="C5" sqref="C5"/>
    </sheetView>
  </sheetViews>
  <sheetFormatPr defaultColWidth="9" defaultRowHeight="12.6"/>
  <cols>
    <col min="1" max="1" width="3" style="2" customWidth="1"/>
    <col min="2" max="7" width="11.25" style="2" customWidth="1"/>
    <col min="8" max="8" width="3.84765625" style="2" customWidth="1"/>
    <col min="9" max="16384" width="9" style="2"/>
  </cols>
  <sheetData>
    <row r="2" spans="2:7" ht="17.7">
      <c r="B2" s="65" t="s">
        <v>172</v>
      </c>
      <c r="C2" s="66"/>
      <c r="D2" s="66"/>
      <c r="E2" s="66"/>
      <c r="F2" s="66"/>
      <c r="G2" s="67"/>
    </row>
    <row r="3" spans="2:7" ht="25.3" customHeight="1">
      <c r="B3" s="54" t="s">
        <v>30</v>
      </c>
      <c r="C3" s="68" t="s">
        <v>26</v>
      </c>
      <c r="D3" s="69"/>
      <c r="E3" s="70" t="s">
        <v>27</v>
      </c>
      <c r="F3" s="71"/>
      <c r="G3" s="48" t="s">
        <v>31</v>
      </c>
    </row>
    <row r="4" spans="2:7" ht="25.2">
      <c r="B4" s="53"/>
      <c r="C4" s="57" t="s">
        <v>24</v>
      </c>
      <c r="D4" s="57" t="s">
        <v>25</v>
      </c>
      <c r="E4" s="57" t="s">
        <v>28</v>
      </c>
      <c r="F4" s="57" t="s">
        <v>29</v>
      </c>
      <c r="G4" s="49" t="s">
        <v>32</v>
      </c>
    </row>
    <row r="5" spans="2:7" ht="16.5" customHeight="1">
      <c r="B5" s="58" t="s">
        <v>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54" t="s">
        <v>34</v>
      </c>
      <c r="C6" s="25"/>
      <c r="D6" s="25"/>
      <c r="E6" s="25"/>
      <c r="F6" s="25"/>
      <c r="G6" s="28"/>
    </row>
    <row r="7" spans="2:7" ht="16.5" customHeight="1">
      <c r="B7" s="54" t="s">
        <v>35</v>
      </c>
      <c r="C7" s="25"/>
      <c r="D7" s="25"/>
      <c r="E7" s="25"/>
      <c r="F7" s="25"/>
      <c r="G7" s="28"/>
    </row>
    <row r="8" spans="2:7" ht="16.5" customHeight="1">
      <c r="B8" s="54" t="s">
        <v>164</v>
      </c>
      <c r="C8" s="25"/>
      <c r="D8" s="25"/>
      <c r="E8" s="25"/>
      <c r="F8" s="25"/>
      <c r="G8" s="28"/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8E5B-3396-4E40-9EC5-EE441B379686}">
  <dimension ref="B2:I12"/>
  <sheetViews>
    <sheetView workbookViewId="0">
      <selection activeCell="K6" sqref="K6"/>
    </sheetView>
  </sheetViews>
  <sheetFormatPr defaultColWidth="9" defaultRowHeight="17.100000000000001" customHeight="1"/>
  <cols>
    <col min="1" max="1" width="2.34765625" style="2" customWidth="1"/>
    <col min="2" max="2" width="9.1484375" style="2" bestFit="1" customWidth="1"/>
    <col min="3" max="9" width="10.75" style="2" customWidth="1"/>
    <col min="10" max="16384" width="9" style="2"/>
  </cols>
  <sheetData>
    <row r="2" spans="2:9" ht="17.100000000000001" customHeight="1">
      <c r="B2" s="90" t="s">
        <v>174</v>
      </c>
      <c r="C2" s="90"/>
      <c r="D2" s="90"/>
      <c r="E2" s="90"/>
      <c r="F2" s="90"/>
      <c r="G2" s="90"/>
      <c r="H2" s="90"/>
      <c r="I2" s="90"/>
    </row>
    <row r="3" spans="2:9" ht="17.100000000000001" customHeight="1">
      <c r="B3" s="62"/>
      <c r="C3" s="63"/>
      <c r="D3" s="63"/>
      <c r="E3" s="63"/>
      <c r="F3" s="63"/>
      <c r="G3" s="63"/>
      <c r="H3" s="63"/>
      <c r="I3" s="63"/>
    </row>
    <row r="4" spans="2:9" ht="17.100000000000001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00000000000001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00000000000001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00000000000001" customHeight="1">
      <c r="B7" s="4" t="s">
        <v>46</v>
      </c>
      <c r="C7" s="5"/>
      <c r="D7" s="5"/>
      <c r="E7" s="5"/>
      <c r="F7" s="5"/>
      <c r="G7" s="5"/>
      <c r="H7" s="5"/>
      <c r="I7" s="6"/>
    </row>
    <row r="8" spans="2:9" ht="17.100000000000001" customHeight="1">
      <c r="B8" s="4" t="s">
        <v>34</v>
      </c>
      <c r="C8" s="5"/>
      <c r="D8" s="5"/>
      <c r="E8" s="5"/>
      <c r="F8" s="5"/>
      <c r="G8" s="5"/>
      <c r="H8" s="5"/>
      <c r="I8" s="6"/>
    </row>
    <row r="9" spans="2:9" ht="17.100000000000001" customHeight="1">
      <c r="B9" s="4" t="s">
        <v>35</v>
      </c>
      <c r="C9" s="5"/>
      <c r="D9" s="5"/>
      <c r="E9" s="5"/>
      <c r="F9" s="5"/>
      <c r="G9" s="5"/>
      <c r="H9" s="5"/>
      <c r="I9" s="6"/>
    </row>
    <row r="10" spans="2:9" ht="17.100000000000001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00000000000001" customHeight="1">
      <c r="B11" s="72" t="s">
        <v>50</v>
      </c>
      <c r="C11" s="73"/>
      <c r="D11" s="73"/>
      <c r="E11" s="73"/>
      <c r="F11" s="73"/>
      <c r="G11" s="73"/>
      <c r="H11" s="73"/>
      <c r="I11" s="74"/>
    </row>
    <row r="12" spans="2:9" ht="17.100000000000001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CDD50-40E8-43B8-86B3-04DABBAC7DFF}">
  <dimension ref="B2:J18"/>
  <sheetViews>
    <sheetView zoomScale="115" zoomScaleNormal="115" workbookViewId="0">
      <selection activeCell="M8" sqref="M8"/>
    </sheetView>
  </sheetViews>
  <sheetFormatPr defaultColWidth="9" defaultRowHeight="12.6"/>
  <cols>
    <col min="1" max="1" width="2.25" style="2" customWidth="1"/>
    <col min="2" max="3" width="9.44921875" style="2" bestFit="1" customWidth="1"/>
    <col min="4" max="5" width="7.796875" style="2" bestFit="1" customWidth="1"/>
    <col min="6" max="7" width="9.44921875" style="2" bestFit="1" customWidth="1"/>
    <col min="8" max="9" width="7.796875" style="2" bestFit="1" customWidth="1"/>
    <col min="10" max="10" width="9.44921875" style="2" bestFit="1" customWidth="1"/>
    <col min="11" max="16384" width="9" style="2"/>
  </cols>
  <sheetData>
    <row r="2" spans="2:10" ht="30" customHeight="1">
      <c r="B2" s="92" t="s">
        <v>175</v>
      </c>
      <c r="C2" s="92"/>
      <c r="D2" s="92"/>
      <c r="E2" s="92"/>
      <c r="F2" s="92"/>
      <c r="G2" s="92"/>
      <c r="H2" s="92"/>
      <c r="I2" s="92"/>
      <c r="J2" s="92"/>
    </row>
    <row r="3" spans="2:10" ht="15" customHeight="1">
      <c r="B3" s="92"/>
      <c r="C3" s="92"/>
      <c r="D3" s="92"/>
      <c r="E3" s="92"/>
      <c r="F3" s="92"/>
      <c r="G3" s="92"/>
      <c r="H3" s="92"/>
      <c r="I3" s="92"/>
      <c r="J3" s="92"/>
    </row>
    <row r="4" spans="2:10" ht="25.05" customHeight="1">
      <c r="B4" s="93" t="s">
        <v>55</v>
      </c>
      <c r="C4" s="93" t="s">
        <v>165</v>
      </c>
      <c r="D4" s="93"/>
      <c r="E4" s="93"/>
      <c r="F4" s="93"/>
      <c r="G4" s="93" t="s">
        <v>166</v>
      </c>
      <c r="H4" s="93"/>
      <c r="I4" s="93"/>
      <c r="J4" s="93"/>
    </row>
    <row r="5" spans="2:10" ht="25.05" customHeight="1">
      <c r="B5" s="93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.05" customHeight="1">
      <c r="B6" s="93"/>
      <c r="C6" s="48" t="s">
        <v>56</v>
      </c>
      <c r="D6" s="48" t="s">
        <v>56</v>
      </c>
      <c r="E6" s="48" t="s">
        <v>56</v>
      </c>
      <c r="F6" s="48" t="s">
        <v>56</v>
      </c>
      <c r="G6" s="48" t="s">
        <v>56</v>
      </c>
      <c r="H6" s="48" t="s">
        <v>56</v>
      </c>
      <c r="I6" s="48" t="s">
        <v>56</v>
      </c>
      <c r="J6" s="48" t="s">
        <v>56</v>
      </c>
    </row>
    <row r="7" spans="2:10" ht="25.05" customHeight="1">
      <c r="B7" s="94" t="s">
        <v>60</v>
      </c>
      <c r="C7" s="95"/>
      <c r="D7" s="95"/>
      <c r="E7" s="95"/>
      <c r="F7" s="95"/>
      <c r="G7" s="95"/>
      <c r="H7" s="95"/>
      <c r="I7" s="95"/>
      <c r="J7" s="95"/>
    </row>
    <row r="8" spans="2:10" ht="25.05" customHeight="1">
      <c r="B8" s="48" t="s">
        <v>64</v>
      </c>
      <c r="C8" s="95"/>
      <c r="D8" s="95"/>
      <c r="E8" s="95"/>
      <c r="F8" s="95"/>
      <c r="G8" s="95"/>
      <c r="H8" s="95"/>
      <c r="I8" s="95"/>
      <c r="J8" s="95"/>
    </row>
    <row r="9" spans="2:10" ht="25.05" customHeight="1">
      <c r="B9" s="48" t="s">
        <v>167</v>
      </c>
      <c r="C9" s="95"/>
      <c r="D9" s="95"/>
      <c r="E9" s="95"/>
      <c r="F9" s="95"/>
      <c r="G9" s="95"/>
      <c r="H9" s="95"/>
      <c r="I9" s="95"/>
      <c r="J9" s="95"/>
    </row>
    <row r="10" spans="2:10" ht="25.05" customHeight="1"/>
    <row r="11" spans="2:10" ht="25.05" customHeight="1"/>
    <row r="17" ht="14.1" customHeight="1"/>
    <row r="18" ht="14.1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0C0BE-55C4-4E46-AEBD-A047ADDF1343}">
  <dimension ref="B2:F11"/>
  <sheetViews>
    <sheetView zoomScale="70" zoomScaleNormal="70" workbookViewId="0">
      <selection activeCell="J6" sqref="J6"/>
    </sheetView>
  </sheetViews>
  <sheetFormatPr defaultColWidth="9" defaultRowHeight="14.1"/>
  <cols>
    <col min="1" max="1" width="2.59765625" style="1" customWidth="1"/>
    <col min="2" max="2" width="9" style="1"/>
    <col min="3" max="4" width="40.046875" style="1" bestFit="1" customWidth="1"/>
    <col min="5" max="5" width="9.546875" style="1" bestFit="1" customWidth="1"/>
    <col min="6" max="6" width="6.796875" style="1" bestFit="1" customWidth="1"/>
    <col min="7" max="7" width="12.59765625" style="1" customWidth="1"/>
    <col min="8" max="22" width="9" style="1"/>
    <col min="23" max="23" width="8.6484375" style="1" bestFit="1" customWidth="1"/>
    <col min="24" max="16384" width="9" style="1"/>
  </cols>
  <sheetData>
    <row r="2" spans="2:6" ht="30" customHeight="1">
      <c r="B2" s="99" t="s">
        <v>176</v>
      </c>
      <c r="C2" s="100"/>
      <c r="D2" s="100"/>
      <c r="E2" s="100"/>
      <c r="F2" s="101"/>
    </row>
    <row r="3" spans="2:6" ht="15" customHeight="1">
      <c r="B3" s="102"/>
      <c r="C3" s="91"/>
      <c r="D3" s="91"/>
      <c r="E3" s="91"/>
      <c r="F3" s="103"/>
    </row>
    <row r="4" spans="2:6" ht="25.05" customHeight="1">
      <c r="B4" s="96" t="s">
        <v>16</v>
      </c>
      <c r="C4" s="97" t="s">
        <v>61</v>
      </c>
      <c r="D4" s="97" t="s">
        <v>23</v>
      </c>
      <c r="E4" s="97" t="s">
        <v>36</v>
      </c>
      <c r="F4" s="96" t="s">
        <v>62</v>
      </c>
    </row>
    <row r="5" spans="2:6" ht="25.05" customHeight="1">
      <c r="B5" s="96"/>
      <c r="C5" s="97" t="s">
        <v>56</v>
      </c>
      <c r="D5" s="97" t="s">
        <v>56</v>
      </c>
      <c r="E5" s="97" t="s">
        <v>56</v>
      </c>
      <c r="F5" s="96"/>
    </row>
    <row r="6" spans="2:6" ht="25.05" customHeight="1">
      <c r="B6" s="97" t="s">
        <v>63</v>
      </c>
      <c r="C6" s="97"/>
      <c r="D6" s="97"/>
      <c r="E6" s="97">
        <f>C6-D6</f>
        <v>0</v>
      </c>
      <c r="F6" s="97"/>
    </row>
    <row r="7" spans="2:6" ht="25.05" customHeight="1">
      <c r="B7" s="97" t="s">
        <v>64</v>
      </c>
      <c r="C7" s="97"/>
      <c r="D7" s="97"/>
      <c r="E7" s="97">
        <f>C7-D7</f>
        <v>0</v>
      </c>
      <c r="F7" s="97"/>
    </row>
    <row r="8" spans="2:6" ht="25.05" customHeight="1">
      <c r="B8" s="98" t="s">
        <v>65</v>
      </c>
      <c r="C8" s="98"/>
      <c r="D8" s="98"/>
      <c r="E8" s="98">
        <f>C8-D8</f>
        <v>0</v>
      </c>
      <c r="F8" s="98"/>
    </row>
    <row r="11" spans="2:6">
      <c r="D11" s="76"/>
      <c r="E11" s="76"/>
      <c r="F11" s="76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54765-2F12-481A-9848-0C6D93ECED61}">
  <sheetPr>
    <tabColor rgb="FF00B050"/>
  </sheetPr>
  <dimension ref="B2:P7"/>
  <sheetViews>
    <sheetView workbookViewId="0">
      <selection activeCell="B2" sqref="B2:P3"/>
    </sheetView>
  </sheetViews>
  <sheetFormatPr defaultColWidth="9" defaultRowHeight="12.6"/>
  <cols>
    <col min="1" max="1" width="2" style="2" customWidth="1"/>
    <col min="2" max="2" width="16.19921875" style="2" customWidth="1"/>
    <col min="3" max="3" width="15.6484375" style="2" bestFit="1" customWidth="1"/>
    <col min="4" max="14" width="6.59765625" style="2" customWidth="1"/>
    <col min="15" max="16" width="7.59765625" style="2" customWidth="1"/>
    <col min="17" max="16384" width="9" style="2"/>
  </cols>
  <sheetData>
    <row r="2" spans="2:16" ht="30" customHeight="1">
      <c r="B2" s="90" t="s">
        <v>177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</row>
    <row r="3" spans="2:16" ht="15" customHeight="1"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104" t="s">
        <v>79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6"/>
    </row>
    <row r="6" spans="2:16" ht="60" customHeight="1">
      <c r="B6" s="105" t="s">
        <v>80</v>
      </c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6"/>
    </row>
    <row r="7" spans="2:16" ht="25.0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4D530-4977-4F6A-B6E4-BE4620A0F189}">
  <sheetPr>
    <tabColor rgb="FF00B050"/>
  </sheetPr>
  <dimension ref="B2:M25"/>
  <sheetViews>
    <sheetView zoomScale="85" zoomScaleNormal="85" workbookViewId="0">
      <selection activeCell="M20" sqref="M20"/>
    </sheetView>
  </sheetViews>
  <sheetFormatPr defaultColWidth="9" defaultRowHeight="12.6"/>
  <cols>
    <col min="1" max="1" width="1.84765625" style="2" customWidth="1"/>
    <col min="2" max="2" width="10.59765625" style="2" customWidth="1"/>
    <col min="3" max="3" width="9" style="2"/>
    <col min="4" max="4" width="15.94921875" style="2" bestFit="1" customWidth="1"/>
    <col min="5" max="16384" width="9" style="2"/>
  </cols>
  <sheetData>
    <row r="2" spans="2:13" ht="30" customHeight="1">
      <c r="B2" s="92" t="s">
        <v>178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</row>
    <row r="3" spans="2:13" ht="30" customHeight="1">
      <c r="B3" s="93" t="s">
        <v>133</v>
      </c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</row>
    <row r="4" spans="2:13" ht="10.050000000000001" customHeight="1">
      <c r="B4" s="106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</row>
    <row r="5" spans="2:13" ht="20.100000000000001" customHeight="1">
      <c r="B5" s="109" t="s">
        <v>117</v>
      </c>
      <c r="C5" s="110"/>
      <c r="D5" s="111"/>
      <c r="E5" s="111"/>
      <c r="F5" s="111"/>
      <c r="G5" s="111"/>
      <c r="H5" s="111"/>
      <c r="I5" s="111"/>
      <c r="J5" s="111"/>
      <c r="K5" s="112" t="s">
        <v>127</v>
      </c>
      <c r="L5" s="112" t="s">
        <v>126</v>
      </c>
      <c r="M5" s="112" t="s">
        <v>128</v>
      </c>
    </row>
    <row r="6" spans="2:13" ht="20.100000000000001" customHeight="1">
      <c r="B6" s="109" t="s">
        <v>118</v>
      </c>
      <c r="C6" s="110"/>
      <c r="D6" s="111" t="s">
        <v>122</v>
      </c>
      <c r="E6" s="111" t="s">
        <v>123</v>
      </c>
      <c r="F6" s="111" t="s">
        <v>124</v>
      </c>
      <c r="G6" s="111" t="s">
        <v>125</v>
      </c>
      <c r="H6" s="111" t="s">
        <v>119</v>
      </c>
      <c r="I6" s="111" t="s">
        <v>120</v>
      </c>
      <c r="J6" s="111" t="s">
        <v>121</v>
      </c>
      <c r="K6" s="110"/>
      <c r="L6" s="110"/>
      <c r="M6" s="110"/>
    </row>
    <row r="7" spans="2:13" ht="20.100000000000001" customHeight="1">
      <c r="B7" s="113" t="s">
        <v>129</v>
      </c>
      <c r="C7" s="114"/>
      <c r="D7" s="114"/>
      <c r="E7" s="114"/>
      <c r="F7" s="114"/>
      <c r="G7" s="114"/>
      <c r="H7" s="114"/>
      <c r="I7" s="114"/>
      <c r="J7" s="114"/>
      <c r="K7" s="114"/>
      <c r="L7" s="114"/>
      <c r="M7" s="114"/>
    </row>
    <row r="8" spans="2:13" ht="20.100000000000001" customHeight="1">
      <c r="B8" s="111" t="s">
        <v>21</v>
      </c>
      <c r="C8" s="111" t="s">
        <v>56</v>
      </c>
      <c r="D8" s="115"/>
      <c r="E8" s="111"/>
      <c r="F8" s="111"/>
      <c r="G8" s="111"/>
      <c r="H8" s="111"/>
      <c r="I8" s="111"/>
      <c r="J8" s="111"/>
      <c r="K8" s="111"/>
      <c r="L8" s="111"/>
      <c r="M8" s="111">
        <f>K8-L8</f>
        <v>0</v>
      </c>
    </row>
    <row r="9" spans="2:13" ht="20.100000000000001" customHeight="1">
      <c r="B9" s="111" t="s">
        <v>94</v>
      </c>
      <c r="C9" s="111" t="s">
        <v>86</v>
      </c>
      <c r="D9" s="115"/>
      <c r="E9" s="111"/>
      <c r="F9" s="111"/>
      <c r="G9" s="111"/>
      <c r="H9" s="111"/>
      <c r="I9" s="111"/>
      <c r="J9" s="111"/>
      <c r="K9" s="111"/>
      <c r="L9" s="111"/>
      <c r="M9" s="111">
        <f t="shared" ref="M9:M10" si="0">K9-L9</f>
        <v>0</v>
      </c>
    </row>
    <row r="10" spans="2:13" ht="20.100000000000001" customHeight="1">
      <c r="B10" s="111" t="s">
        <v>44</v>
      </c>
      <c r="C10" s="111" t="s">
        <v>12</v>
      </c>
      <c r="D10" s="115"/>
      <c r="E10" s="111"/>
      <c r="F10" s="111"/>
      <c r="G10" s="111"/>
      <c r="H10" s="111"/>
      <c r="I10" s="111"/>
      <c r="J10" s="111"/>
      <c r="K10" s="111"/>
      <c r="L10" s="111"/>
      <c r="M10" s="111">
        <f t="shared" si="0"/>
        <v>0</v>
      </c>
    </row>
    <row r="11" spans="2:13" ht="20.100000000000001" customHeight="1">
      <c r="B11" s="113" t="s">
        <v>130</v>
      </c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</row>
    <row r="12" spans="2:13" ht="20.100000000000001" customHeight="1">
      <c r="B12" s="111" t="s">
        <v>21</v>
      </c>
      <c r="C12" s="111" t="s">
        <v>56</v>
      </c>
      <c r="D12" s="111"/>
      <c r="E12" s="111"/>
      <c r="F12" s="111"/>
      <c r="G12" s="111"/>
      <c r="H12" s="111"/>
      <c r="I12" s="111"/>
      <c r="J12" s="111"/>
      <c r="K12" s="111"/>
      <c r="L12" s="111"/>
      <c r="M12" s="111">
        <f>K12-L12</f>
        <v>0</v>
      </c>
    </row>
    <row r="13" spans="2:13" ht="20.100000000000001" customHeight="1">
      <c r="B13" s="111" t="s">
        <v>57</v>
      </c>
      <c r="C13" s="111" t="s">
        <v>56</v>
      </c>
      <c r="D13" s="111"/>
      <c r="E13" s="111"/>
      <c r="F13" s="111"/>
      <c r="G13" s="111"/>
      <c r="H13" s="111"/>
      <c r="I13" s="111"/>
      <c r="J13" s="111"/>
      <c r="K13" s="111"/>
      <c r="L13" s="111"/>
      <c r="M13" s="111">
        <f t="shared" ref="M13:M15" si="1">K13-L13</f>
        <v>0</v>
      </c>
    </row>
    <row r="14" spans="2:13" ht="20.100000000000001" customHeight="1">
      <c r="B14" s="111" t="s">
        <v>58</v>
      </c>
      <c r="C14" s="111" t="s">
        <v>56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>
        <f t="shared" si="1"/>
        <v>0</v>
      </c>
    </row>
    <row r="15" spans="2:13" ht="20.100000000000001" customHeight="1">
      <c r="B15" s="111" t="s">
        <v>59</v>
      </c>
      <c r="C15" s="111" t="s">
        <v>56</v>
      </c>
      <c r="D15" s="111"/>
      <c r="E15" s="111"/>
      <c r="F15" s="111"/>
      <c r="G15" s="111"/>
      <c r="H15" s="111"/>
      <c r="I15" s="111"/>
      <c r="J15" s="111"/>
      <c r="K15" s="111"/>
      <c r="L15" s="111"/>
      <c r="M15" s="111">
        <f t="shared" si="1"/>
        <v>0</v>
      </c>
    </row>
    <row r="16" spans="2:13" ht="20.100000000000001" customHeight="1">
      <c r="B16" s="113" t="s">
        <v>170</v>
      </c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</row>
    <row r="17" spans="2:13" ht="20.100000000000001" customHeight="1">
      <c r="B17" s="111" t="s">
        <v>131</v>
      </c>
      <c r="C17" s="111" t="s">
        <v>56</v>
      </c>
      <c r="D17" s="111"/>
      <c r="E17" s="111"/>
      <c r="F17" s="111"/>
      <c r="G17" s="111"/>
      <c r="H17" s="111"/>
      <c r="I17" s="111"/>
      <c r="J17" s="111"/>
      <c r="K17" s="111"/>
      <c r="L17" s="111"/>
      <c r="M17" s="111"/>
    </row>
    <row r="18" spans="2:13" ht="20.100000000000001" customHeight="1">
      <c r="B18" s="111" t="s">
        <v>132</v>
      </c>
      <c r="C18" s="111" t="s">
        <v>113</v>
      </c>
      <c r="D18" s="111"/>
      <c r="E18" s="111"/>
      <c r="F18" s="111"/>
      <c r="G18" s="111"/>
      <c r="H18" s="111"/>
      <c r="I18" s="111"/>
      <c r="J18" s="111"/>
      <c r="K18" s="111"/>
      <c r="L18" s="111"/>
      <c r="M18" s="111">
        <f>K18-L18</f>
        <v>0</v>
      </c>
    </row>
    <row r="19" spans="2:13" ht="20.100000000000001" customHeight="1">
      <c r="B19" s="113" t="s">
        <v>171</v>
      </c>
      <c r="C19" s="114"/>
      <c r="D19" s="114"/>
      <c r="E19" s="114"/>
      <c r="F19" s="114"/>
      <c r="G19" s="114"/>
      <c r="H19" s="114"/>
      <c r="I19" s="114"/>
      <c r="J19" s="114"/>
      <c r="K19" s="114"/>
      <c r="L19" s="114"/>
      <c r="M19" s="114"/>
    </row>
    <row r="20" spans="2:13" ht="20.100000000000001" customHeight="1">
      <c r="B20" s="111" t="s">
        <v>21</v>
      </c>
      <c r="C20" s="111" t="s">
        <v>56</v>
      </c>
      <c r="D20" s="115"/>
      <c r="E20" s="111"/>
      <c r="F20" s="111"/>
      <c r="G20" s="111"/>
      <c r="H20" s="111"/>
      <c r="I20" s="111"/>
      <c r="J20" s="111"/>
      <c r="K20" s="111"/>
      <c r="L20" s="111"/>
      <c r="M20" s="111">
        <f>K20-L20</f>
        <v>0</v>
      </c>
    </row>
    <row r="21" spans="2:13" ht="20.100000000000001" customHeight="1">
      <c r="D21" s="1"/>
    </row>
    <row r="22" spans="2:13" ht="20.100000000000001" customHeight="1"/>
    <row r="23" spans="2:13" ht="20.100000000000001" customHeight="1"/>
    <row r="24" spans="2:13" ht="20.100000000000001" customHeight="1"/>
    <row r="25" spans="2:13" ht="20.100000000000001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D152C-D8F7-4462-9CE2-42DBA1287E35}">
  <dimension ref="A2:I17"/>
  <sheetViews>
    <sheetView workbookViewId="0">
      <selection activeCell="C13" sqref="C13:D13"/>
    </sheetView>
  </sheetViews>
  <sheetFormatPr defaultColWidth="9" defaultRowHeight="12.6"/>
  <cols>
    <col min="1" max="1" width="1.34765625" style="2" customWidth="1"/>
    <col min="2" max="2" width="9" style="2"/>
    <col min="3" max="3" width="35.19921875" style="2" bestFit="1" customWidth="1"/>
    <col min="4" max="7" width="12.59765625" style="2" customWidth="1"/>
    <col min="8" max="16384" width="9" style="2"/>
  </cols>
  <sheetData>
    <row r="2" spans="1:9" ht="30" customHeight="1">
      <c r="A2" s="116"/>
      <c r="B2" s="119" t="s">
        <v>179</v>
      </c>
      <c r="C2" s="119"/>
      <c r="D2" s="119"/>
      <c r="E2" s="119"/>
      <c r="F2" s="119"/>
      <c r="G2" s="119"/>
      <c r="H2" s="116"/>
      <c r="I2" s="116"/>
    </row>
    <row r="3" spans="1:9" ht="15" customHeight="1">
      <c r="A3" s="116"/>
      <c r="B3" s="109"/>
      <c r="C3" s="109"/>
      <c r="D3" s="109"/>
      <c r="E3" s="109"/>
      <c r="F3" s="109"/>
      <c r="G3" s="109"/>
      <c r="H3" s="116"/>
      <c r="I3" s="116"/>
    </row>
    <row r="4" spans="1:9" ht="15.75" customHeight="1">
      <c r="A4" s="116"/>
      <c r="B4" s="109" t="s">
        <v>91</v>
      </c>
      <c r="C4" s="109"/>
      <c r="D4" s="109"/>
      <c r="E4" s="109"/>
      <c r="F4" s="109"/>
      <c r="G4" s="109"/>
      <c r="H4" s="116"/>
      <c r="I4" s="116"/>
    </row>
    <row r="5" spans="1:9" ht="25.05" customHeight="1">
      <c r="A5" s="116"/>
      <c r="B5" s="95" t="s">
        <v>39</v>
      </c>
      <c r="C5" s="95" t="s">
        <v>82</v>
      </c>
      <c r="D5" s="95" t="s">
        <v>83</v>
      </c>
      <c r="E5" s="95" t="s">
        <v>84</v>
      </c>
      <c r="F5" s="95" t="s">
        <v>85</v>
      </c>
      <c r="G5" s="95" t="s">
        <v>87</v>
      </c>
      <c r="H5" s="116"/>
      <c r="I5" s="116"/>
    </row>
    <row r="6" spans="1:9" ht="25.05" customHeight="1">
      <c r="A6" s="116"/>
      <c r="B6" s="95" t="s">
        <v>40</v>
      </c>
      <c r="C6" s="95" t="s">
        <v>10</v>
      </c>
      <c r="D6" s="95" t="s">
        <v>10</v>
      </c>
      <c r="E6" s="95" t="s">
        <v>12</v>
      </c>
      <c r="F6" s="95" t="s">
        <v>86</v>
      </c>
      <c r="G6" s="95" t="s">
        <v>88</v>
      </c>
      <c r="H6" s="116"/>
      <c r="I6" s="116"/>
    </row>
    <row r="7" spans="1:9" ht="25.05" customHeight="1">
      <c r="A7" s="116"/>
      <c r="B7" s="95" t="s">
        <v>81</v>
      </c>
      <c r="C7" s="95">
        <v>0.16600000000000001</v>
      </c>
      <c r="D7" s="95">
        <v>0.04</v>
      </c>
      <c r="E7" s="120">
        <f>C7/D7</f>
        <v>4.1500000000000004</v>
      </c>
      <c r="F7" s="95">
        <v>1.17</v>
      </c>
      <c r="G7" s="95" t="s">
        <v>89</v>
      </c>
      <c r="H7" s="116"/>
      <c r="I7" s="116"/>
    </row>
    <row r="8" spans="1:9" ht="25.05" customHeight="1">
      <c r="A8" s="116"/>
      <c r="B8" s="95" t="s">
        <v>168</v>
      </c>
      <c r="C8" s="95"/>
      <c r="D8" s="95"/>
      <c r="E8" s="120"/>
      <c r="F8" s="95"/>
      <c r="G8" s="95"/>
      <c r="H8" s="116"/>
      <c r="I8" s="116"/>
    </row>
    <row r="9" spans="1:9" ht="25.05" customHeight="1">
      <c r="A9" s="116"/>
      <c r="B9" s="95" t="s">
        <v>90</v>
      </c>
      <c r="C9" s="95"/>
      <c r="D9" s="95"/>
      <c r="E9" s="120"/>
      <c r="F9" s="95"/>
      <c r="G9" s="95"/>
      <c r="H9" s="116"/>
      <c r="I9" s="116"/>
    </row>
    <row r="10" spans="1:9" ht="15.75" customHeight="1">
      <c r="A10" s="116"/>
      <c r="B10" s="109" t="s">
        <v>92</v>
      </c>
      <c r="C10" s="109"/>
      <c r="D10" s="109"/>
      <c r="E10" s="109"/>
      <c r="F10" s="109"/>
      <c r="G10" s="109"/>
      <c r="H10" s="116"/>
      <c r="I10" s="116"/>
    </row>
    <row r="11" spans="1:9" ht="25.05" customHeight="1">
      <c r="A11" s="116"/>
      <c r="B11" s="95" t="s">
        <v>39</v>
      </c>
      <c r="C11" s="109" t="s">
        <v>21</v>
      </c>
      <c r="D11" s="109"/>
      <c r="E11" s="95" t="s">
        <v>94</v>
      </c>
      <c r="F11" s="121"/>
      <c r="G11" s="95" t="s">
        <v>93</v>
      </c>
      <c r="H11" s="116"/>
      <c r="I11" s="116"/>
    </row>
    <row r="12" spans="1:9" ht="25.05" customHeight="1">
      <c r="A12" s="116"/>
      <c r="B12" s="95" t="s">
        <v>40</v>
      </c>
      <c r="C12" s="109" t="s">
        <v>56</v>
      </c>
      <c r="D12" s="109"/>
      <c r="E12" s="95" t="s">
        <v>86</v>
      </c>
      <c r="F12" s="121"/>
      <c r="G12" s="95" t="s">
        <v>86</v>
      </c>
      <c r="H12" s="116"/>
      <c r="I12" s="116"/>
    </row>
    <row r="13" spans="1:9" ht="25.05" customHeight="1">
      <c r="A13" s="116"/>
      <c r="B13" s="95" t="s">
        <v>34</v>
      </c>
      <c r="C13" s="109"/>
      <c r="D13" s="109"/>
      <c r="E13" s="95"/>
      <c r="F13" s="121"/>
      <c r="G13" s="95"/>
      <c r="H13" s="116"/>
      <c r="I13" s="116"/>
    </row>
    <row r="14" spans="1:9" ht="25.05" customHeight="1">
      <c r="A14" s="116"/>
      <c r="B14" s="95" t="s">
        <v>35</v>
      </c>
      <c r="C14" s="109"/>
      <c r="D14" s="109"/>
      <c r="E14" s="95"/>
      <c r="F14" s="121"/>
      <c r="G14" s="95"/>
      <c r="H14" s="116"/>
      <c r="I14" s="116"/>
    </row>
    <row r="15" spans="1:9">
      <c r="A15" s="116"/>
      <c r="B15" s="116"/>
      <c r="C15" s="116"/>
      <c r="D15" s="116"/>
      <c r="E15" s="116"/>
      <c r="F15" s="116"/>
      <c r="G15" s="116"/>
      <c r="H15" s="116"/>
      <c r="I15" s="116"/>
    </row>
    <row r="16" spans="1:9">
      <c r="A16" s="116"/>
      <c r="B16" s="116"/>
      <c r="C16" s="116"/>
      <c r="D16" s="116"/>
      <c r="E16" s="116"/>
      <c r="F16" s="116"/>
      <c r="G16" s="116"/>
      <c r="H16" s="116"/>
      <c r="I16" s="116"/>
    </row>
    <row r="17" spans="1:9">
      <c r="A17" s="116"/>
      <c r="B17" s="116"/>
      <c r="C17" s="116"/>
      <c r="D17" s="116"/>
      <c r="E17" s="116"/>
      <c r="F17" s="116"/>
      <c r="G17" s="116"/>
      <c r="H17" s="116"/>
      <c r="I17" s="116"/>
    </row>
  </sheetData>
  <mergeCells count="8">
    <mergeCell ref="B2:G2"/>
    <mergeCell ref="B4:G4"/>
    <mergeCell ref="B10:G10"/>
    <mergeCell ref="C11:D11"/>
    <mergeCell ref="C12:D12"/>
    <mergeCell ref="C13:D13"/>
    <mergeCell ref="C14:D14"/>
    <mergeCell ref="B3:G3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4DA58-4F83-4F74-B5B9-DB0F33CC26DB}">
  <dimension ref="B2:E18"/>
  <sheetViews>
    <sheetView workbookViewId="0">
      <selection activeCell="C7" sqref="C7"/>
    </sheetView>
  </sheetViews>
  <sheetFormatPr defaultColWidth="9" defaultRowHeight="14.1"/>
  <cols>
    <col min="1" max="1" width="2.25" style="1" customWidth="1"/>
    <col min="2" max="5" width="19.59765625" style="1" customWidth="1"/>
    <col min="6" max="6" width="12.59765625" style="1" customWidth="1"/>
    <col min="7" max="16384" width="9" style="1"/>
  </cols>
  <sheetData>
    <row r="2" spans="2:5" ht="30" customHeight="1">
      <c r="B2" s="90" t="s">
        <v>180</v>
      </c>
      <c r="C2" s="90"/>
      <c r="D2" s="90"/>
      <c r="E2" s="90"/>
    </row>
    <row r="3" spans="2:5" ht="15" customHeight="1">
      <c r="B3" s="76"/>
      <c r="C3" s="76"/>
      <c r="D3" s="76"/>
      <c r="E3" s="76"/>
    </row>
    <row r="4" spans="2:5" ht="25.05" customHeight="1">
      <c r="B4" s="77" t="s">
        <v>109</v>
      </c>
      <c r="C4" s="21" t="s">
        <v>108</v>
      </c>
      <c r="D4" s="21" t="s">
        <v>110</v>
      </c>
      <c r="E4" s="78" t="s">
        <v>111</v>
      </c>
    </row>
    <row r="5" spans="2:5" ht="25.05" customHeight="1">
      <c r="B5" s="75"/>
      <c r="C5" s="39" t="s">
        <v>107</v>
      </c>
      <c r="D5" s="39" t="s">
        <v>12</v>
      </c>
      <c r="E5" s="79"/>
    </row>
    <row r="6" spans="2:5" ht="25.05" customHeight="1">
      <c r="B6" s="27" t="s">
        <v>105</v>
      </c>
      <c r="C6" s="39"/>
      <c r="D6" s="39"/>
      <c r="E6" s="40">
        <v>301</v>
      </c>
    </row>
    <row r="7" spans="2:5" ht="25.05" customHeight="1">
      <c r="B7" s="41" t="s">
        <v>106</v>
      </c>
      <c r="C7" s="42"/>
      <c r="D7" s="42"/>
      <c r="E7" s="43">
        <v>301</v>
      </c>
    </row>
    <row r="8" spans="2:5" ht="15" customHeight="1">
      <c r="B8" s="80"/>
      <c r="C8" s="81"/>
      <c r="D8" s="81"/>
      <c r="E8" s="82"/>
    </row>
    <row r="9" spans="2:5" ht="25.05" customHeight="1">
      <c r="B9" s="77" t="s">
        <v>101</v>
      </c>
      <c r="C9" s="21" t="s">
        <v>21</v>
      </c>
      <c r="D9" s="21" t="s">
        <v>94</v>
      </c>
      <c r="E9" s="38" t="s">
        <v>93</v>
      </c>
    </row>
    <row r="10" spans="2:5" ht="25.05" customHeight="1">
      <c r="B10" s="75"/>
      <c r="C10" s="39" t="s">
        <v>56</v>
      </c>
      <c r="D10" s="39" t="s">
        <v>86</v>
      </c>
      <c r="E10" s="40" t="s">
        <v>86</v>
      </c>
    </row>
    <row r="11" spans="2:5" ht="25.05" customHeight="1">
      <c r="B11" s="27" t="s">
        <v>102</v>
      </c>
      <c r="C11" s="118"/>
      <c r="D11" s="118"/>
      <c r="E11" s="117"/>
    </row>
    <row r="12" spans="2:5" ht="25.05" customHeight="1">
      <c r="B12" s="27" t="s">
        <v>103</v>
      </c>
      <c r="C12" s="118"/>
      <c r="D12" s="118"/>
      <c r="E12" s="117"/>
    </row>
    <row r="13" spans="2:5" ht="25.05" customHeight="1">
      <c r="B13" s="41" t="s">
        <v>104</v>
      </c>
      <c r="C13" s="122"/>
      <c r="D13" s="122"/>
      <c r="E13" s="123"/>
    </row>
    <row r="18" ht="14.1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66614-9DD4-4B41-ADB1-C885FD017702}">
  <sheetPr>
    <tabColor rgb="FF00B050"/>
  </sheetPr>
  <dimension ref="B2:F10"/>
  <sheetViews>
    <sheetView workbookViewId="0">
      <selection activeCell="C5" sqref="C5:E5"/>
    </sheetView>
  </sheetViews>
  <sheetFormatPr defaultRowHeight="14.1"/>
  <cols>
    <col min="1" max="1" width="2.59765625" customWidth="1"/>
    <col min="2" max="2" width="20.25" customWidth="1"/>
    <col min="3" max="5" width="15.59765625" customWidth="1"/>
    <col min="6" max="6" width="12.94921875" bestFit="1" customWidth="1"/>
  </cols>
  <sheetData>
    <row r="2" spans="2:6" ht="30" customHeight="1">
      <c r="B2" s="90" t="s">
        <v>181</v>
      </c>
      <c r="C2" s="90"/>
      <c r="D2" s="90"/>
      <c r="E2" s="90"/>
    </row>
    <row r="3" spans="2:6" ht="15" customHeight="1">
      <c r="B3" s="83"/>
      <c r="C3" s="83"/>
      <c r="D3" s="83"/>
      <c r="E3" s="83"/>
    </row>
    <row r="4" spans="2:6" s="1" customFormat="1" ht="25.05" customHeight="1">
      <c r="B4" s="3" t="s">
        <v>98</v>
      </c>
      <c r="C4" s="84"/>
      <c r="D4" s="85"/>
      <c r="E4" s="86"/>
      <c r="F4" s="23" t="s">
        <v>56</v>
      </c>
    </row>
    <row r="5" spans="2:6" s="1" customFormat="1" ht="25.05" customHeight="1">
      <c r="B5" s="24" t="s">
        <v>99</v>
      </c>
      <c r="C5" s="87"/>
      <c r="D5" s="88"/>
      <c r="E5" s="89"/>
      <c r="F5" s="47" t="s">
        <v>100</v>
      </c>
    </row>
    <row r="6" spans="2:6" s="32" customFormat="1" ht="40.299999999999997" customHeight="1">
      <c r="B6" s="50" t="s">
        <v>169</v>
      </c>
      <c r="C6" s="124" t="s">
        <v>22</v>
      </c>
      <c r="D6" s="124" t="s">
        <v>96</v>
      </c>
      <c r="E6" s="124" t="s">
        <v>95</v>
      </c>
      <c r="F6" s="124" t="s">
        <v>97</v>
      </c>
    </row>
    <row r="7" spans="2:6" ht="40.299999999999997" customHeight="1">
      <c r="B7" s="48" t="s">
        <v>33</v>
      </c>
      <c r="C7" s="125"/>
      <c r="D7" s="125"/>
      <c r="E7" s="125"/>
      <c r="F7" s="125"/>
    </row>
    <row r="8" spans="2:6" ht="40.299999999999997" customHeight="1">
      <c r="B8" s="51" t="s">
        <v>34</v>
      </c>
      <c r="C8" s="125"/>
      <c r="D8" s="125"/>
      <c r="E8" s="125"/>
      <c r="F8" s="125"/>
    </row>
    <row r="9" spans="2:6" ht="40.299999999999997" customHeight="1">
      <c r="B9" s="51" t="s">
        <v>35</v>
      </c>
      <c r="C9" s="125"/>
      <c r="D9" s="125"/>
      <c r="E9" s="125"/>
      <c r="F9" s="125"/>
    </row>
    <row r="10" spans="2:6">
      <c r="B10" s="52"/>
      <c r="C10" s="126"/>
      <c r="D10" s="126"/>
      <c r="E10" s="126"/>
      <c r="F10" s="126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A01F1-14F4-4544-A36A-0BE8C70BEFC6}">
  <sheetPr>
    <tabColor rgb="FFFFFF00"/>
  </sheetPr>
  <dimension ref="B2:J10"/>
  <sheetViews>
    <sheetView topLeftCell="D1" zoomScale="70" zoomScaleNormal="70" workbookViewId="0">
      <selection activeCell="P12" sqref="P12"/>
    </sheetView>
  </sheetViews>
  <sheetFormatPr defaultRowHeight="14.1"/>
  <cols>
    <col min="1" max="1" width="2.34765625" customWidth="1"/>
    <col min="2" max="2" width="12.59765625" customWidth="1"/>
    <col min="3" max="10" width="10.59765625" customWidth="1"/>
  </cols>
  <sheetData>
    <row r="2" spans="2:10" ht="30" customHeight="1">
      <c r="B2" s="92" t="s">
        <v>182</v>
      </c>
      <c r="C2" s="92"/>
      <c r="D2" s="92"/>
      <c r="E2" s="92"/>
      <c r="F2" s="92"/>
      <c r="G2" s="92"/>
      <c r="H2" s="92"/>
      <c r="I2" s="92"/>
      <c r="J2" s="92"/>
    </row>
    <row r="3" spans="2:10" ht="25.05" customHeight="1">
      <c r="B3" s="127" t="s">
        <v>116</v>
      </c>
      <c r="C3" s="127"/>
      <c r="D3" s="127"/>
      <c r="E3" s="127"/>
      <c r="F3" s="127"/>
      <c r="G3" s="127"/>
      <c r="H3" s="127"/>
      <c r="I3" s="127"/>
      <c r="J3" s="127"/>
    </row>
    <row r="4" spans="2:10" ht="15" customHeight="1">
      <c r="B4" s="128"/>
      <c r="C4" s="128"/>
      <c r="D4" s="128"/>
      <c r="E4" s="128"/>
      <c r="F4" s="128"/>
      <c r="G4" s="128"/>
      <c r="H4" s="128"/>
      <c r="I4" s="128"/>
      <c r="J4" s="128"/>
    </row>
    <row r="5" spans="2:10" ht="30" customHeight="1">
      <c r="B5" s="129" t="s">
        <v>112</v>
      </c>
      <c r="C5" s="130" t="s">
        <v>144</v>
      </c>
      <c r="D5" s="130" t="s">
        <v>145</v>
      </c>
      <c r="E5" s="130" t="s">
        <v>146</v>
      </c>
      <c r="F5" s="130" t="s">
        <v>147</v>
      </c>
      <c r="G5" s="130" t="s">
        <v>148</v>
      </c>
      <c r="H5" s="130" t="s">
        <v>149</v>
      </c>
      <c r="I5" s="130" t="s">
        <v>151</v>
      </c>
      <c r="J5" s="130" t="s">
        <v>150</v>
      </c>
    </row>
    <row r="6" spans="2:10" ht="25.05" customHeight="1">
      <c r="B6" s="131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.05" customHeight="1">
      <c r="B7" s="94" t="s">
        <v>47</v>
      </c>
      <c r="C7" s="132">
        <v>1.4630000000000001</v>
      </c>
      <c r="D7" s="132">
        <v>0.25</v>
      </c>
      <c r="E7" s="132">
        <v>0.1</v>
      </c>
      <c r="F7" s="132" t="s">
        <v>12</v>
      </c>
      <c r="G7" s="132" t="s">
        <v>12</v>
      </c>
      <c r="H7" s="132" t="s">
        <v>12</v>
      </c>
      <c r="I7" s="133">
        <v>3</v>
      </c>
      <c r="J7" s="133">
        <v>0.57499999999999996</v>
      </c>
    </row>
    <row r="8" spans="2:10" s="1" customFormat="1" ht="25.05" customHeight="1">
      <c r="B8" s="48" t="s">
        <v>33</v>
      </c>
      <c r="C8" s="48"/>
      <c r="D8" s="48"/>
      <c r="E8" s="48"/>
      <c r="F8" s="48"/>
      <c r="G8" s="48"/>
      <c r="H8" s="48"/>
      <c r="I8" s="97"/>
      <c r="J8" s="97"/>
    </row>
    <row r="9" spans="2:10" s="1" customFormat="1" ht="25.05" customHeight="1">
      <c r="B9" s="94" t="s">
        <v>105</v>
      </c>
      <c r="C9" s="94"/>
      <c r="D9" s="94"/>
      <c r="E9" s="94"/>
      <c r="F9" s="94"/>
      <c r="G9" s="94"/>
      <c r="H9" s="94"/>
      <c r="I9" s="98"/>
      <c r="J9" s="98"/>
    </row>
    <row r="10" spans="2:10" s="1" customFormat="1" ht="25.05" customHeight="1">
      <c r="B10" s="48" t="s">
        <v>106</v>
      </c>
      <c r="C10" s="48"/>
      <c r="D10" s="48"/>
      <c r="E10" s="48"/>
      <c r="F10" s="48"/>
      <c r="G10" s="48"/>
      <c r="H10" s="48"/>
      <c r="I10" s="97"/>
      <c r="J10" s="97"/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BC7F2-2724-49D2-A6C0-9BC7BDCF2E1B}">
  <sheetPr>
    <tabColor rgb="FF00B050"/>
  </sheetPr>
  <dimension ref="B2:R30"/>
  <sheetViews>
    <sheetView tabSelected="1" zoomScale="85" zoomScaleNormal="85" workbookViewId="0">
      <selection activeCell="R8" sqref="R8:R9"/>
    </sheetView>
  </sheetViews>
  <sheetFormatPr defaultColWidth="9" defaultRowHeight="12.6"/>
  <cols>
    <col min="1" max="1" width="2.25" style="2" customWidth="1"/>
    <col min="2" max="2" width="10" style="2" bestFit="1" customWidth="1"/>
    <col min="3" max="9" width="5.59765625" style="2" customWidth="1"/>
    <col min="10" max="11" width="8.59765625" style="2" customWidth="1"/>
    <col min="12" max="12" width="16" style="2" bestFit="1" customWidth="1"/>
    <col min="13" max="13" width="10.59765625" style="2" customWidth="1"/>
    <col min="14" max="15" width="6.59765625" style="2" customWidth="1"/>
    <col min="16" max="17" width="5.59765625" style="2" customWidth="1"/>
    <col min="18" max="18" width="21.75" style="2" customWidth="1"/>
    <col min="19" max="16384" width="9" style="2"/>
  </cols>
  <sheetData>
    <row r="2" spans="2:18" ht="30" customHeight="1">
      <c r="B2" s="92" t="s">
        <v>183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spans="2:18" ht="30" customHeight="1">
      <c r="B3" s="134" t="s">
        <v>184</v>
      </c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  <c r="O3" s="134"/>
      <c r="P3" s="134"/>
      <c r="Q3" s="134"/>
      <c r="R3" s="134"/>
    </row>
    <row r="4" spans="2:18" ht="10.050000000000001" customHeight="1">
      <c r="B4" s="106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</row>
    <row r="5" spans="2:18" ht="15.6" customHeight="1">
      <c r="B5" s="48" t="s">
        <v>117</v>
      </c>
      <c r="C5" s="93" t="s">
        <v>134</v>
      </c>
      <c r="D5" s="108" t="s">
        <v>156</v>
      </c>
      <c r="E5" s="93"/>
      <c r="F5" s="108" t="s">
        <v>157</v>
      </c>
      <c r="G5" s="93"/>
      <c r="H5" s="108" t="s">
        <v>158</v>
      </c>
      <c r="I5" s="93"/>
      <c r="J5" s="108" t="s">
        <v>159</v>
      </c>
      <c r="K5" s="93"/>
      <c r="L5" s="108" t="s">
        <v>160</v>
      </c>
      <c r="M5" s="93" t="s">
        <v>161</v>
      </c>
      <c r="N5" s="93" t="s">
        <v>132</v>
      </c>
      <c r="O5" s="93"/>
      <c r="P5" s="93" t="s">
        <v>163</v>
      </c>
      <c r="Q5" s="93"/>
      <c r="R5" s="93" t="s">
        <v>62</v>
      </c>
    </row>
    <row r="6" spans="2:18" ht="15.6" customHeight="1">
      <c r="B6" s="135">
        <v>45992</v>
      </c>
      <c r="C6" s="93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</row>
    <row r="7" spans="2:18" ht="14.1">
      <c r="B7" s="96"/>
      <c r="C7" s="96"/>
      <c r="D7" s="93" t="s">
        <v>152</v>
      </c>
      <c r="E7" s="96"/>
      <c r="F7" s="93" t="s">
        <v>153</v>
      </c>
      <c r="G7" s="96"/>
      <c r="H7" s="93" t="s">
        <v>154</v>
      </c>
      <c r="I7" s="96"/>
      <c r="J7" s="93" t="s">
        <v>155</v>
      </c>
      <c r="K7" s="96"/>
      <c r="L7" s="96"/>
      <c r="M7" s="48" t="s">
        <v>162</v>
      </c>
      <c r="N7" s="93" t="s">
        <v>162</v>
      </c>
      <c r="O7" s="96"/>
      <c r="P7" s="93" t="s">
        <v>56</v>
      </c>
      <c r="Q7" s="96"/>
      <c r="R7" s="96"/>
    </row>
    <row r="8" spans="2:18" ht="15.6" customHeight="1">
      <c r="B8" s="136" t="s">
        <v>135</v>
      </c>
      <c r="C8" s="137" t="s">
        <v>142</v>
      </c>
      <c r="D8" s="137"/>
      <c r="E8" s="136"/>
      <c r="F8" s="137"/>
      <c r="G8" s="136"/>
      <c r="H8" s="137"/>
      <c r="I8" s="136"/>
      <c r="J8" s="137"/>
      <c r="K8" s="136"/>
      <c r="L8" s="136"/>
      <c r="M8" s="95"/>
      <c r="N8" s="95"/>
      <c r="O8" s="109"/>
      <c r="P8" s="95"/>
      <c r="Q8" s="109"/>
      <c r="R8" s="109"/>
    </row>
    <row r="9" spans="2:18" ht="15.6" customHeight="1">
      <c r="B9" s="138"/>
      <c r="C9" s="137" t="s">
        <v>143</v>
      </c>
      <c r="D9" s="137"/>
      <c r="E9" s="138"/>
      <c r="F9" s="137"/>
      <c r="G9" s="138"/>
      <c r="H9" s="137"/>
      <c r="I9" s="96"/>
      <c r="J9" s="137"/>
      <c r="K9" s="96"/>
      <c r="L9" s="96"/>
      <c r="M9" s="95"/>
      <c r="N9" s="95"/>
      <c r="O9" s="139"/>
      <c r="P9" s="95"/>
      <c r="Q9" s="139"/>
      <c r="R9" s="139"/>
    </row>
    <row r="10" spans="2:18" ht="15.6" customHeight="1">
      <c r="B10" s="93" t="s">
        <v>136</v>
      </c>
      <c r="C10" s="48" t="s">
        <v>142</v>
      </c>
      <c r="D10" s="48"/>
      <c r="E10" s="93"/>
      <c r="F10" s="48"/>
      <c r="G10" s="93"/>
      <c r="H10" s="48"/>
      <c r="I10" s="93"/>
      <c r="J10" s="48"/>
      <c r="K10" s="93"/>
      <c r="L10" s="93"/>
      <c r="M10" s="95"/>
      <c r="N10" s="95"/>
      <c r="O10" s="109"/>
      <c r="P10" s="95"/>
      <c r="Q10" s="109"/>
      <c r="R10" s="109"/>
    </row>
    <row r="11" spans="2:18" ht="15.6" customHeight="1">
      <c r="B11" s="96"/>
      <c r="C11" s="48" t="s">
        <v>143</v>
      </c>
      <c r="D11" s="48"/>
      <c r="E11" s="96"/>
      <c r="F11" s="48"/>
      <c r="G11" s="96"/>
      <c r="H11" s="48"/>
      <c r="I11" s="96"/>
      <c r="J11" s="48"/>
      <c r="K11" s="96"/>
      <c r="L11" s="96"/>
      <c r="M11" s="95"/>
      <c r="N11" s="95"/>
      <c r="O11" s="139"/>
      <c r="P11" s="95"/>
      <c r="Q11" s="139"/>
      <c r="R11" s="139"/>
    </row>
    <row r="12" spans="2:18" ht="15.6" customHeight="1">
      <c r="B12" s="136" t="s">
        <v>137</v>
      </c>
      <c r="C12" s="137" t="s">
        <v>142</v>
      </c>
      <c r="D12" s="137"/>
      <c r="E12" s="136"/>
      <c r="F12" s="137"/>
      <c r="G12" s="136"/>
      <c r="H12" s="137"/>
      <c r="I12" s="136"/>
      <c r="J12" s="137"/>
      <c r="K12" s="136"/>
      <c r="L12" s="136"/>
      <c r="M12" s="95"/>
      <c r="N12" s="95"/>
      <c r="O12" s="109"/>
      <c r="P12" s="95"/>
      <c r="Q12" s="109"/>
      <c r="R12" s="109"/>
    </row>
    <row r="13" spans="2:18" ht="15.6" customHeight="1">
      <c r="B13" s="138"/>
      <c r="C13" s="137" t="s">
        <v>143</v>
      </c>
      <c r="D13" s="137"/>
      <c r="E13" s="138"/>
      <c r="F13" s="137"/>
      <c r="G13" s="138"/>
      <c r="H13" s="137"/>
      <c r="I13" s="96"/>
      <c r="J13" s="137"/>
      <c r="K13" s="96"/>
      <c r="L13" s="96"/>
      <c r="M13" s="95"/>
      <c r="N13" s="95"/>
      <c r="O13" s="139"/>
      <c r="P13" s="95"/>
      <c r="Q13" s="139"/>
      <c r="R13" s="139"/>
    </row>
    <row r="14" spans="2:18" ht="15.6" customHeight="1">
      <c r="B14" s="93" t="s">
        <v>138</v>
      </c>
      <c r="C14" s="48" t="s">
        <v>142</v>
      </c>
      <c r="D14" s="48"/>
      <c r="E14" s="93"/>
      <c r="F14" s="48"/>
      <c r="G14" s="93"/>
      <c r="H14" s="48"/>
      <c r="I14" s="93"/>
      <c r="J14" s="48"/>
      <c r="K14" s="93"/>
      <c r="L14" s="93"/>
      <c r="M14" s="95"/>
      <c r="N14" s="95"/>
      <c r="O14" s="109"/>
      <c r="P14" s="95"/>
      <c r="Q14" s="109"/>
      <c r="R14" s="109"/>
    </row>
    <row r="15" spans="2:18" ht="15.6" customHeight="1">
      <c r="B15" s="96"/>
      <c r="C15" s="48" t="s">
        <v>143</v>
      </c>
      <c r="D15" s="48"/>
      <c r="E15" s="96"/>
      <c r="F15" s="48"/>
      <c r="G15" s="96"/>
      <c r="H15" s="48"/>
      <c r="I15" s="96"/>
      <c r="J15" s="48"/>
      <c r="K15" s="96"/>
      <c r="L15" s="96"/>
      <c r="M15" s="95"/>
      <c r="N15" s="95"/>
      <c r="O15" s="139"/>
      <c r="P15" s="95"/>
      <c r="Q15" s="139"/>
      <c r="R15" s="139"/>
    </row>
    <row r="16" spans="2:18" ht="15.6" customHeight="1">
      <c r="B16" s="136" t="s">
        <v>139</v>
      </c>
      <c r="C16" s="137" t="s">
        <v>142</v>
      </c>
      <c r="D16" s="137"/>
      <c r="E16" s="136"/>
      <c r="F16" s="137"/>
      <c r="G16" s="136"/>
      <c r="H16" s="137"/>
      <c r="I16" s="136"/>
      <c r="J16" s="137"/>
      <c r="K16" s="136"/>
      <c r="L16" s="136"/>
      <c r="M16" s="95"/>
      <c r="N16" s="95"/>
      <c r="O16" s="109"/>
      <c r="P16" s="95"/>
      <c r="Q16" s="95"/>
      <c r="R16" s="109"/>
    </row>
    <row r="17" spans="2:18" ht="15.6" customHeight="1">
      <c r="B17" s="138"/>
      <c r="C17" s="137" t="s">
        <v>143</v>
      </c>
      <c r="D17" s="137"/>
      <c r="E17" s="138"/>
      <c r="F17" s="137"/>
      <c r="G17" s="138"/>
      <c r="H17" s="137"/>
      <c r="I17" s="96"/>
      <c r="J17" s="137"/>
      <c r="K17" s="96"/>
      <c r="L17" s="96"/>
      <c r="M17" s="95"/>
      <c r="N17" s="95"/>
      <c r="O17" s="139"/>
      <c r="P17" s="95"/>
      <c r="Q17" s="95"/>
      <c r="R17" s="139"/>
    </row>
    <row r="18" spans="2:18" ht="15.6" customHeight="1">
      <c r="B18" s="93" t="s">
        <v>140</v>
      </c>
      <c r="C18" s="48" t="s">
        <v>142</v>
      </c>
      <c r="D18" s="48"/>
      <c r="E18" s="93"/>
      <c r="F18" s="48"/>
      <c r="G18" s="93"/>
      <c r="H18" s="48"/>
      <c r="I18" s="93"/>
      <c r="J18" s="48"/>
      <c r="K18" s="93"/>
      <c r="L18" s="93"/>
      <c r="M18" s="95"/>
      <c r="N18" s="95"/>
      <c r="O18" s="109"/>
      <c r="P18" s="95"/>
      <c r="Q18" s="109"/>
      <c r="R18" s="109"/>
    </row>
    <row r="19" spans="2:18" ht="15.6" customHeight="1">
      <c r="B19" s="96"/>
      <c r="C19" s="48" t="s">
        <v>143</v>
      </c>
      <c r="D19" s="48"/>
      <c r="E19" s="96"/>
      <c r="F19" s="48"/>
      <c r="G19" s="96"/>
      <c r="H19" s="48"/>
      <c r="I19" s="96"/>
      <c r="J19" s="48"/>
      <c r="K19" s="96"/>
      <c r="L19" s="96"/>
      <c r="M19" s="95"/>
      <c r="N19" s="95"/>
      <c r="O19" s="139"/>
      <c r="P19" s="95"/>
      <c r="Q19" s="139"/>
      <c r="R19" s="139"/>
    </row>
    <row r="20" spans="2:18" ht="15.6" customHeight="1">
      <c r="B20" s="136" t="s">
        <v>141</v>
      </c>
      <c r="C20" s="137" t="s">
        <v>142</v>
      </c>
      <c r="D20" s="137"/>
      <c r="E20" s="136"/>
      <c r="F20" s="137"/>
      <c r="G20" s="136"/>
      <c r="H20" s="137"/>
      <c r="I20" s="136"/>
      <c r="J20" s="137"/>
      <c r="K20" s="136"/>
      <c r="L20" s="136"/>
      <c r="M20" s="95"/>
      <c r="N20" s="95"/>
      <c r="O20" s="109"/>
      <c r="P20" s="95"/>
      <c r="Q20" s="109"/>
      <c r="R20" s="109"/>
    </row>
    <row r="21" spans="2:18" ht="15.6" customHeight="1">
      <c r="B21" s="138"/>
      <c r="C21" s="137" t="s">
        <v>143</v>
      </c>
      <c r="D21" s="137"/>
      <c r="E21" s="138"/>
      <c r="F21" s="137"/>
      <c r="G21" s="138"/>
      <c r="H21" s="137"/>
      <c r="I21" s="96"/>
      <c r="J21" s="137"/>
      <c r="K21" s="96"/>
      <c r="L21" s="96"/>
      <c r="M21" s="95"/>
      <c r="N21" s="95"/>
      <c r="O21" s="139"/>
      <c r="P21" s="95"/>
      <c r="Q21" s="139"/>
      <c r="R21" s="139"/>
    </row>
    <row r="22" spans="2:18" ht="15.6" customHeight="1"/>
    <row r="23" spans="2:18" ht="15.6" customHeight="1"/>
    <row r="24" spans="2:18" ht="15.6" customHeight="1"/>
    <row r="25" spans="2:18" ht="15.6" customHeight="1"/>
    <row r="26" spans="2:18" ht="15.6" customHeight="1"/>
    <row r="27" spans="2:18" ht="15.6" customHeight="1"/>
    <row r="28" spans="2:18" ht="15.6" customHeight="1"/>
    <row r="29" spans="2:18" ht="15.6" customHeight="1"/>
    <row r="30" spans="2:18" ht="15.6" customHeight="1"/>
  </sheetData>
  <mergeCells count="82">
    <mergeCell ref="K20:K21"/>
    <mergeCell ref="I20:I21"/>
    <mergeCell ref="I14:I15"/>
    <mergeCell ref="I18:I19"/>
    <mergeCell ref="I16:I17"/>
    <mergeCell ref="K16:K17"/>
    <mergeCell ref="K14:K15"/>
    <mergeCell ref="K18:K19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10:K11"/>
    <mergeCell ref="L10:L11"/>
    <mergeCell ref="O10:O11"/>
    <mergeCell ref="O12:O13"/>
    <mergeCell ref="L12:L13"/>
    <mergeCell ref="K12:K13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20:B21"/>
    <mergeCell ref="B6:B7"/>
    <mergeCell ref="B8:B9"/>
    <mergeCell ref="B10:B11"/>
    <mergeCell ref="B12:B13"/>
    <mergeCell ref="H7:I7"/>
    <mergeCell ref="B14:B15"/>
    <mergeCell ref="B16:B17"/>
    <mergeCell ref="B18:B19"/>
    <mergeCell ref="I10:I11"/>
    <mergeCell ref="I12:I13"/>
    <mergeCell ref="E18:E19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size="14" baseType="lpstr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熊茂盛</dc:creator>
  <cp:lastModifiedBy>曹平</cp:lastModifiedBy>
  <dcterms:created xsi:type="dcterms:W3CDTF">2015-06-05T18:19:34Z</dcterms:created>
  <dcterms:modified xsi:type="dcterms:W3CDTF">2026-04-22T06:28:17Z</dcterms:modified>
</cp:coreProperties>
</file>