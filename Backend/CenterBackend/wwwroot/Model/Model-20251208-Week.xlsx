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NO.03- 国内项目\NO.15- 四川区域\NO.02- 和邦生物\NO.01- 二乙腈中试数智化改造项目\NO.09- 报表系统\NO.01- 新报表系统\"/>
    </mc:Choice>
  </mc:AlternateContent>
  <xr:revisionPtr revIDLastSave="0" documentId="13_ncr:1_{238F311D-EF48-4CF6-94E4-5CB6AB879115}" xr6:coauthVersionLast="47" xr6:coauthVersionMax="47" xr10:uidLastSave="{00000000-0000-0000-0000-000000000000}"/>
  <bookViews>
    <workbookView xWindow="-120" yWindow="-120" windowWidth="25440" windowHeight="15270" tabRatio="964" activeTab="1" xr2:uid="{00000000-000D-0000-FFFF-FFFF00000000}"/>
  </bookViews>
  <sheets>
    <sheet name="第一页" sheetId="1" r:id="rId1"/>
    <sheet name="第二页反应工序" sheetId="2" r:id="rId2"/>
    <sheet name="第三页闪蒸工序" sheetId="5" r:id="rId3"/>
    <sheet name="第四页反应液分析数据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" i="15" l="1"/>
  <c r="C12" i="16" l="1"/>
  <c r="E8" i="7"/>
  <c r="E7" i="7"/>
  <c r="E6" i="7"/>
  <c r="E8" i="6"/>
  <c r="E9" i="6"/>
  <c r="E10" i="6"/>
  <c r="F8" i="6"/>
  <c r="F9" i="6"/>
  <c r="F10" i="6"/>
  <c r="F7" i="6"/>
  <c r="E7" i="6"/>
  <c r="E6" i="6"/>
  <c r="F6" i="6"/>
  <c r="H9" i="3"/>
  <c r="H6" i="3"/>
  <c r="H7" i="3"/>
  <c r="H8" i="3"/>
  <c r="H5" i="3"/>
  <c r="E13" i="16"/>
  <c r="D13" i="16"/>
  <c r="E12" i="16"/>
  <c r="D12" i="16"/>
  <c r="C13" i="16"/>
  <c r="M22" i="15"/>
  <c r="M20" i="15"/>
  <c r="M17" i="15"/>
  <c r="L15" i="15"/>
  <c r="K15" i="15"/>
  <c r="J15" i="15"/>
  <c r="I15" i="15"/>
  <c r="H15" i="15"/>
  <c r="G15" i="15"/>
  <c r="F15" i="15"/>
  <c r="E15" i="15"/>
  <c r="M14" i="15"/>
  <c r="M13" i="15"/>
  <c r="M12" i="15"/>
  <c r="M10" i="15"/>
  <c r="M9" i="15"/>
  <c r="M8" i="15"/>
  <c r="E8" i="9"/>
  <c r="E7" i="9"/>
  <c r="M15" i="1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7" authorId="0" shapeId="0" xr:uid="{139C979D-DC17-4808-B944-AA46C2D8713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D7" authorId="0" shapeId="0" xr:uid="{2667A613-E335-4392-8120-3C7CE62C4BC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E7" authorId="0" shapeId="0" xr:uid="{6639E74B-D12F-4BE3-BED8-B718B5FF8902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F7" authorId="0" shapeId="0" xr:uid="{13741C51-AF16-4852-B172-2F686B5CDA8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G7" authorId="0" shapeId="0" xr:uid="{DE16200E-6BD2-44A0-AF74-0BF747FA75C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H7" authorId="0" shapeId="0" xr:uid="{9A6362F0-FE0D-4093-B5E2-A31AD176475B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I7" authorId="0" shapeId="0" xr:uid="{25F4CBB6-9326-4F40-A450-BB7AB71BFE2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 shapeId="0" xr:uid="{5A136C1C-AF71-4A02-9553-77136BF1CC9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  <comment ref="K7" authorId="0" shapeId="0" xr:uid="{610CA333-F53A-4675-A58B-BEA90C87AEB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CFAF8463-7619-4F5F-B923-6D3AE8F5E47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 shapeId="0" xr:uid="{EE690940-A647-4AE6-8DE9-E7E2C5DA68C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 shapeId="0" xr:uid="{9044E9FE-7CBA-4CA8-BD7D-B00EF2F7F4E0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 shapeId="0" xr:uid="{20B6F88D-84C4-44BE-A311-58FCA63CA0A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 shapeId="0" xr:uid="{05429616-4CE6-4608-AC27-08B4ECA3230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 shapeId="0" xr:uid="{1D418F3F-B9A5-41CB-869E-C806BF933342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 shapeId="0" xr:uid="{05F69F3F-51F6-4942-ADC7-2DAED71CD25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 shapeId="0" xr:uid="{5EC0F064-5134-4932-8976-829861F8424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 shapeId="0" xr:uid="{54218CD0-356D-4A18-91A0-22FF615C8E7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E5" authorId="0" shapeId="0" xr:uid="{91FE3E4F-7E79-4427-8F46-2D9B47D353BC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F5" authorId="0" shapeId="0" xr:uid="{14812ECE-BAC1-49C3-A7EB-EAD29451F5B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5" authorId="0" shapeId="0" xr:uid="{E7AD39A5-850B-4B6B-9E47-7CA838AC990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5" authorId="0" shapeId="0" xr:uid="{74B2A423-63E0-47D3-8B55-3B9039CEB4F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  <comment ref="E9" authorId="0" shapeId="0" xr:uid="{9BD522A0-97FC-4FC5-A7F7-685EA1B80E76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0E62FCCD-4231-4768-9E06-DBE50FC97593}">
      <text>
        <r>
          <rPr>
            <b/>
            <sz val="9"/>
            <color indexed="81"/>
            <rFont val="宋体"/>
            <family val="3"/>
            <charset val="134"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>=本年度检测数据取平均值，其他同</t>
        </r>
      </text>
    </comment>
    <comment ref="E6" authorId="0" shapeId="0" xr:uid="{F3466CC0-0A3E-44D5-9B95-DB81471B61F9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6" authorId="0" shapeId="0" xr:uid="{6578BAB0-C177-4312-B9C8-7C865FBCFE3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7" authorId="0" shapeId="0" xr:uid="{E613FDD2-7FBB-4161-BC06-5E0119740E9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8" authorId="0" shapeId="0" xr:uid="{516FE780-F849-466E-A501-20BF8F47C34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 shapeId="0" xr:uid="{F7187933-23CD-481F-915C-47047E4CB29B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10" authorId="0" shapeId="0" xr:uid="{134E1DB4-8593-433E-8B98-CE7AAB42E37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634C56AA-A919-453D-B486-5176207435F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 shapeId="0" xr:uid="{96269FEB-06AD-4F5B-A8D3-BBFF744BFAC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 shapeId="0" xr:uid="{D3BC12FE-F86A-406E-B2CF-DFC194800C6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7" authorId="0" shapeId="0" xr:uid="{0B3CB284-A078-4E4E-8C12-88C1C425EF6C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8" authorId="0" shapeId="0" xr:uid="{5CA5DDFB-561A-4559-8905-DEF44354AD1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=FT-07111本周进料累计/实际运行时间
</t>
        </r>
      </text>
    </comment>
    <comment ref="D8" authorId="0" shapeId="0" xr:uid="{CA8101A1-5F59-4114-A3BD-7D9B486363FC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8" authorId="0" shapeId="0" xr:uid="{E5376C37-28C5-48C5-BE7C-037E02B8F33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8" authorId="0" shapeId="0" xr:uid="{CB5E173B-9D43-482A-ADCD-8CD11A96BF0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8" authorId="0" shapeId="0" xr:uid="{924C04E1-B4FB-4C75-A844-5B2F90F08EF0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2" authorId="0" shapeId="0" xr:uid="{FF3FD1D9-D23B-4CBA-ADE5-4C6A5B9BEB8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2" authorId="0" shapeId="0" xr:uid="{3EEFAF79-E129-4249-ACCB-34EADE8BE48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F12" authorId="0" shapeId="0" xr:uid="{D6E9E0EB-76CB-4973-BEED-8D96BA1C758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30326DF5-D3BB-4A70-ACCE-4BA8B8DFDB4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 shapeId="0" xr:uid="{075A0126-7751-47A4-BF03-BDA1816C6C1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 shapeId="0" xr:uid="{74F87AD6-6784-4001-93EF-4E980184C6D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 shapeId="0" xr:uid="{9ABFC379-4A49-4E55-A609-6990D9B5037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 shapeId="0" xr:uid="{C6965BF3-7056-466C-90FA-05BF095A3019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4" authorId="0" shapeId="0" xr:uid="{27BF4EC3-CCBB-40AC-B256-40D1F920FAC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 shapeId="0" xr:uid="{4F5634FA-21E0-41BF-8582-4AF304DD824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8" authorId="0" shapeId="0" xr:uid="{45569D73-412A-43D2-9D97-DD37580F6776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D8" authorId="0" shapeId="0" xr:uid="{F54EB456-7E75-4BF7-866E-DEEFB7C9994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E8" authorId="0" shapeId="0" xr:uid="{F1C6B4B4-57FE-4BEB-BFF4-D2CE0F1098C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sharedStrings.xml><?xml version="1.0" encoding="utf-8"?>
<sst xmlns="http://schemas.openxmlformats.org/spreadsheetml/2006/main" count="287" uniqueCount="189">
  <si>
    <t>设计参数</t>
    <phoneticPr fontId="1" type="noConversion"/>
  </si>
  <si>
    <t>时间</t>
    <phoneticPr fontId="1" type="noConversion"/>
  </si>
  <si>
    <t>反应器
入口温度</t>
    <phoneticPr fontId="1" type="noConversion"/>
  </si>
  <si>
    <t>羟基
流量</t>
    <phoneticPr fontId="1" type="noConversion"/>
  </si>
  <si>
    <t>反应器
入口压力</t>
    <phoneticPr fontId="1" type="noConversion"/>
  </si>
  <si>
    <t>反应器
出口温度</t>
    <phoneticPr fontId="1" type="noConversion"/>
  </si>
  <si>
    <t>反应器
温度</t>
    <phoneticPr fontId="1" type="noConversion"/>
  </si>
  <si>
    <t>气氨
流量</t>
    <phoneticPr fontId="1" type="noConversion"/>
  </si>
  <si>
    <t>配比蒸汽
流量</t>
    <phoneticPr fontId="1" type="noConversion"/>
  </si>
  <si>
    <t>平均配比
摩尔比</t>
    <phoneticPr fontId="1" type="noConversion"/>
  </si>
  <si>
    <t>m3/h</t>
    <phoneticPr fontId="1" type="noConversion"/>
  </si>
  <si>
    <t>kg/h</t>
    <phoneticPr fontId="1" type="noConversion"/>
  </si>
  <si>
    <t>/</t>
    <phoneticPr fontId="1" type="noConversion"/>
  </si>
  <si>
    <t>℃</t>
    <phoneticPr fontId="1" type="noConversion"/>
  </si>
  <si>
    <t>Mpa</t>
  </si>
  <si>
    <t>Mpa</t>
    <phoneticPr fontId="1" type="noConversion"/>
  </si>
  <si>
    <t>项目</t>
    <phoneticPr fontId="1" type="noConversion"/>
  </si>
  <si>
    <t>上上周参数</t>
    <phoneticPr fontId="1" type="noConversion"/>
  </si>
  <si>
    <t>上周参数</t>
    <phoneticPr fontId="1" type="noConversion"/>
  </si>
  <si>
    <t>本周参数</t>
    <phoneticPr fontId="1" type="noConversion"/>
  </si>
  <si>
    <t>反应器
出口压力</t>
    <phoneticPr fontId="1" type="noConversion"/>
  </si>
  <si>
    <t>二乙腈含量</t>
    <phoneticPr fontId="1" type="noConversion"/>
  </si>
  <si>
    <t>二乙腈含量
（%）</t>
    <phoneticPr fontId="1" type="noConversion"/>
  </si>
  <si>
    <t>色谱法</t>
    <phoneticPr fontId="1" type="noConversion"/>
  </si>
  <si>
    <t>化分法
（%）</t>
    <phoneticPr fontId="1" type="noConversion"/>
  </si>
  <si>
    <t>色谱法
（%）</t>
    <phoneticPr fontId="1" type="noConversion"/>
  </si>
  <si>
    <t>二乙腈
含 量</t>
    <phoneticPr fontId="1" type="noConversion"/>
  </si>
  <si>
    <t>羟基乙腈
残 余</t>
    <phoneticPr fontId="1" type="noConversion"/>
  </si>
  <si>
    <t>百分比
（%）</t>
    <phoneticPr fontId="1" type="noConversion"/>
  </si>
  <si>
    <t>浓度
（g/L）</t>
    <phoneticPr fontId="1" type="noConversion"/>
  </si>
  <si>
    <t>项 目</t>
    <phoneticPr fontId="1" type="noConversion"/>
  </si>
  <si>
    <t>pH值</t>
    <phoneticPr fontId="1" type="noConversion"/>
  </si>
  <si>
    <t>硫酸用量
（kg/h）</t>
    <phoneticPr fontId="1" type="noConversion"/>
  </si>
  <si>
    <t>本月平均</t>
    <phoneticPr fontId="1" type="noConversion"/>
  </si>
  <si>
    <t>上周平均</t>
    <phoneticPr fontId="1" type="noConversion"/>
  </si>
  <si>
    <t>本周平均</t>
    <phoneticPr fontId="1" type="noConversion"/>
  </si>
  <si>
    <t>差值</t>
    <phoneticPr fontId="1" type="noConversion"/>
  </si>
  <si>
    <t>mg/L</t>
    <phoneticPr fontId="1" type="noConversion"/>
  </si>
  <si>
    <t>COD</t>
    <phoneticPr fontId="1" type="noConversion"/>
  </si>
  <si>
    <t>指标</t>
    <phoneticPr fontId="1" type="noConversion"/>
  </si>
  <si>
    <t>单位</t>
    <phoneticPr fontId="1" type="noConversion"/>
  </si>
  <si>
    <t>TCN/总腈</t>
    <phoneticPr fontId="1" type="noConversion"/>
  </si>
  <si>
    <t>NH3-N/氨氮</t>
    <phoneticPr fontId="1" type="noConversion"/>
  </si>
  <si>
    <t>HCHO/甲醛</t>
    <phoneticPr fontId="1" type="noConversion"/>
  </si>
  <si>
    <t>pH</t>
    <phoneticPr fontId="1" type="noConversion"/>
  </si>
  <si>
    <t>大生产数据</t>
    <phoneticPr fontId="1" type="noConversion"/>
  </si>
  <si>
    <t>上上周平均</t>
    <phoneticPr fontId="1" type="noConversion"/>
  </si>
  <si>
    <t>农科数据</t>
    <phoneticPr fontId="1" type="noConversion"/>
  </si>
  <si>
    <t>低蒸压力</t>
    <phoneticPr fontId="1" type="noConversion"/>
  </si>
  <si>
    <t>低蒸温度</t>
    <phoneticPr fontId="1" type="noConversion"/>
  </si>
  <si>
    <t>备注：分析密度，每24小时白班送检一次。</t>
    <phoneticPr fontId="1" type="noConversion"/>
  </si>
  <si>
    <r>
      <t>25000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30000</t>
    </r>
    <phoneticPr fontId="1" type="noConversion"/>
  </si>
  <si>
    <r>
      <t>900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1200</t>
    </r>
    <phoneticPr fontId="1" type="noConversion"/>
  </si>
  <si>
    <r>
      <t>2500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3000</t>
    </r>
    <phoneticPr fontId="1" type="noConversion"/>
  </si>
  <si>
    <r>
      <t>30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50</t>
    </r>
    <phoneticPr fontId="1" type="noConversion"/>
  </si>
  <si>
    <t>月份</t>
    <phoneticPr fontId="1" type="noConversion"/>
  </si>
  <si>
    <t>%</t>
    <phoneticPr fontId="1" type="noConversion"/>
  </si>
  <si>
    <t>水分含量</t>
    <phoneticPr fontId="1" type="noConversion"/>
  </si>
  <si>
    <t>综合含量</t>
    <phoneticPr fontId="1" type="noConversion"/>
  </si>
  <si>
    <t>未知物含量</t>
    <phoneticPr fontId="1" type="noConversion"/>
  </si>
  <si>
    <t>本年度平均</t>
    <phoneticPr fontId="1" type="noConversion"/>
  </si>
  <si>
    <t>上周一次结晶</t>
    <phoneticPr fontId="1" type="noConversion"/>
  </si>
  <si>
    <t>上周二次结晶</t>
    <phoneticPr fontId="1" type="noConversion"/>
  </si>
  <si>
    <t>本周一次结晶</t>
    <phoneticPr fontId="1" type="noConversion"/>
  </si>
  <si>
    <t>本周二次结晶</t>
    <phoneticPr fontId="1" type="noConversion"/>
  </si>
  <si>
    <t>化学分析法</t>
    <phoneticPr fontId="1" type="noConversion"/>
  </si>
  <si>
    <t>备注</t>
    <phoneticPr fontId="1" type="noConversion"/>
  </si>
  <si>
    <t>上上周</t>
    <phoneticPr fontId="1" type="noConversion"/>
  </si>
  <si>
    <t>上周</t>
    <phoneticPr fontId="1" type="noConversion"/>
  </si>
  <si>
    <t>本周</t>
    <phoneticPr fontId="1" type="noConversion"/>
  </si>
  <si>
    <t>平
均</t>
    <phoneticPr fontId="1" type="noConversion"/>
  </si>
  <si>
    <t>1月</t>
    <phoneticPr fontId="1" type="noConversion"/>
  </si>
  <si>
    <t>2月</t>
    <phoneticPr fontId="1" type="noConversion"/>
  </si>
  <si>
    <t>3月</t>
    <phoneticPr fontId="1" type="noConversion"/>
  </si>
  <si>
    <t>4月</t>
    <phoneticPr fontId="1" type="noConversion"/>
  </si>
  <si>
    <t>5月</t>
    <phoneticPr fontId="1" type="noConversion"/>
  </si>
  <si>
    <t>6月</t>
    <phoneticPr fontId="1" type="noConversion"/>
  </si>
  <si>
    <t>7月</t>
    <phoneticPr fontId="1" type="noConversion"/>
  </si>
  <si>
    <t>8月</t>
    <phoneticPr fontId="1" type="noConversion"/>
  </si>
  <si>
    <t>9月</t>
    <phoneticPr fontId="1" type="noConversion"/>
  </si>
  <si>
    <t>10月</t>
    <phoneticPr fontId="1" type="noConversion"/>
  </si>
  <si>
    <t>11月</t>
    <phoneticPr fontId="1" type="noConversion"/>
  </si>
  <si>
    <t>12月</t>
    <phoneticPr fontId="1" type="noConversion"/>
  </si>
  <si>
    <t>收
率
（%）</t>
    <phoneticPr fontId="1" type="noConversion"/>
  </si>
  <si>
    <t>班
产
量
（t）</t>
    <phoneticPr fontId="1" type="noConversion"/>
  </si>
  <si>
    <t>设计值</t>
    <phoneticPr fontId="1" type="noConversion"/>
  </si>
  <si>
    <t>进料量</t>
    <phoneticPr fontId="1" type="noConversion"/>
  </si>
  <si>
    <t>出料量</t>
    <phoneticPr fontId="1" type="noConversion"/>
  </si>
  <si>
    <t>浓缩比</t>
    <phoneticPr fontId="1" type="noConversion"/>
  </si>
  <si>
    <t>出料比重</t>
    <phoneticPr fontId="1" type="noConversion"/>
  </si>
  <si>
    <t>g/L</t>
    <phoneticPr fontId="1" type="noConversion"/>
  </si>
  <si>
    <t>蒸汽用量</t>
    <phoneticPr fontId="1" type="noConversion"/>
  </si>
  <si>
    <t>t/h</t>
    <phoneticPr fontId="1" type="noConversion"/>
  </si>
  <si>
    <t>无</t>
    <phoneticPr fontId="1" type="noConversion"/>
  </si>
  <si>
    <t>本周数据</t>
    <phoneticPr fontId="1" type="noConversion"/>
  </si>
  <si>
    <t>低蒸运行参数</t>
    <phoneticPr fontId="1" type="noConversion"/>
  </si>
  <si>
    <t>低蒸母液分析：送检频次，一天一次；管反反应液一天三次</t>
    <phoneticPr fontId="1" type="noConversion"/>
  </si>
  <si>
    <t>硫铵含量</t>
    <phoneticPr fontId="1" type="noConversion"/>
  </si>
  <si>
    <t>羟基乙腈含量</t>
    <phoneticPr fontId="1" type="noConversion"/>
  </si>
  <si>
    <t>硫铵含量
（g/L）</t>
    <phoneticPr fontId="1" type="noConversion"/>
  </si>
  <si>
    <t>羟基乙腈含量
（g/L）</t>
    <phoneticPr fontId="1" type="noConversion"/>
  </si>
  <si>
    <t>外排废液
m3废液/t产品</t>
    <phoneticPr fontId="1" type="noConversion"/>
  </si>
  <si>
    <t>本周固液比控制范围：</t>
    <phoneticPr fontId="1" type="noConversion"/>
  </si>
  <si>
    <t>本周累计外排废液量：</t>
    <phoneticPr fontId="1" type="noConversion"/>
  </si>
  <si>
    <t>m3</t>
    <phoneticPr fontId="1" type="noConversion"/>
  </si>
  <si>
    <t xml:space="preserve">                             时间
 指 标</t>
    <phoneticPr fontId="1" type="noConversion"/>
  </si>
  <si>
    <t>二次母液
分析数据</t>
    <phoneticPr fontId="1" type="noConversion"/>
  </si>
  <si>
    <t>脱色前</t>
    <phoneticPr fontId="1" type="noConversion"/>
  </si>
  <si>
    <t>脱色后</t>
    <phoneticPr fontId="1" type="noConversion"/>
  </si>
  <si>
    <t>差 值</t>
    <phoneticPr fontId="1" type="noConversion"/>
  </si>
  <si>
    <t>上 周</t>
    <phoneticPr fontId="1" type="noConversion"/>
  </si>
  <si>
    <t>本 周</t>
    <phoneticPr fontId="1" type="noConversion"/>
  </si>
  <si>
    <t>kg/t</t>
    <phoneticPr fontId="1" type="noConversion"/>
  </si>
  <si>
    <t>活性炭单耗</t>
    <phoneticPr fontId="1" type="noConversion"/>
  </si>
  <si>
    <t>脱色
消耗</t>
    <phoneticPr fontId="1" type="noConversion"/>
  </si>
  <si>
    <t>透光率</t>
    <phoneticPr fontId="1" type="noConversion"/>
  </si>
  <si>
    <t>型号</t>
    <phoneticPr fontId="1" type="noConversion"/>
  </si>
  <si>
    <t xml:space="preserve">                指标
对比项目</t>
    <phoneticPr fontId="1" type="noConversion"/>
  </si>
  <si>
    <t>t</t>
    <phoneticPr fontId="1" type="noConversion"/>
  </si>
  <si>
    <t>t/t</t>
    <phoneticPr fontId="1" type="noConversion"/>
  </si>
  <si>
    <t>m3/t</t>
    <phoneticPr fontId="1" type="noConversion"/>
  </si>
  <si>
    <t>吨产品原料/动力及排放单耗</t>
    <phoneticPr fontId="1" type="noConversion"/>
  </si>
  <si>
    <t>日期</t>
    <phoneticPr fontId="1" type="noConversion"/>
  </si>
  <si>
    <t>星期</t>
    <phoneticPr fontId="1" type="noConversion"/>
  </si>
  <si>
    <t>五</t>
    <phoneticPr fontId="1" type="noConversion"/>
  </si>
  <si>
    <t>六</t>
    <phoneticPr fontId="1" type="noConversion"/>
  </si>
  <si>
    <t>日</t>
    <phoneticPr fontId="1" type="noConversion"/>
  </si>
  <si>
    <t>一</t>
    <phoneticPr fontId="1" type="noConversion"/>
  </si>
  <si>
    <t>二</t>
    <phoneticPr fontId="1" type="noConversion"/>
  </si>
  <si>
    <t>三</t>
    <phoneticPr fontId="1" type="noConversion"/>
  </si>
  <si>
    <t>四</t>
    <phoneticPr fontId="1" type="noConversion"/>
  </si>
  <si>
    <t>本周
平均</t>
    <phoneticPr fontId="1" type="noConversion"/>
  </si>
  <si>
    <t>上周
平均</t>
    <phoneticPr fontId="1" type="noConversion"/>
  </si>
  <si>
    <t>两周
差值</t>
    <phoneticPr fontId="1" type="noConversion"/>
  </si>
  <si>
    <t>一、反应液</t>
    <phoneticPr fontId="1" type="noConversion"/>
  </si>
  <si>
    <t>二、产品</t>
    <phoneticPr fontId="1" type="noConversion"/>
  </si>
  <si>
    <t>三、转化率</t>
    <phoneticPr fontId="1" type="noConversion"/>
  </si>
  <si>
    <t>羟基乙腈</t>
    <phoneticPr fontId="1" type="noConversion"/>
  </si>
  <si>
    <t>四、收率</t>
    <phoneticPr fontId="1" type="noConversion"/>
  </si>
  <si>
    <t>二乙腈</t>
    <phoneticPr fontId="1" type="noConversion"/>
  </si>
  <si>
    <t>折百产量</t>
    <phoneticPr fontId="1" type="noConversion"/>
  </si>
  <si>
    <t>五、废液</t>
    <phoneticPr fontId="1" type="noConversion"/>
  </si>
  <si>
    <t>2025年第（44）周</t>
    <phoneticPr fontId="1" type="noConversion"/>
  </si>
  <si>
    <t>班次</t>
    <phoneticPr fontId="1" type="noConversion"/>
  </si>
  <si>
    <t>1号</t>
    <phoneticPr fontId="1" type="noConversion"/>
  </si>
  <si>
    <t>2号</t>
    <phoneticPr fontId="1" type="noConversion"/>
  </si>
  <si>
    <t>3号</t>
    <phoneticPr fontId="1" type="noConversion"/>
  </si>
  <si>
    <t>4号</t>
    <phoneticPr fontId="1" type="noConversion"/>
  </si>
  <si>
    <t>5号</t>
    <phoneticPr fontId="1" type="noConversion"/>
  </si>
  <si>
    <t>6号</t>
    <phoneticPr fontId="1" type="noConversion"/>
  </si>
  <si>
    <t>7号</t>
    <phoneticPr fontId="1" type="noConversion"/>
  </si>
  <si>
    <t>白</t>
    <phoneticPr fontId="1" type="noConversion"/>
  </si>
  <si>
    <t>夜</t>
    <phoneticPr fontId="1" type="noConversion"/>
  </si>
  <si>
    <t>第（44周）核心指标完成情况汇总表</t>
    <phoneticPr fontId="1" type="noConversion"/>
  </si>
  <si>
    <t>羟基乙腈
单耗</t>
    <phoneticPr fontId="1" type="noConversion"/>
  </si>
  <si>
    <t>液氨
单耗</t>
    <phoneticPr fontId="1" type="noConversion"/>
  </si>
  <si>
    <t>硫酸
单耗</t>
    <phoneticPr fontId="1" type="noConversion"/>
  </si>
  <si>
    <t>总蒸汽
单耗</t>
    <phoneticPr fontId="1" type="noConversion"/>
  </si>
  <si>
    <t>反应蒸汽
单耗</t>
    <phoneticPr fontId="1" type="noConversion"/>
  </si>
  <si>
    <t>低蒸蒸汽
单耗</t>
    <phoneticPr fontId="1" type="noConversion"/>
  </si>
  <si>
    <t>废液
外排</t>
    <phoneticPr fontId="1" type="noConversion"/>
  </si>
  <si>
    <t>废水
外排</t>
    <phoneticPr fontId="1" type="noConversion"/>
  </si>
  <si>
    <t>0，5150±0.05</t>
    <phoneticPr fontId="1" type="noConversion"/>
  </si>
  <si>
    <t>410±5g/L</t>
    <phoneticPr fontId="1" type="noConversion"/>
  </si>
  <si>
    <t>168±2℃</t>
    <phoneticPr fontId="1" type="noConversion"/>
  </si>
  <si>
    <t>≤20℃</t>
    <phoneticPr fontId="1" type="noConversion"/>
  </si>
  <si>
    <t>氨/腈摩尔比
合格率（%）</t>
    <phoneticPr fontId="1" type="noConversion"/>
  </si>
  <si>
    <t>羟基浓度
合格率（%）</t>
    <phoneticPr fontId="1" type="noConversion"/>
  </si>
  <si>
    <t>氨化反应温度
合格率（%）</t>
    <phoneticPr fontId="1" type="noConversion"/>
  </si>
  <si>
    <t>一次结晶出料
温度合格率（%）</t>
    <phoneticPr fontId="1" type="noConversion"/>
  </si>
  <si>
    <t>核心工艺指标合格率
（%）</t>
    <phoneticPr fontId="1" type="noConversion"/>
  </si>
  <si>
    <t>实际产量</t>
    <phoneticPr fontId="1" type="noConversion"/>
  </si>
  <si>
    <t>kg/班</t>
    <phoneticPr fontId="1" type="noConversion"/>
  </si>
  <si>
    <t>折干产量</t>
    <phoneticPr fontId="1" type="noConversion"/>
  </si>
  <si>
    <t>转化率</t>
    <phoneticPr fontId="1" type="noConversion"/>
  </si>
  <si>
    <t>收率</t>
    <phoneticPr fontId="1" type="noConversion"/>
  </si>
  <si>
    <t>转
化
率
（%）</t>
    <phoneticPr fontId="1" type="noConversion"/>
  </si>
  <si>
    <t>第21周 周报---脱色工序数据分析表</t>
    <phoneticPr fontId="1" type="noConversion"/>
  </si>
  <si>
    <t>第21周 周报---二次结晶数据分析表</t>
    <phoneticPr fontId="1" type="noConversion"/>
  </si>
  <si>
    <t>第21周 周报---产品原料/动力/排放单耗数据分析表</t>
    <phoneticPr fontId="1" type="noConversion"/>
  </si>
  <si>
    <t>第21周 周报---核心指标分析汇总表</t>
    <phoneticPr fontId="1" type="noConversion"/>
  </si>
  <si>
    <t>第21周 周报---反应工序控制参数表</t>
    <phoneticPr fontId="1" type="noConversion"/>
  </si>
  <si>
    <t>第21周 周报---闪蒸废水分析数据表</t>
    <phoneticPr fontId="1" type="noConversion"/>
  </si>
  <si>
    <t>第21周 周报---反应液分析数据表</t>
    <phoneticPr fontId="1" type="noConversion"/>
  </si>
  <si>
    <t>第21周 周报---结晶工序数据分析表</t>
    <phoneticPr fontId="1" type="noConversion"/>
  </si>
  <si>
    <t>第21周 周报---产品指标分析表</t>
    <phoneticPr fontId="1" type="noConversion"/>
  </si>
  <si>
    <t>第21周 周报---产品收率数据分析表</t>
    <phoneticPr fontId="1" type="noConversion"/>
  </si>
  <si>
    <t>第21周 周报---汇总数据分析表</t>
    <phoneticPr fontId="1" type="noConversion"/>
  </si>
  <si>
    <t>第21周 周报---低蒸数据分析表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</si>
</sst>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;[Red]0.00"/>
    <numFmt numFmtId="177" formatCode="0.0000;[Red]0.0000"/>
    <numFmt numFmtId="178" formatCode="0.0;[Red]0.0"/>
    <numFmt numFmtId="179" formatCode="0.000;[Red]0.000"/>
  </numFmts>
  <fonts count="13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93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2" borderId="5" xfId="0" applyNumberFormat="1" applyFont="1" applyFill="1" applyBorder="1" applyAlignment="1">
      <alignment horizontal="center" vertical="center"/>
    </xf>
    <xf numFmtId="177" fontId="2" fillId="2" borderId="5" xfId="0" applyNumberFormat="1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2" borderId="5" xfId="0" applyNumberFormat="1" applyFont="1" applyFill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178" fontId="2" fillId="0" borderId="18" xfId="0" applyNumberFormat="1" applyFont="1" applyBorder="1" applyAlignment="1">
      <alignment horizontal="center" vertical="center"/>
    </xf>
    <xf numFmtId="178" fontId="2" fillId="0" borderId="1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8" fontId="4" fillId="2" borderId="18" xfId="0" applyNumberFormat="1" applyFont="1" applyFill="1" applyBorder="1" applyAlignment="1">
      <alignment horizontal="center" vertical="center"/>
    </xf>
    <xf numFmtId="178" fontId="4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76" fontId="4" fillId="2" borderId="5" xfId="0" applyNumberFormat="1" applyFont="1" applyFill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6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176" fontId="3" fillId="0" borderId="8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wrapText="1"/>
    </xf>
    <xf numFmtId="176" fontId="0" fillId="2" borderId="5" xfId="0" applyNumberFormat="1" applyFill="1" applyBorder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/>
    </xf>
    <xf numFmtId="176" fontId="2" fillId="0" borderId="29" xfId="0" applyNumberFormat="1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6" borderId="4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left" vertical="center"/>
    </xf>
    <xf numFmtId="0" fontId="0" fillId="6" borderId="6" xfId="0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20" xfId="0" applyBorder="1"/>
    <xf numFmtId="0" fontId="2" fillId="0" borderId="1" xfId="0" applyFont="1" applyBorder="1" applyAlignment="1">
      <alignment wrapText="1"/>
    </xf>
    <xf numFmtId="0" fontId="3" fillId="0" borderId="4" xfId="0" applyFont="1" applyBorder="1"/>
    <xf numFmtId="0" fontId="10" fillId="0" borderId="0" xfId="0" applyFont="1" applyAlignment="1">
      <alignment horizontal="center" vertical="center"/>
    </xf>
    <xf numFmtId="0" fontId="2" fillId="0" borderId="34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57" fontId="2" fillId="0" borderId="4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4" borderId="27" xfId="0" applyFont="1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2" fillId="0" borderId="37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19050</xdr:rowOff>
    </xdr:from>
    <xdr:to>
      <xdr:col>15</xdr:col>
      <xdr:colOff>579752</xdr:colOff>
      <xdr:row>33</xdr:row>
      <xdr:rowOff>56421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9FC6C3D-987A-34BE-8B30-45568DED9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200025"/>
          <a:ext cx="10180952" cy="58285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0</xdr:rowOff>
    </xdr:from>
    <xdr:to>
      <xdr:col>1</xdr:col>
      <xdr:colOff>1533525</xdr:colOff>
      <xdr:row>7</xdr:row>
      <xdr:rowOff>0</xdr:rowOff>
    </xdr:to>
    <xdr:cxnSp macro="">
      <xdr:nvCxnSpPr>
        <xdr:cNvPr id="8" name="直接连接符 7">
          <a:extLst>
            <a:ext uri="{FF2B5EF4-FFF2-40B4-BE49-F238E27FC236}">
              <a16:creationId xmlns:a16="http://schemas.microsoft.com/office/drawing/2014/main" id="{24F0CCF0-1EB2-B2DF-E588-CF1E43FFB6DC}"/>
            </a:ext>
          </a:extLst>
        </xdr:cNvPr>
        <xdr:cNvCxnSpPr/>
      </xdr:nvCxnSpPr>
      <xdr:spPr>
        <a:xfrm>
          <a:off x="1371600" y="1381125"/>
          <a:ext cx="1533525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X1" sqref="X1"/>
    </sheetView>
  </sheetViews>
  <sheetFormatPr defaultRowHeight="14.25"/>
  <cols>
    <col min="1" max="1" width="1.875" customWidth="1"/>
  </cols>
  <sheetData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3708B-AFEE-482C-9EDF-E765F4BF1F1B}">
  <dimension ref="B2:K12"/>
  <sheetViews>
    <sheetView tabSelected="1" workbookViewId="0">
      <selection activeCell="X1" sqref="X1"/>
    </sheetView>
  </sheetViews>
  <sheetFormatPr defaultRowHeight="12.75"/>
  <cols>
    <col min="1" max="1" width="1.625" style="2" customWidth="1"/>
    <col min="2" max="16384" width="9" style="2"/>
  </cols>
  <sheetData>
    <row r="2" spans="2:11" ht="27.75" customHeight="1">
      <c r="B2" s="103" t="s">
        <v>181</v>
      </c>
      <c r="C2" s="103"/>
      <c r="D2" s="103"/>
      <c r="E2" s="103"/>
      <c r="F2" s="103"/>
      <c r="G2" s="103"/>
      <c r="H2" s="103"/>
      <c r="I2" s="103"/>
      <c r="J2" s="103"/>
      <c r="K2" s="103"/>
    </row>
    <row r="3" spans="2:11" ht="15" customHeight="1">
      <c r="B3" s="101"/>
      <c r="C3" s="102"/>
      <c r="D3" s="102"/>
      <c r="E3" s="102"/>
      <c r="F3" s="102"/>
      <c r="G3" s="102"/>
      <c r="H3" s="102"/>
      <c r="I3" s="102"/>
      <c r="J3" s="102"/>
      <c r="K3" s="102"/>
    </row>
    <row r="4" spans="2:11" ht="30" customHeight="1">
      <c r="B4" s="13" t="s">
        <v>16</v>
      </c>
      <c r="C4" s="14" t="s">
        <v>3</v>
      </c>
      <c r="D4" s="14" t="s">
        <v>7</v>
      </c>
      <c r="E4" s="14" t="s">
        <v>9</v>
      </c>
      <c r="F4" s="14" t="s">
        <v>8</v>
      </c>
      <c r="G4" s="14" t="s">
        <v>2</v>
      </c>
      <c r="H4" s="14" t="s">
        <v>4</v>
      </c>
      <c r="I4" s="14" t="s">
        <v>6</v>
      </c>
      <c r="J4" s="26" t="s">
        <v>5</v>
      </c>
      <c r="K4" s="15" t="s">
        <v>20</v>
      </c>
    </row>
    <row r="5" spans="2:11" ht="24.95" customHeight="1">
      <c r="B5" s="10" t="s">
        <v>1</v>
      </c>
      <c r="C5" s="11" t="s">
        <v>10</v>
      </c>
      <c r="D5" s="11" t="s">
        <v>11</v>
      </c>
      <c r="E5" s="11" t="s">
        <v>12</v>
      </c>
      <c r="F5" s="11" t="s">
        <v>10</v>
      </c>
      <c r="G5" s="11" t="s">
        <v>13</v>
      </c>
      <c r="H5" s="11" t="s">
        <v>15</v>
      </c>
      <c r="I5" s="11" t="s">
        <v>13</v>
      </c>
      <c r="J5" s="27" t="s">
        <v>13</v>
      </c>
      <c r="K5" s="12" t="s">
        <v>14</v>
      </c>
    </row>
    <row r="6" spans="2:11" ht="24.95" customHeight="1">
      <c r="B6" s="16" t="s">
        <v>0</v>
      </c>
      <c r="C6" s="17">
        <v>0.33</v>
      </c>
      <c r="D6" s="17">
        <v>21.7</v>
      </c>
      <c r="E6" s="20">
        <v>0.51500000000000001</v>
      </c>
      <c r="F6" s="17">
        <v>1.93</v>
      </c>
      <c r="G6" s="23">
        <v>170</v>
      </c>
      <c r="H6" s="17">
        <v>1.2</v>
      </c>
      <c r="I6" s="32">
        <v>183</v>
      </c>
      <c r="J6" s="33">
        <v>150</v>
      </c>
      <c r="K6" s="34">
        <v>1</v>
      </c>
    </row>
    <row r="7" spans="2:11" ht="24.95" customHeight="1">
      <c r="B7" s="4" t="s">
        <v>17</v>
      </c>
      <c r="C7" s="5"/>
      <c r="D7" s="5"/>
      <c r="E7" s="21"/>
      <c r="F7" s="5"/>
      <c r="G7" s="24"/>
      <c r="H7" s="5"/>
      <c r="I7" s="5"/>
      <c r="J7" s="30"/>
      <c r="K7" s="28"/>
    </row>
    <row r="8" spans="2:11" ht="24.95" customHeight="1">
      <c r="B8" s="4" t="s">
        <v>18</v>
      </c>
      <c r="C8" s="5"/>
      <c r="D8" s="5"/>
      <c r="E8" s="21"/>
      <c r="F8" s="5"/>
      <c r="G8" s="24"/>
      <c r="H8" s="5"/>
      <c r="I8" s="5"/>
      <c r="J8" s="30"/>
      <c r="K8" s="28"/>
    </row>
    <row r="9" spans="2:11" ht="24.95" customHeight="1">
      <c r="B9" s="7" t="s">
        <v>19</v>
      </c>
      <c r="C9" s="8"/>
      <c r="D9" s="8"/>
      <c r="E9" s="22"/>
      <c r="F9" s="8"/>
      <c r="G9" s="25"/>
      <c r="H9" s="8"/>
      <c r="I9" s="8"/>
      <c r="J9" s="31"/>
      <c r="K9" s="29"/>
    </row>
    <row r="10" spans="2:11" ht="20.100000000000001" customHeight="1"/>
    <row r="11" spans="2:11" ht="20.100000000000001" customHeight="1"/>
    <row r="12" spans="2:11" ht="20.100000000000001" customHeight="1"/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78E3A-2908-4CDC-B23A-CA8F39AE7803}">
  <dimension ref="B2:I14"/>
  <sheetViews>
    <sheetView workbookViewId="0">
      <selection activeCell="F17" sqref="F17"/>
    </sheetView>
  </sheetViews>
  <sheetFormatPr defaultRowHeight="12.75"/>
  <cols>
    <col min="1" max="1" width="3" style="2" customWidth="1"/>
    <col min="2" max="2" width="12.375" style="2" customWidth="1"/>
    <col min="3" max="6" width="12.625" style="2" customWidth="1"/>
    <col min="7" max="16384" width="9" style="2"/>
  </cols>
  <sheetData>
    <row r="2" spans="2:9" ht="30" customHeight="1">
      <c r="B2" s="103" t="s">
        <v>182</v>
      </c>
      <c r="C2" s="103"/>
      <c r="D2" s="103"/>
      <c r="E2" s="103"/>
      <c r="F2" s="103"/>
      <c r="G2" s="103"/>
      <c r="H2" s="103"/>
      <c r="I2" s="103"/>
    </row>
    <row r="3" spans="2:9" ht="15" customHeight="1">
      <c r="B3" s="101"/>
      <c r="C3" s="102"/>
      <c r="D3" s="102"/>
      <c r="E3" s="102"/>
      <c r="F3" s="102"/>
      <c r="G3" s="102"/>
      <c r="H3" s="102"/>
      <c r="I3" s="102"/>
    </row>
    <row r="4" spans="2:9" s="54" customFormat="1" ht="24.95" customHeight="1">
      <c r="B4" s="51" t="s">
        <v>39</v>
      </c>
      <c r="C4" s="52" t="s">
        <v>38</v>
      </c>
      <c r="D4" s="52" t="s">
        <v>41</v>
      </c>
      <c r="E4" s="52" t="s">
        <v>42</v>
      </c>
      <c r="F4" s="52" t="s">
        <v>43</v>
      </c>
      <c r="G4" s="52" t="s">
        <v>44</v>
      </c>
      <c r="H4" s="52" t="s">
        <v>48</v>
      </c>
      <c r="I4" s="53" t="s">
        <v>49</v>
      </c>
    </row>
    <row r="5" spans="2:9" ht="24.95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9" ht="24.95" customHeight="1">
      <c r="B6" s="16" t="s">
        <v>45</v>
      </c>
      <c r="C6" s="32" t="s">
        <v>51</v>
      </c>
      <c r="D6" s="32" t="s">
        <v>52</v>
      </c>
      <c r="E6" s="32" t="s">
        <v>53</v>
      </c>
      <c r="F6" s="32" t="s">
        <v>54</v>
      </c>
      <c r="G6" s="32">
        <v>9.5</v>
      </c>
      <c r="H6" s="32" t="s">
        <v>12</v>
      </c>
      <c r="I6" s="61" t="s">
        <v>12</v>
      </c>
    </row>
    <row r="7" spans="2:9" ht="24.95" customHeight="1">
      <c r="B7" s="4" t="s">
        <v>46</v>
      </c>
      <c r="C7" s="5"/>
      <c r="D7" s="5"/>
      <c r="E7" s="5"/>
      <c r="F7" s="5"/>
      <c r="G7" s="5"/>
      <c r="H7" s="5"/>
      <c r="I7" s="6"/>
    </row>
    <row r="8" spans="2:9" ht="24.95" customHeight="1">
      <c r="B8" s="4" t="s">
        <v>34</v>
      </c>
      <c r="C8" s="5"/>
      <c r="D8" s="5"/>
      <c r="E8" s="5"/>
      <c r="F8" s="5"/>
      <c r="G8" s="5"/>
      <c r="H8" s="5"/>
      <c r="I8" s="6"/>
    </row>
    <row r="9" spans="2:9" ht="24.95" customHeight="1">
      <c r="B9" s="4" t="s">
        <v>35</v>
      </c>
      <c r="C9" s="5"/>
      <c r="D9" s="5"/>
      <c r="E9" s="5"/>
      <c r="F9" s="5"/>
      <c r="G9" s="5"/>
      <c r="H9" s="5"/>
      <c r="I9" s="6"/>
    </row>
    <row r="10" spans="2:9" ht="24.95" customHeight="1">
      <c r="B10" s="55" t="s">
        <v>47</v>
      </c>
      <c r="C10" s="58">
        <v>41118</v>
      </c>
      <c r="D10" s="58">
        <v>1104</v>
      </c>
      <c r="E10" s="58">
        <v>3571</v>
      </c>
      <c r="F10" s="58">
        <v>80</v>
      </c>
      <c r="G10" s="58">
        <v>9.36</v>
      </c>
      <c r="H10" s="59" t="s">
        <v>12</v>
      </c>
      <c r="I10" s="60" t="s">
        <v>12</v>
      </c>
    </row>
    <row r="11" spans="2:9" ht="24.95" customHeight="1">
      <c r="B11" s="104" t="s">
        <v>50</v>
      </c>
      <c r="C11" s="105"/>
      <c r="D11" s="105"/>
      <c r="E11" s="105"/>
      <c r="F11" s="105"/>
      <c r="G11" s="105"/>
      <c r="H11" s="105"/>
      <c r="I11" s="106"/>
    </row>
    <row r="12" spans="2:9" ht="24.95" customHeight="1"/>
    <row r="13" spans="2:9" ht="24.95" customHeight="1"/>
    <row r="14" spans="2:9" ht="24.95" customHeight="1"/>
  </sheetData>
  <mergeCells count="3">
    <mergeCell ref="B2:I2"/>
    <mergeCell ref="B3:I3"/>
    <mergeCell ref="B11:I11"/>
  </mergeCells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8E5B-3396-4E40-9EC5-EE441B379686}">
  <dimension ref="B2:H11"/>
  <sheetViews>
    <sheetView workbookViewId="0">
      <selection activeCell="W1" sqref="W1"/>
    </sheetView>
  </sheetViews>
  <sheetFormatPr defaultRowHeight="12.75"/>
  <cols>
    <col min="1" max="1" width="2.375" style="2" customWidth="1"/>
    <col min="2" max="2" width="11.375" style="2" customWidth="1"/>
    <col min="3" max="16384" width="9" style="2"/>
  </cols>
  <sheetData>
    <row r="2" spans="2:8" ht="30" customHeight="1">
      <c r="B2" s="103" t="s">
        <v>183</v>
      </c>
      <c r="C2" s="103"/>
      <c r="D2" s="103"/>
      <c r="E2" s="103"/>
      <c r="F2" s="103"/>
      <c r="G2" s="103"/>
      <c r="H2" s="103"/>
    </row>
    <row r="3" spans="2:8" ht="15" customHeight="1"/>
    <row r="4" spans="2:8" ht="24.95" customHeight="1">
      <c r="B4" s="111" t="s">
        <v>30</v>
      </c>
      <c r="C4" s="112"/>
      <c r="D4" s="36" t="s">
        <v>0</v>
      </c>
      <c r="E4" s="37" t="s">
        <v>33</v>
      </c>
      <c r="F4" s="37" t="s">
        <v>34</v>
      </c>
      <c r="G4" s="37" t="s">
        <v>35</v>
      </c>
      <c r="H4" s="38" t="s">
        <v>36</v>
      </c>
    </row>
    <row r="5" spans="2:8" ht="24.95" customHeight="1">
      <c r="B5" s="107" t="s">
        <v>26</v>
      </c>
      <c r="C5" s="40" t="s">
        <v>24</v>
      </c>
      <c r="D5" s="62">
        <v>33.1</v>
      </c>
      <c r="E5" s="41"/>
      <c r="F5" s="41"/>
      <c r="G5" s="41"/>
      <c r="H5" s="42">
        <f>G5-F5</f>
        <v>0</v>
      </c>
    </row>
    <row r="6" spans="2:8" ht="24.95" customHeight="1">
      <c r="B6" s="108"/>
      <c r="C6" s="40" t="s">
        <v>25</v>
      </c>
      <c r="D6" s="62">
        <v>29.1</v>
      </c>
      <c r="E6" s="41"/>
      <c r="F6" s="41"/>
      <c r="G6" s="41"/>
      <c r="H6" s="42">
        <f t="shared" ref="H6:H8" si="0">G6-F6</f>
        <v>0</v>
      </c>
    </row>
    <row r="7" spans="2:8" ht="24.95" customHeight="1">
      <c r="B7" s="109" t="s">
        <v>27</v>
      </c>
      <c r="C7" s="40" t="s">
        <v>28</v>
      </c>
      <c r="D7" s="62">
        <v>1.6</v>
      </c>
      <c r="E7" s="41"/>
      <c r="F7" s="41"/>
      <c r="G7" s="41"/>
      <c r="H7" s="42">
        <f t="shared" si="0"/>
        <v>0</v>
      </c>
    </row>
    <row r="8" spans="2:8" ht="24.95" customHeight="1">
      <c r="B8" s="110"/>
      <c r="C8" s="40" t="s">
        <v>29</v>
      </c>
      <c r="D8" s="62">
        <v>17.600000000000001</v>
      </c>
      <c r="E8" s="41"/>
      <c r="F8" s="41"/>
      <c r="G8" s="41"/>
      <c r="H8" s="42">
        <f t="shared" si="0"/>
        <v>0</v>
      </c>
    </row>
    <row r="9" spans="2:8" ht="24.95" customHeight="1">
      <c r="B9" s="7" t="s">
        <v>31</v>
      </c>
      <c r="C9" s="45" t="s">
        <v>32</v>
      </c>
      <c r="D9" s="63">
        <v>6.28</v>
      </c>
      <c r="E9" s="46"/>
      <c r="F9" s="46"/>
      <c r="G9" s="46"/>
      <c r="H9" s="47">
        <f>G9-F9</f>
        <v>0</v>
      </c>
    </row>
    <row r="10" spans="2:8" ht="24.95" customHeight="1"/>
    <row r="11" spans="2:8" ht="24.95" customHeight="1"/>
  </sheetData>
  <mergeCells count="4">
    <mergeCell ref="B5:B6"/>
    <mergeCell ref="B7:B8"/>
    <mergeCell ref="B4:C4"/>
    <mergeCell ref="B2:H2"/>
  </mergeCells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CDD50-40E8-43B8-86B3-04DABBAC7DFF}">
  <dimension ref="B2:F11"/>
  <sheetViews>
    <sheetView workbookViewId="0">
      <selection activeCell="T1" sqref="T1"/>
    </sheetView>
  </sheetViews>
  <sheetFormatPr defaultRowHeight="12.75"/>
  <cols>
    <col min="1" max="1" width="1.75" style="2" customWidth="1"/>
    <col min="2" max="6" width="15.625" style="2" customWidth="1"/>
    <col min="7" max="16384" width="9" style="2"/>
  </cols>
  <sheetData>
    <row r="2" spans="2:6" ht="30" customHeight="1">
      <c r="B2" s="103" t="s">
        <v>184</v>
      </c>
      <c r="C2" s="103"/>
      <c r="D2" s="103"/>
      <c r="E2" s="103"/>
      <c r="F2" s="103"/>
    </row>
    <row r="3" spans="2:6" ht="15" customHeight="1">
      <c r="B3" s="101"/>
      <c r="C3" s="102"/>
      <c r="D3" s="102"/>
      <c r="E3" s="102"/>
      <c r="F3" s="102"/>
    </row>
    <row r="4" spans="2:6" ht="24.95" customHeight="1">
      <c r="B4" s="111" t="s">
        <v>55</v>
      </c>
      <c r="C4" s="37" t="s">
        <v>21</v>
      </c>
      <c r="D4" s="37" t="s">
        <v>57</v>
      </c>
      <c r="E4" s="37" t="s">
        <v>58</v>
      </c>
      <c r="F4" s="38" t="s">
        <v>59</v>
      </c>
    </row>
    <row r="5" spans="2:6" ht="24.95" customHeight="1">
      <c r="B5" s="113"/>
      <c r="C5" s="5" t="s">
        <v>56</v>
      </c>
      <c r="D5" s="5" t="s">
        <v>56</v>
      </c>
      <c r="E5" s="5" t="s">
        <v>56</v>
      </c>
      <c r="F5" s="6" t="s">
        <v>56</v>
      </c>
    </row>
    <row r="6" spans="2:6" ht="24.95" customHeight="1">
      <c r="B6" s="16" t="s">
        <v>60</v>
      </c>
      <c r="C6" s="17"/>
      <c r="D6" s="17"/>
      <c r="E6" s="17">
        <f>C6+D6</f>
        <v>0</v>
      </c>
      <c r="F6" s="18">
        <f>100-E6</f>
        <v>100</v>
      </c>
    </row>
    <row r="7" spans="2:6" ht="24.95" customHeight="1">
      <c r="B7" s="4" t="s">
        <v>61</v>
      </c>
      <c r="C7" s="5"/>
      <c r="D7" s="5"/>
      <c r="E7" s="5">
        <f>C7+D7</f>
        <v>0</v>
      </c>
      <c r="F7" s="6">
        <f>100-E7</f>
        <v>100</v>
      </c>
    </row>
    <row r="8" spans="2:6" ht="24.95" customHeight="1">
      <c r="B8" s="4" t="s">
        <v>62</v>
      </c>
      <c r="C8" s="5"/>
      <c r="D8" s="5"/>
      <c r="E8" s="5">
        <f t="shared" ref="E8:E10" si="0">C8+D8</f>
        <v>0</v>
      </c>
      <c r="F8" s="6">
        <f t="shared" ref="F8:F10" si="1">100-E8</f>
        <v>100</v>
      </c>
    </row>
    <row r="9" spans="2:6" ht="24.95" customHeight="1">
      <c r="B9" s="55" t="s">
        <v>63</v>
      </c>
      <c r="C9" s="56"/>
      <c r="D9" s="56"/>
      <c r="E9" s="56">
        <f t="shared" si="0"/>
        <v>0</v>
      </c>
      <c r="F9" s="57">
        <f t="shared" si="1"/>
        <v>100</v>
      </c>
    </row>
    <row r="10" spans="2:6" ht="24.95" customHeight="1">
      <c r="B10" s="48" t="s">
        <v>64</v>
      </c>
      <c r="C10" s="49"/>
      <c r="D10" s="49"/>
      <c r="E10" s="49">
        <f t="shared" si="0"/>
        <v>0</v>
      </c>
      <c r="F10" s="50">
        <f t="shared" si="1"/>
        <v>100</v>
      </c>
    </row>
    <row r="11" spans="2:6" ht="24.95" customHeight="1"/>
  </sheetData>
  <mergeCells count="3">
    <mergeCell ref="B4:B5"/>
    <mergeCell ref="B3:F3"/>
    <mergeCell ref="B2:F2"/>
  </mergeCells>
  <phoneticPr fontId="1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0C0BE-55C4-4E46-AEBD-A047ADDF1343}">
  <dimension ref="B2:F9"/>
  <sheetViews>
    <sheetView workbookViewId="0">
      <selection activeCell="T1" sqref="T1"/>
    </sheetView>
  </sheetViews>
  <sheetFormatPr defaultRowHeight="14.25"/>
  <cols>
    <col min="1" max="1" width="2.625" style="1" customWidth="1"/>
    <col min="2" max="2" width="9" style="1"/>
    <col min="3" max="5" width="12.625" style="1" customWidth="1"/>
    <col min="6" max="6" width="27.375" style="1" customWidth="1"/>
    <col min="7" max="7" width="12.625" style="1" customWidth="1"/>
    <col min="8" max="16384" width="9" style="1"/>
  </cols>
  <sheetData>
    <row r="2" spans="2:6" ht="30" customHeight="1">
      <c r="B2" s="103" t="s">
        <v>185</v>
      </c>
      <c r="C2" s="103"/>
      <c r="D2" s="103"/>
      <c r="E2" s="103"/>
      <c r="F2" s="103"/>
    </row>
    <row r="3" spans="2:6" ht="15" customHeight="1">
      <c r="B3" s="102"/>
      <c r="C3" s="102"/>
      <c r="D3" s="102"/>
      <c r="E3" s="102"/>
      <c r="F3" s="102"/>
    </row>
    <row r="4" spans="2:6" ht="24.95" customHeight="1">
      <c r="B4" s="114" t="s">
        <v>16</v>
      </c>
      <c r="C4" s="35" t="s">
        <v>65</v>
      </c>
      <c r="D4" s="35" t="s">
        <v>23</v>
      </c>
      <c r="E4" s="35" t="s">
        <v>36</v>
      </c>
      <c r="F4" s="115" t="s">
        <v>66</v>
      </c>
    </row>
    <row r="5" spans="2:6" ht="24.95" customHeight="1">
      <c r="B5" s="110"/>
      <c r="C5" s="65" t="s">
        <v>56</v>
      </c>
      <c r="D5" s="65" t="s">
        <v>56</v>
      </c>
      <c r="E5" s="65" t="s">
        <v>56</v>
      </c>
      <c r="F5" s="116"/>
    </row>
    <row r="6" spans="2:6" ht="24.95" customHeight="1">
      <c r="B6" s="44" t="s">
        <v>67</v>
      </c>
      <c r="C6" s="65"/>
      <c r="D6" s="65"/>
      <c r="E6" s="65">
        <f>C6-D6</f>
        <v>0</v>
      </c>
      <c r="F6" s="66"/>
    </row>
    <row r="7" spans="2:6" ht="24.95" customHeight="1">
      <c r="B7" s="44" t="s">
        <v>68</v>
      </c>
      <c r="C7" s="65"/>
      <c r="D7" s="65"/>
      <c r="E7" s="65">
        <f>C7-D7</f>
        <v>0</v>
      </c>
      <c r="F7" s="66"/>
    </row>
    <row r="8" spans="2:6" ht="24.95" customHeight="1">
      <c r="B8" s="70" t="s">
        <v>69</v>
      </c>
      <c r="C8" s="71"/>
      <c r="D8" s="71"/>
      <c r="E8" s="71">
        <f>C8-D8</f>
        <v>0</v>
      </c>
      <c r="F8" s="72"/>
    </row>
    <row r="9" spans="2:6" ht="24.95" customHeight="1"/>
  </sheetData>
  <mergeCells count="4">
    <mergeCell ref="B4:B5"/>
    <mergeCell ref="F4:F5"/>
    <mergeCell ref="B3:F3"/>
    <mergeCell ref="B2:F2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54765-2F12-481A-9848-0C6D93ECED61}">
  <dimension ref="B2:P8"/>
  <sheetViews>
    <sheetView workbookViewId="0">
      <selection activeCell="AA1" sqref="AA1"/>
    </sheetView>
  </sheetViews>
  <sheetFormatPr defaultRowHeight="12.75"/>
  <cols>
    <col min="1" max="1" width="2" style="2" customWidth="1"/>
    <col min="2" max="2" width="9" style="2"/>
    <col min="3" max="14" width="6.625" style="2" customWidth="1"/>
    <col min="15" max="16" width="7.625" style="2" customWidth="1"/>
    <col min="17" max="16384" width="9" style="2"/>
  </cols>
  <sheetData>
    <row r="2" spans="2:16" ht="30" customHeight="1">
      <c r="B2" s="103" t="s">
        <v>186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</row>
    <row r="3" spans="2:16" ht="15" customHeight="1">
      <c r="B3" s="101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</row>
    <row r="4" spans="2:16" ht="60" customHeight="1">
      <c r="B4" s="73" t="s">
        <v>70</v>
      </c>
      <c r="C4" s="37" t="s">
        <v>71</v>
      </c>
      <c r="D4" s="37" t="s">
        <v>72</v>
      </c>
      <c r="E4" s="37" t="s">
        <v>73</v>
      </c>
      <c r="F4" s="37" t="s">
        <v>74</v>
      </c>
      <c r="G4" s="37" t="s">
        <v>75</v>
      </c>
      <c r="H4" s="37" t="s">
        <v>76</v>
      </c>
      <c r="I4" s="37" t="s">
        <v>77</v>
      </c>
      <c r="J4" s="37" t="s">
        <v>78</v>
      </c>
      <c r="K4" s="37" t="s">
        <v>79</v>
      </c>
      <c r="L4" s="37" t="s">
        <v>80</v>
      </c>
      <c r="M4" s="37" t="s">
        <v>81</v>
      </c>
      <c r="N4" s="37" t="s">
        <v>82</v>
      </c>
      <c r="O4" s="37" t="s">
        <v>34</v>
      </c>
      <c r="P4" s="38" t="s">
        <v>35</v>
      </c>
    </row>
    <row r="5" spans="2:16" ht="60" customHeight="1">
      <c r="B5" s="100" t="s">
        <v>176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2"/>
    </row>
    <row r="6" spans="2:16" ht="60" customHeight="1">
      <c r="B6" s="43" t="s">
        <v>83</v>
      </c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2"/>
    </row>
    <row r="7" spans="2:16" ht="60" customHeight="1">
      <c r="B7" s="74" t="s">
        <v>84</v>
      </c>
      <c r="C7" s="75"/>
      <c r="D7" s="75"/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P7" s="76"/>
    </row>
    <row r="8" spans="2:16" ht="24.95" customHeight="1"/>
  </sheetData>
  <mergeCells count="2">
    <mergeCell ref="B3:P3"/>
    <mergeCell ref="B2:P2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4D530-4977-4F6A-B6E4-BE4620A0F189}">
  <dimension ref="B2:M27"/>
  <sheetViews>
    <sheetView workbookViewId="0">
      <selection activeCell="X1" sqref="X1"/>
    </sheetView>
  </sheetViews>
  <sheetFormatPr defaultRowHeight="12.75"/>
  <cols>
    <col min="1" max="1" width="1.875" style="2" customWidth="1"/>
    <col min="2" max="2" width="10.625" style="2" customWidth="1"/>
    <col min="3" max="16384" width="9" style="2"/>
  </cols>
  <sheetData>
    <row r="2" spans="2:13" ht="30" customHeight="1">
      <c r="B2" s="103" t="s">
        <v>187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</row>
    <row r="3" spans="2:13" ht="30" customHeight="1">
      <c r="B3" s="111" t="s">
        <v>142</v>
      </c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5"/>
    </row>
    <row r="4" spans="2:13" ht="9.9499999999999993" customHeight="1">
      <c r="B4" s="117"/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19"/>
    </row>
    <row r="5" spans="2:13" ht="20.100000000000001" customHeight="1">
      <c r="B5" s="113" t="s">
        <v>122</v>
      </c>
      <c r="C5" s="120"/>
      <c r="D5" s="5"/>
      <c r="E5" s="5"/>
      <c r="F5" s="5"/>
      <c r="G5" s="5"/>
      <c r="H5" s="5"/>
      <c r="I5" s="5"/>
      <c r="J5" s="5"/>
      <c r="K5" s="121" t="s">
        <v>131</v>
      </c>
      <c r="L5" s="121" t="s">
        <v>132</v>
      </c>
      <c r="M5" s="122" t="s">
        <v>133</v>
      </c>
    </row>
    <row r="6" spans="2:13" ht="20.100000000000001" customHeight="1">
      <c r="B6" s="113" t="s">
        <v>123</v>
      </c>
      <c r="C6" s="120"/>
      <c r="D6" s="5" t="s">
        <v>124</v>
      </c>
      <c r="E6" s="5" t="s">
        <v>125</v>
      </c>
      <c r="F6" s="5" t="s">
        <v>126</v>
      </c>
      <c r="G6" s="5" t="s">
        <v>127</v>
      </c>
      <c r="H6" s="5" t="s">
        <v>128</v>
      </c>
      <c r="I6" s="5" t="s">
        <v>129</v>
      </c>
      <c r="J6" s="5" t="s">
        <v>130</v>
      </c>
      <c r="K6" s="120"/>
      <c r="L6" s="120"/>
      <c r="M6" s="116"/>
    </row>
    <row r="7" spans="2:13" ht="20.100000000000001" customHeight="1">
      <c r="B7" s="123" t="s">
        <v>134</v>
      </c>
      <c r="C7" s="124"/>
      <c r="D7" s="124"/>
      <c r="E7" s="124"/>
      <c r="F7" s="124"/>
      <c r="G7" s="124"/>
      <c r="H7" s="124"/>
      <c r="I7" s="124"/>
      <c r="J7" s="124"/>
      <c r="K7" s="124"/>
      <c r="L7" s="124"/>
      <c r="M7" s="125"/>
    </row>
    <row r="8" spans="2:13" ht="20.100000000000001" customHeight="1">
      <c r="B8" s="4" t="s">
        <v>21</v>
      </c>
      <c r="C8" s="5" t="s">
        <v>56</v>
      </c>
      <c r="D8" s="5"/>
      <c r="E8" s="5"/>
      <c r="F8" s="5"/>
      <c r="G8" s="5"/>
      <c r="H8" s="5"/>
      <c r="I8" s="5"/>
      <c r="J8" s="5"/>
      <c r="K8" s="5"/>
      <c r="L8" s="5"/>
      <c r="M8" s="6">
        <f>K8-L8</f>
        <v>0</v>
      </c>
    </row>
    <row r="9" spans="2:13" ht="20.100000000000001" customHeight="1">
      <c r="B9" s="4" t="s">
        <v>98</v>
      </c>
      <c r="C9" s="5" t="s">
        <v>90</v>
      </c>
      <c r="D9" s="5"/>
      <c r="E9" s="5"/>
      <c r="F9" s="5"/>
      <c r="G9" s="5"/>
      <c r="H9" s="5"/>
      <c r="I9" s="5"/>
      <c r="J9" s="5"/>
      <c r="K9" s="5"/>
      <c r="L9" s="5"/>
      <c r="M9" s="6">
        <f t="shared" ref="M9:M10" si="0">K9-L9</f>
        <v>0</v>
      </c>
    </row>
    <row r="10" spans="2:13" ht="20.100000000000001" customHeight="1">
      <c r="B10" s="4" t="s">
        <v>44</v>
      </c>
      <c r="C10" s="5" t="s">
        <v>12</v>
      </c>
      <c r="D10" s="5"/>
      <c r="E10" s="5"/>
      <c r="F10" s="5"/>
      <c r="G10" s="5"/>
      <c r="H10" s="5"/>
      <c r="I10" s="5"/>
      <c r="J10" s="5"/>
      <c r="K10" s="5"/>
      <c r="L10" s="5"/>
      <c r="M10" s="6">
        <f t="shared" si="0"/>
        <v>0</v>
      </c>
    </row>
    <row r="11" spans="2:13" ht="20.100000000000001" customHeight="1">
      <c r="B11" s="123" t="s">
        <v>135</v>
      </c>
      <c r="C11" s="124"/>
      <c r="D11" s="124"/>
      <c r="E11" s="124"/>
      <c r="F11" s="124"/>
      <c r="G11" s="124"/>
      <c r="H11" s="124"/>
      <c r="I11" s="124"/>
      <c r="J11" s="124"/>
      <c r="K11" s="124"/>
      <c r="L11" s="124"/>
      <c r="M11" s="125"/>
    </row>
    <row r="12" spans="2:13" ht="20.100000000000001" customHeight="1">
      <c r="B12" s="4" t="s">
        <v>21</v>
      </c>
      <c r="C12" s="5" t="s">
        <v>56</v>
      </c>
      <c r="D12" s="5"/>
      <c r="E12" s="5"/>
      <c r="F12" s="5"/>
      <c r="G12" s="5"/>
      <c r="H12" s="5"/>
      <c r="I12" s="5"/>
      <c r="J12" s="5"/>
      <c r="K12" s="5"/>
      <c r="L12" s="5"/>
      <c r="M12" s="6">
        <f>K12-L12</f>
        <v>0</v>
      </c>
    </row>
    <row r="13" spans="2:13" ht="20.100000000000001" customHeight="1">
      <c r="B13" s="4" t="s">
        <v>57</v>
      </c>
      <c r="C13" s="5" t="s">
        <v>56</v>
      </c>
      <c r="D13" s="5"/>
      <c r="E13" s="5"/>
      <c r="F13" s="5"/>
      <c r="G13" s="5"/>
      <c r="H13" s="5"/>
      <c r="I13" s="5"/>
      <c r="J13" s="5"/>
      <c r="K13" s="5"/>
      <c r="L13" s="5"/>
      <c r="M13" s="6">
        <f t="shared" ref="M13:M15" si="1">K13-L13</f>
        <v>0</v>
      </c>
    </row>
    <row r="14" spans="2:13" ht="20.100000000000001" customHeight="1">
      <c r="B14" s="4" t="s">
        <v>58</v>
      </c>
      <c r="C14" s="5" t="s">
        <v>56</v>
      </c>
      <c r="D14" s="5"/>
      <c r="E14" s="5"/>
      <c r="F14" s="5"/>
      <c r="G14" s="5"/>
      <c r="H14" s="5"/>
      <c r="I14" s="5"/>
      <c r="J14" s="5"/>
      <c r="K14" s="5"/>
      <c r="L14" s="5"/>
      <c r="M14" s="6">
        <f t="shared" si="1"/>
        <v>0</v>
      </c>
    </row>
    <row r="15" spans="2:13" ht="20.100000000000001" customHeight="1">
      <c r="B15" s="4" t="s">
        <v>59</v>
      </c>
      <c r="C15" s="5" t="s">
        <v>56</v>
      </c>
      <c r="D15" s="5">
        <f>100-D14</f>
        <v>100</v>
      </c>
      <c r="E15" s="5">
        <f t="shared" ref="E15:L15" si="2">100-E14</f>
        <v>100</v>
      </c>
      <c r="F15" s="5">
        <f t="shared" si="2"/>
        <v>100</v>
      </c>
      <c r="G15" s="5">
        <f t="shared" si="2"/>
        <v>100</v>
      </c>
      <c r="H15" s="5">
        <f t="shared" si="2"/>
        <v>100</v>
      </c>
      <c r="I15" s="5">
        <f t="shared" si="2"/>
        <v>100</v>
      </c>
      <c r="J15" s="5">
        <f t="shared" si="2"/>
        <v>100</v>
      </c>
      <c r="K15" s="5">
        <f t="shared" si="2"/>
        <v>100</v>
      </c>
      <c r="L15" s="5">
        <f t="shared" si="2"/>
        <v>100</v>
      </c>
      <c r="M15" s="6">
        <f t="shared" si="1"/>
        <v>0</v>
      </c>
    </row>
    <row r="16" spans="2:13" ht="20.100000000000001" customHeight="1">
      <c r="B16" s="123" t="s">
        <v>136</v>
      </c>
      <c r="C16" s="124"/>
      <c r="D16" s="124"/>
      <c r="E16" s="124"/>
      <c r="F16" s="124"/>
      <c r="G16" s="124"/>
      <c r="H16" s="124"/>
      <c r="I16" s="124"/>
      <c r="J16" s="124"/>
      <c r="K16" s="124"/>
      <c r="L16" s="124"/>
      <c r="M16" s="125"/>
    </row>
    <row r="17" spans="2:13" ht="20.100000000000001" customHeight="1">
      <c r="B17" s="4" t="s">
        <v>137</v>
      </c>
      <c r="C17" s="5" t="s">
        <v>56</v>
      </c>
      <c r="D17" s="5"/>
      <c r="E17" s="5"/>
      <c r="F17" s="5"/>
      <c r="G17" s="5"/>
      <c r="H17" s="5"/>
      <c r="I17" s="5"/>
      <c r="J17" s="5"/>
      <c r="K17" s="5"/>
      <c r="L17" s="5"/>
      <c r="M17" s="6">
        <f>K17-L17</f>
        <v>0</v>
      </c>
    </row>
    <row r="18" spans="2:13" ht="20.100000000000001" customHeight="1">
      <c r="B18" s="123" t="s">
        <v>138</v>
      </c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5"/>
    </row>
    <row r="19" spans="2:13" ht="20.100000000000001" customHeight="1">
      <c r="B19" s="4" t="s">
        <v>139</v>
      </c>
      <c r="C19" s="5" t="s">
        <v>56</v>
      </c>
      <c r="D19" s="5"/>
      <c r="E19" s="5"/>
      <c r="F19" s="5"/>
      <c r="G19" s="5"/>
      <c r="H19" s="5"/>
      <c r="I19" s="5"/>
      <c r="J19" s="5"/>
      <c r="K19" s="5"/>
      <c r="L19" s="5"/>
      <c r="M19" s="6"/>
    </row>
    <row r="20" spans="2:13" ht="20.100000000000001" customHeight="1">
      <c r="B20" s="4" t="s">
        <v>140</v>
      </c>
      <c r="C20" s="5" t="s">
        <v>118</v>
      </c>
      <c r="D20" s="5"/>
      <c r="E20" s="5"/>
      <c r="F20" s="5"/>
      <c r="G20" s="5"/>
      <c r="H20" s="5"/>
      <c r="I20" s="5"/>
      <c r="J20" s="5"/>
      <c r="K20" s="5"/>
      <c r="L20" s="5"/>
      <c r="M20" s="6">
        <f>K20-L20</f>
        <v>0</v>
      </c>
    </row>
    <row r="21" spans="2:13" ht="20.100000000000001" customHeight="1">
      <c r="B21" s="123" t="s">
        <v>141</v>
      </c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5"/>
    </row>
    <row r="22" spans="2:13" ht="20.100000000000001" customHeight="1">
      <c r="B22" s="7" t="s">
        <v>21</v>
      </c>
      <c r="C22" s="8" t="s">
        <v>56</v>
      </c>
      <c r="D22" s="8"/>
      <c r="E22" s="8"/>
      <c r="F22" s="8"/>
      <c r="G22" s="8"/>
      <c r="H22" s="8"/>
      <c r="I22" s="8"/>
      <c r="J22" s="8"/>
      <c r="K22" s="8"/>
      <c r="L22" s="8"/>
      <c r="M22" s="9">
        <f>K22-L22</f>
        <v>0</v>
      </c>
    </row>
    <row r="23" spans="2:13" ht="20.100000000000001" customHeight="1"/>
    <row r="24" spans="2:13" ht="20.100000000000001" customHeight="1"/>
    <row r="25" spans="2:13" ht="20.100000000000001" customHeight="1"/>
    <row r="26" spans="2:13" ht="20.100000000000001" customHeight="1"/>
    <row r="27" spans="2:13" ht="20.100000000000001" customHeight="1"/>
  </sheetData>
  <mergeCells count="13">
    <mergeCell ref="B7:M7"/>
    <mergeCell ref="B11:M11"/>
    <mergeCell ref="B16:M16"/>
    <mergeCell ref="B18:M18"/>
    <mergeCell ref="B21:M21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D152C-D8F7-4462-9CE2-42DBA1287E35}">
  <dimension ref="B2:G14"/>
  <sheetViews>
    <sheetView workbookViewId="0">
      <selection activeCell="V1" sqref="V1"/>
    </sheetView>
  </sheetViews>
  <sheetFormatPr defaultRowHeight="12.75"/>
  <cols>
    <col min="1" max="1" width="1.375" style="2" customWidth="1"/>
    <col min="2" max="2" width="9" style="2"/>
    <col min="3" max="7" width="12.625" style="2" customWidth="1"/>
    <col min="8" max="16384" width="9" style="2"/>
  </cols>
  <sheetData>
    <row r="2" spans="2:7" ht="30" customHeight="1">
      <c r="B2" s="103" t="s">
        <v>188</v>
      </c>
      <c r="C2" s="103"/>
      <c r="D2" s="103"/>
      <c r="E2" s="103"/>
      <c r="F2" s="103"/>
      <c r="G2" s="103"/>
    </row>
    <row r="3" spans="2:7" ht="15" customHeight="1">
      <c r="B3" s="101"/>
      <c r="C3" s="102"/>
      <c r="D3" s="102"/>
      <c r="E3" s="102"/>
      <c r="F3" s="102"/>
      <c r="G3" s="102"/>
    </row>
    <row r="4" spans="2:7" ht="15.75" customHeight="1">
      <c r="B4" s="126" t="s">
        <v>95</v>
      </c>
      <c r="C4" s="127"/>
      <c r="D4" s="127"/>
      <c r="E4" s="127"/>
      <c r="F4" s="127"/>
      <c r="G4" s="128"/>
    </row>
    <row r="5" spans="2:7" ht="24.95" customHeight="1">
      <c r="B5" s="4" t="s">
        <v>39</v>
      </c>
      <c r="C5" s="5" t="s">
        <v>86</v>
      </c>
      <c r="D5" s="5" t="s">
        <v>87</v>
      </c>
      <c r="E5" s="5" t="s">
        <v>88</v>
      </c>
      <c r="F5" s="5" t="s">
        <v>89</v>
      </c>
      <c r="G5" s="6" t="s">
        <v>91</v>
      </c>
    </row>
    <row r="6" spans="2:7" ht="24.95" customHeight="1">
      <c r="B6" s="4" t="s">
        <v>40</v>
      </c>
      <c r="C6" s="5" t="s">
        <v>10</v>
      </c>
      <c r="D6" s="5" t="s">
        <v>10</v>
      </c>
      <c r="E6" s="5" t="s">
        <v>12</v>
      </c>
      <c r="F6" s="5" t="s">
        <v>90</v>
      </c>
      <c r="G6" s="6" t="s">
        <v>92</v>
      </c>
    </row>
    <row r="7" spans="2:7" ht="24.95" customHeight="1">
      <c r="B7" s="96" t="s">
        <v>85</v>
      </c>
      <c r="C7" s="97">
        <v>0.16600000000000001</v>
      </c>
      <c r="D7" s="97">
        <v>0.04</v>
      </c>
      <c r="E7" s="98">
        <f>C7/D7</f>
        <v>4.1500000000000004</v>
      </c>
      <c r="F7" s="97">
        <v>1.17</v>
      </c>
      <c r="G7" s="99" t="s">
        <v>93</v>
      </c>
    </row>
    <row r="8" spans="2:7" ht="24.95" customHeight="1">
      <c r="B8" s="94" t="s">
        <v>94</v>
      </c>
      <c r="C8" s="88"/>
      <c r="D8" s="88"/>
      <c r="E8" s="95" t="e">
        <f>C8/D8</f>
        <v>#DIV/0!</v>
      </c>
      <c r="F8" s="88"/>
      <c r="G8" s="91"/>
    </row>
    <row r="9" spans="2:7" ht="15.75" customHeight="1">
      <c r="B9" s="129" t="s">
        <v>96</v>
      </c>
      <c r="C9" s="130"/>
      <c r="D9" s="130"/>
      <c r="E9" s="130"/>
      <c r="F9" s="130"/>
      <c r="G9" s="131"/>
    </row>
    <row r="10" spans="2:7" ht="24.95" customHeight="1">
      <c r="B10" s="4" t="s">
        <v>39</v>
      </c>
      <c r="C10" s="132" t="s">
        <v>21</v>
      </c>
      <c r="D10" s="120"/>
      <c r="E10" s="5" t="s">
        <v>97</v>
      </c>
      <c r="F10" s="132" t="s">
        <v>98</v>
      </c>
      <c r="G10" s="116"/>
    </row>
    <row r="11" spans="2:7" ht="24.95" customHeight="1">
      <c r="B11" s="4" t="s">
        <v>40</v>
      </c>
      <c r="C11" s="132" t="s">
        <v>56</v>
      </c>
      <c r="D11" s="120"/>
      <c r="E11" s="5" t="s">
        <v>90</v>
      </c>
      <c r="F11" s="132" t="s">
        <v>90</v>
      </c>
      <c r="G11" s="116"/>
    </row>
    <row r="12" spans="2:7" ht="24.95" customHeight="1">
      <c r="B12" s="4" t="s">
        <v>34</v>
      </c>
      <c r="C12" s="133"/>
      <c r="D12" s="134"/>
      <c r="E12" s="5"/>
      <c r="F12" s="133"/>
      <c r="G12" s="137"/>
    </row>
    <row r="13" spans="2:7" ht="24.95" customHeight="1">
      <c r="B13" s="7" t="s">
        <v>35</v>
      </c>
      <c r="C13" s="135"/>
      <c r="D13" s="136"/>
      <c r="E13" s="8"/>
      <c r="F13" s="135"/>
      <c r="G13" s="138"/>
    </row>
    <row r="14" spans="2:7" ht="24.95" customHeight="1"/>
  </sheetData>
  <mergeCells count="12">
    <mergeCell ref="C12:D12"/>
    <mergeCell ref="C13:D13"/>
    <mergeCell ref="F12:G12"/>
    <mergeCell ref="F13:G13"/>
    <mergeCell ref="B3:G3"/>
    <mergeCell ref="B2:G2"/>
    <mergeCell ref="B4:G4"/>
    <mergeCell ref="B9:G9"/>
    <mergeCell ref="F10:G10"/>
    <mergeCell ref="F11:G11"/>
    <mergeCell ref="C10:D10"/>
    <mergeCell ref="C11:D11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4DA58-4F83-4F74-B5B9-DB0F33CC26DB}">
  <dimension ref="B2:E13"/>
  <sheetViews>
    <sheetView workbookViewId="0">
      <selection activeCell="L2" sqref="L2"/>
    </sheetView>
  </sheetViews>
  <sheetFormatPr defaultRowHeight="14.25"/>
  <cols>
    <col min="1" max="1" width="2.25" style="1" customWidth="1"/>
    <col min="2" max="2" width="12.625" style="1" customWidth="1"/>
    <col min="3" max="5" width="20.625" style="1" customWidth="1"/>
    <col min="6" max="6" width="12.625" style="1" customWidth="1"/>
    <col min="7" max="16384" width="9" style="1"/>
  </cols>
  <sheetData>
    <row r="2" spans="2:5" ht="30" customHeight="1">
      <c r="B2" s="103" t="s">
        <v>177</v>
      </c>
      <c r="C2" s="103"/>
      <c r="D2" s="103"/>
      <c r="E2" s="103"/>
    </row>
    <row r="3" spans="2:5" ht="15" customHeight="1">
      <c r="B3" s="139"/>
      <c r="C3" s="139"/>
      <c r="D3" s="139"/>
      <c r="E3" s="139"/>
    </row>
    <row r="4" spans="2:5" ht="24.95" customHeight="1">
      <c r="B4" s="140" t="s">
        <v>114</v>
      </c>
      <c r="C4" s="35" t="s">
        <v>113</v>
      </c>
      <c r="D4" s="35" t="s">
        <v>115</v>
      </c>
      <c r="E4" s="141" t="s">
        <v>116</v>
      </c>
    </row>
    <row r="5" spans="2:5" ht="24.95" customHeight="1">
      <c r="B5" s="110"/>
      <c r="C5" s="65" t="s">
        <v>112</v>
      </c>
      <c r="D5" s="65" t="s">
        <v>12</v>
      </c>
      <c r="E5" s="142"/>
    </row>
    <row r="6" spans="2:5" ht="24.95" customHeight="1">
      <c r="B6" s="44" t="s">
        <v>110</v>
      </c>
      <c r="C6" s="65"/>
      <c r="D6" s="65"/>
      <c r="E6" s="66">
        <v>301</v>
      </c>
    </row>
    <row r="7" spans="2:5" ht="24.95" customHeight="1">
      <c r="B7" s="67" t="s">
        <v>111</v>
      </c>
      <c r="C7" s="68"/>
      <c r="D7" s="68"/>
      <c r="E7" s="69">
        <v>301</v>
      </c>
    </row>
    <row r="8" spans="2:5" ht="15" customHeight="1">
      <c r="B8" s="143"/>
      <c r="C8" s="144"/>
      <c r="D8" s="144"/>
      <c r="E8" s="145"/>
    </row>
    <row r="9" spans="2:5" ht="24.95" customHeight="1">
      <c r="B9" s="140" t="s">
        <v>106</v>
      </c>
      <c r="C9" s="35" t="s">
        <v>21</v>
      </c>
      <c r="D9" s="35" t="s">
        <v>98</v>
      </c>
      <c r="E9" s="64" t="s">
        <v>97</v>
      </c>
    </row>
    <row r="10" spans="2:5" ht="24.95" customHeight="1">
      <c r="B10" s="110"/>
      <c r="C10" s="65" t="s">
        <v>56</v>
      </c>
      <c r="D10" s="65" t="s">
        <v>90</v>
      </c>
      <c r="E10" s="66" t="s">
        <v>90</v>
      </c>
    </row>
    <row r="11" spans="2:5" ht="24.95" customHeight="1">
      <c r="B11" s="44" t="s">
        <v>107</v>
      </c>
      <c r="C11" s="65"/>
      <c r="D11" s="65"/>
      <c r="E11" s="66"/>
    </row>
    <row r="12" spans="2:5" ht="24.95" customHeight="1">
      <c r="B12" s="44" t="s">
        <v>108</v>
      </c>
      <c r="C12" s="65">
        <f>C11</f>
        <v>0</v>
      </c>
      <c r="D12" s="65">
        <f>D11</f>
        <v>0</v>
      </c>
      <c r="E12" s="66">
        <f>E11</f>
        <v>0</v>
      </c>
    </row>
    <row r="13" spans="2:5" ht="24.95" customHeight="1">
      <c r="B13" s="67" t="s">
        <v>109</v>
      </c>
      <c r="C13" s="68">
        <f>C11-C12</f>
        <v>0</v>
      </c>
      <c r="D13" s="68">
        <f t="shared" ref="D13:E13" si="0">D11-D12</f>
        <v>0</v>
      </c>
      <c r="E13" s="69">
        <f t="shared" si="0"/>
        <v>0</v>
      </c>
    </row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66614-9DD4-4B41-ADB1-C885FD017702}">
  <dimension ref="B2:E15"/>
  <sheetViews>
    <sheetView workbookViewId="0">
      <selection activeCell="J9" sqref="J9"/>
    </sheetView>
  </sheetViews>
  <sheetFormatPr defaultRowHeight="14.25"/>
  <cols>
    <col min="1" max="1" width="2.625" customWidth="1"/>
    <col min="2" max="2" width="20.25" customWidth="1"/>
    <col min="3" max="5" width="15.625" customWidth="1"/>
  </cols>
  <sheetData>
    <row r="2" spans="2:5" ht="30" customHeight="1">
      <c r="B2" s="103" t="s">
        <v>178</v>
      </c>
      <c r="C2" s="103"/>
      <c r="D2" s="103"/>
      <c r="E2" s="103"/>
    </row>
    <row r="3" spans="2:5" ht="15" customHeight="1">
      <c r="B3" s="149"/>
      <c r="C3" s="149"/>
      <c r="D3" s="149"/>
      <c r="E3" s="149"/>
    </row>
    <row r="4" spans="2:5" s="1" customFormat="1" ht="24.95" customHeight="1">
      <c r="B4" s="3" t="s">
        <v>102</v>
      </c>
      <c r="C4" s="112"/>
      <c r="D4" s="112"/>
      <c r="E4" s="38" t="s">
        <v>56</v>
      </c>
    </row>
    <row r="5" spans="2:5" s="1" customFormat="1" ht="24.95" customHeight="1">
      <c r="B5" s="39" t="s">
        <v>103</v>
      </c>
      <c r="C5" s="120"/>
      <c r="D5" s="120"/>
      <c r="E5" s="82" t="s">
        <v>104</v>
      </c>
    </row>
    <row r="6" spans="2:5" s="1" customFormat="1" ht="11.25" customHeight="1">
      <c r="B6" s="146"/>
      <c r="C6" s="147"/>
      <c r="D6" s="147"/>
      <c r="E6" s="148"/>
    </row>
    <row r="7" spans="2:5" ht="30" customHeight="1">
      <c r="B7" s="83" t="s">
        <v>105</v>
      </c>
      <c r="C7" s="37" t="s">
        <v>33</v>
      </c>
      <c r="D7" s="52" t="s">
        <v>34</v>
      </c>
      <c r="E7" s="53" t="s">
        <v>35</v>
      </c>
    </row>
    <row r="8" spans="2:5" s="54" customFormat="1" ht="30" customHeight="1">
      <c r="B8" s="39" t="s">
        <v>22</v>
      </c>
      <c r="C8" s="77"/>
      <c r="D8" s="77"/>
      <c r="E8" s="78"/>
    </row>
    <row r="9" spans="2:5" s="54" customFormat="1" ht="30" customHeight="1">
      <c r="B9" s="39" t="s">
        <v>99</v>
      </c>
      <c r="C9" s="77"/>
      <c r="D9" s="77"/>
      <c r="E9" s="78"/>
    </row>
    <row r="10" spans="2:5" s="54" customFormat="1" ht="30" customHeight="1">
      <c r="B10" s="39" t="s">
        <v>100</v>
      </c>
      <c r="C10" s="77"/>
      <c r="D10" s="77"/>
      <c r="E10" s="78"/>
    </row>
    <row r="11" spans="2:5" s="54" customFormat="1" ht="30" customHeight="1">
      <c r="B11" s="79" t="s">
        <v>101</v>
      </c>
      <c r="C11" s="80"/>
      <c r="D11" s="80"/>
      <c r="E11" s="81"/>
    </row>
    <row r="12" spans="2:5" s="54" customFormat="1" ht="30" customHeight="1"/>
    <row r="13" spans="2:5" s="54" customFormat="1" ht="30" customHeight="1"/>
    <row r="14" spans="2:5" s="54" customFormat="1" ht="30" customHeight="1"/>
    <row r="15" spans="2:5" ht="24.95" customHeight="1"/>
  </sheetData>
  <mergeCells count="5">
    <mergeCell ref="C5:D5"/>
    <mergeCell ref="C4:D4"/>
    <mergeCell ref="B6:E6"/>
    <mergeCell ref="B2:E2"/>
    <mergeCell ref="B3:E3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A01F1-14F4-4544-A36A-0BE8C70BEFC6}">
  <dimension ref="B2:J16"/>
  <sheetViews>
    <sheetView workbookViewId="0">
      <selection activeCell="M9" sqref="M9"/>
    </sheetView>
  </sheetViews>
  <sheetFormatPr defaultRowHeight="14.25"/>
  <cols>
    <col min="1" max="1" width="2.375" customWidth="1"/>
    <col min="2" max="2" width="12.625" customWidth="1"/>
    <col min="3" max="10" width="10.625" customWidth="1"/>
  </cols>
  <sheetData>
    <row r="2" spans="2:10" ht="30" customHeight="1">
      <c r="B2" s="103" t="s">
        <v>179</v>
      </c>
      <c r="C2" s="103"/>
      <c r="D2" s="103"/>
      <c r="E2" s="103"/>
      <c r="F2" s="103"/>
      <c r="G2" s="103"/>
      <c r="H2" s="103"/>
      <c r="I2" s="103"/>
      <c r="J2" s="103"/>
    </row>
    <row r="3" spans="2:10" ht="24.95" customHeight="1">
      <c r="B3" s="152" t="s">
        <v>121</v>
      </c>
      <c r="C3" s="152"/>
      <c r="D3" s="152"/>
      <c r="E3" s="152"/>
      <c r="F3" s="152"/>
      <c r="G3" s="152"/>
      <c r="H3" s="152"/>
      <c r="I3" s="152"/>
      <c r="J3" s="152"/>
    </row>
    <row r="4" spans="2:10" ht="15" customHeight="1"/>
    <row r="5" spans="2:10" ht="30" customHeight="1">
      <c r="B5" s="150" t="s">
        <v>117</v>
      </c>
      <c r="C5" s="92" t="s">
        <v>154</v>
      </c>
      <c r="D5" s="92" t="s">
        <v>155</v>
      </c>
      <c r="E5" s="92" t="s">
        <v>156</v>
      </c>
      <c r="F5" s="92" t="s">
        <v>157</v>
      </c>
      <c r="G5" s="92" t="s">
        <v>158</v>
      </c>
      <c r="H5" s="92" t="s">
        <v>159</v>
      </c>
      <c r="I5" s="92" t="s">
        <v>161</v>
      </c>
      <c r="J5" s="93" t="s">
        <v>160</v>
      </c>
    </row>
    <row r="6" spans="2:10" ht="24.95" customHeight="1">
      <c r="B6" s="151"/>
      <c r="C6" s="5" t="s">
        <v>119</v>
      </c>
      <c r="D6" s="5" t="s">
        <v>119</v>
      </c>
      <c r="E6" s="5" t="s">
        <v>120</v>
      </c>
      <c r="F6" s="5" t="s">
        <v>120</v>
      </c>
      <c r="G6" s="5" t="s">
        <v>120</v>
      </c>
      <c r="H6" s="5" t="s">
        <v>120</v>
      </c>
      <c r="I6" s="5" t="s">
        <v>120</v>
      </c>
      <c r="J6" s="6" t="s">
        <v>120</v>
      </c>
    </row>
    <row r="7" spans="2:10" s="1" customFormat="1" ht="24.95" customHeight="1">
      <c r="B7" s="16" t="s">
        <v>47</v>
      </c>
      <c r="C7" s="19">
        <v>1.4630000000000001</v>
      </c>
      <c r="D7" s="19">
        <v>0.25</v>
      </c>
      <c r="E7" s="19">
        <v>0.1</v>
      </c>
      <c r="F7" s="19" t="s">
        <v>12</v>
      </c>
      <c r="G7" s="19" t="s">
        <v>12</v>
      </c>
      <c r="H7" s="19" t="s">
        <v>12</v>
      </c>
      <c r="I7" s="84">
        <v>3</v>
      </c>
      <c r="J7" s="85">
        <v>0.57499999999999996</v>
      </c>
    </row>
    <row r="8" spans="2:10" s="1" customFormat="1" ht="24.95" customHeight="1">
      <c r="B8" s="4" t="s">
        <v>33</v>
      </c>
      <c r="C8" s="5"/>
      <c r="D8" s="5"/>
      <c r="E8" s="5"/>
      <c r="F8" s="5"/>
      <c r="G8" s="5"/>
      <c r="H8" s="5"/>
      <c r="I8" s="65"/>
      <c r="J8" s="66"/>
    </row>
    <row r="9" spans="2:10" s="1" customFormat="1" ht="24.95" customHeight="1">
      <c r="B9" s="16" t="s">
        <v>110</v>
      </c>
      <c r="C9" s="17"/>
      <c r="D9" s="17"/>
      <c r="E9" s="17"/>
      <c r="F9" s="17"/>
      <c r="G9" s="17"/>
      <c r="H9" s="17"/>
      <c r="I9" s="86"/>
      <c r="J9" s="87"/>
    </row>
    <row r="10" spans="2:10" s="1" customFormat="1" ht="24.95" customHeight="1">
      <c r="B10" s="7" t="s">
        <v>111</v>
      </c>
      <c r="C10" s="8"/>
      <c r="D10" s="8"/>
      <c r="E10" s="8"/>
      <c r="F10" s="8"/>
      <c r="G10" s="8"/>
      <c r="H10" s="8"/>
      <c r="I10" s="68"/>
      <c r="J10" s="69"/>
    </row>
    <row r="11" spans="2:10" s="1" customFormat="1" ht="24.95" customHeight="1">
      <c r="B11" s="2"/>
      <c r="C11" s="2"/>
      <c r="D11" s="2"/>
      <c r="E11" s="2"/>
      <c r="F11" s="2"/>
      <c r="G11" s="2"/>
      <c r="H11" s="2"/>
    </row>
    <row r="12" spans="2:10" s="1" customFormat="1" ht="24.95" customHeight="1">
      <c r="B12" s="2"/>
      <c r="C12" s="2"/>
      <c r="D12" s="2"/>
      <c r="E12" s="2"/>
      <c r="F12" s="2"/>
      <c r="G12" s="2"/>
      <c r="H12" s="2"/>
    </row>
    <row r="13" spans="2:10" s="1" customFormat="1" ht="24.95" customHeight="1">
      <c r="B13" s="2"/>
      <c r="C13" s="2"/>
      <c r="D13" s="2"/>
      <c r="E13" s="2"/>
      <c r="F13" s="2"/>
      <c r="G13" s="2"/>
      <c r="H13" s="2"/>
    </row>
    <row r="14" spans="2:10" s="1" customFormat="1" ht="24.95" customHeight="1">
      <c r="B14" s="2"/>
      <c r="C14" s="2"/>
      <c r="D14" s="2"/>
      <c r="E14" s="2"/>
      <c r="F14" s="2"/>
      <c r="G14" s="2"/>
      <c r="H14" s="2"/>
    </row>
    <row r="15" spans="2:10" s="1" customFormat="1" ht="24.95" customHeight="1">
      <c r="B15" s="2"/>
      <c r="C15" s="2"/>
      <c r="D15" s="2"/>
      <c r="E15" s="2"/>
      <c r="F15" s="2"/>
      <c r="G15" s="2"/>
      <c r="H15" s="2"/>
    </row>
    <row r="16" spans="2:10" ht="24.95" customHeight="1"/>
  </sheetData>
  <mergeCells count="3">
    <mergeCell ref="B5:B6"/>
    <mergeCell ref="B3:J3"/>
    <mergeCell ref="B2:J2"/>
  </mergeCells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BC7F2-2724-49D2-A6C0-9BC7BDCF2E1B}">
  <dimension ref="B2:T30"/>
  <sheetViews>
    <sheetView workbookViewId="0">
      <selection activeCell="AA1" sqref="AA1"/>
    </sheetView>
  </sheetViews>
  <sheetFormatPr defaultRowHeight="12.75"/>
  <cols>
    <col min="1" max="1" width="2.25" style="2" customWidth="1"/>
    <col min="2" max="2" width="10" style="2" bestFit="1" customWidth="1"/>
    <col min="3" max="9" width="5.625" style="2" customWidth="1"/>
    <col min="10" max="11" width="8.625" style="2" customWidth="1"/>
    <col min="12" max="12" width="11" style="2" customWidth="1"/>
    <col min="13" max="13" width="10.625" style="2" customWidth="1"/>
    <col min="14" max="15" width="6.625" style="2" customWidth="1"/>
    <col min="16" max="19" width="5.625" style="2" customWidth="1"/>
    <col min="20" max="20" width="21.75" style="2" customWidth="1"/>
    <col min="21" max="16384" width="9" style="2"/>
  </cols>
  <sheetData>
    <row r="2" spans="2:20" ht="30" customHeight="1">
      <c r="B2" s="103" t="s">
        <v>180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</row>
    <row r="3" spans="2:20" ht="30" customHeight="1">
      <c r="B3" s="177" t="s">
        <v>153</v>
      </c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</row>
    <row r="4" spans="2:20" ht="9.9499999999999993" customHeight="1">
      <c r="B4" s="175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</row>
    <row r="5" spans="2:20" ht="15.6" customHeight="1">
      <c r="B5" s="3" t="s">
        <v>122</v>
      </c>
      <c r="C5" s="169" t="s">
        <v>143</v>
      </c>
      <c r="D5" s="153" t="s">
        <v>166</v>
      </c>
      <c r="E5" s="154"/>
      <c r="F5" s="153" t="s">
        <v>167</v>
      </c>
      <c r="G5" s="154"/>
      <c r="H5" s="153" t="s">
        <v>168</v>
      </c>
      <c r="I5" s="154"/>
      <c r="J5" s="153" t="s">
        <v>169</v>
      </c>
      <c r="K5" s="154"/>
      <c r="L5" s="180" t="s">
        <v>170</v>
      </c>
      <c r="M5" s="186" t="s">
        <v>171</v>
      </c>
      <c r="N5" s="188" t="s">
        <v>173</v>
      </c>
      <c r="O5" s="154"/>
      <c r="P5" s="188" t="s">
        <v>174</v>
      </c>
      <c r="Q5" s="189"/>
      <c r="R5" s="188" t="s">
        <v>175</v>
      </c>
      <c r="S5" s="154"/>
      <c r="T5" s="173" t="s">
        <v>66</v>
      </c>
    </row>
    <row r="6" spans="2:20" ht="15.6" customHeight="1">
      <c r="B6" s="161">
        <v>45992</v>
      </c>
      <c r="C6" s="132"/>
      <c r="D6" s="155"/>
      <c r="E6" s="156"/>
      <c r="F6" s="155"/>
      <c r="G6" s="156"/>
      <c r="H6" s="155"/>
      <c r="I6" s="156"/>
      <c r="J6" s="155"/>
      <c r="K6" s="156"/>
      <c r="L6" s="181"/>
      <c r="M6" s="187"/>
      <c r="N6" s="155"/>
      <c r="O6" s="156"/>
      <c r="P6" s="155"/>
      <c r="Q6" s="156"/>
      <c r="R6" s="155"/>
      <c r="S6" s="156"/>
      <c r="T6" s="116"/>
    </row>
    <row r="7" spans="2:20" ht="15.6" customHeight="1">
      <c r="B7" s="158"/>
      <c r="C7" s="166"/>
      <c r="D7" s="135" t="s">
        <v>162</v>
      </c>
      <c r="E7" s="136"/>
      <c r="F7" s="135" t="s">
        <v>163</v>
      </c>
      <c r="G7" s="136"/>
      <c r="H7" s="135" t="s">
        <v>164</v>
      </c>
      <c r="I7" s="136"/>
      <c r="J7" s="135" t="s">
        <v>165</v>
      </c>
      <c r="K7" s="136"/>
      <c r="L7" s="182"/>
      <c r="M7" s="88" t="s">
        <v>172</v>
      </c>
      <c r="N7" s="135" t="s">
        <v>172</v>
      </c>
      <c r="O7" s="136"/>
      <c r="P7" s="190" t="s">
        <v>56</v>
      </c>
      <c r="Q7" s="136"/>
      <c r="R7" s="135" t="s">
        <v>56</v>
      </c>
      <c r="S7" s="136"/>
      <c r="T7" s="174"/>
    </row>
    <row r="8" spans="2:20" ht="15.6" customHeight="1">
      <c r="B8" s="159" t="s">
        <v>144</v>
      </c>
      <c r="C8" s="89" t="s">
        <v>151</v>
      </c>
      <c r="D8" s="89"/>
      <c r="E8" s="167"/>
      <c r="F8" s="89"/>
      <c r="G8" s="167"/>
      <c r="H8" s="89"/>
      <c r="I8" s="167"/>
      <c r="J8" s="89"/>
      <c r="K8" s="167"/>
      <c r="L8" s="167"/>
      <c r="M8" s="89"/>
      <c r="N8" s="89"/>
      <c r="O8" s="167"/>
      <c r="P8" s="89"/>
      <c r="Q8" s="167"/>
      <c r="R8" s="89"/>
      <c r="S8" s="167"/>
      <c r="T8" s="178"/>
    </row>
    <row r="9" spans="2:20" ht="15.6" customHeight="1">
      <c r="B9" s="160"/>
      <c r="C9" s="90" t="s">
        <v>152</v>
      </c>
      <c r="D9" s="90"/>
      <c r="E9" s="168"/>
      <c r="F9" s="90"/>
      <c r="G9" s="168"/>
      <c r="H9" s="90"/>
      <c r="I9" s="170"/>
      <c r="J9" s="90"/>
      <c r="K9" s="170"/>
      <c r="L9" s="170"/>
      <c r="M9" s="90"/>
      <c r="N9" s="90"/>
      <c r="O9" s="170"/>
      <c r="P9" s="90"/>
      <c r="Q9" s="170"/>
      <c r="R9" s="90"/>
      <c r="S9" s="170"/>
      <c r="T9" s="179"/>
    </row>
    <row r="10" spans="2:20" ht="15.6" customHeight="1">
      <c r="B10" s="111" t="s">
        <v>145</v>
      </c>
      <c r="C10" s="37" t="s">
        <v>151</v>
      </c>
      <c r="D10" s="37"/>
      <c r="E10" s="169"/>
      <c r="F10" s="37"/>
      <c r="G10" s="169"/>
      <c r="H10" s="37"/>
      <c r="I10" s="186"/>
      <c r="J10" s="37"/>
      <c r="K10" s="186"/>
      <c r="L10" s="186"/>
      <c r="M10" s="37"/>
      <c r="N10" s="37"/>
      <c r="O10" s="186"/>
      <c r="P10" s="37"/>
      <c r="Q10" s="186"/>
      <c r="R10" s="37"/>
      <c r="S10" s="186"/>
      <c r="T10" s="163"/>
    </row>
    <row r="11" spans="2:20" ht="15.6" customHeight="1">
      <c r="B11" s="162"/>
      <c r="C11" s="8" t="s">
        <v>152</v>
      </c>
      <c r="D11" s="8"/>
      <c r="E11" s="170"/>
      <c r="F11" s="8"/>
      <c r="G11" s="170"/>
      <c r="H11" s="8"/>
      <c r="I11" s="182"/>
      <c r="J11" s="8"/>
      <c r="K11" s="182"/>
      <c r="L11" s="182"/>
      <c r="M11" s="8"/>
      <c r="N11" s="8"/>
      <c r="O11" s="182"/>
      <c r="P11" s="8"/>
      <c r="Q11" s="182"/>
      <c r="R11" s="8"/>
      <c r="S11" s="182"/>
      <c r="T11" s="164"/>
    </row>
    <row r="12" spans="2:20" ht="15.6" customHeight="1">
      <c r="B12" s="159" t="s">
        <v>146</v>
      </c>
      <c r="C12" s="89" t="s">
        <v>151</v>
      </c>
      <c r="D12" s="89"/>
      <c r="E12" s="167"/>
      <c r="F12" s="89"/>
      <c r="G12" s="167"/>
      <c r="H12" s="89"/>
      <c r="I12" s="191"/>
      <c r="J12" s="89"/>
      <c r="K12" s="191"/>
      <c r="L12" s="191"/>
      <c r="M12" s="89"/>
      <c r="N12" s="89"/>
      <c r="O12" s="191"/>
      <c r="P12" s="89"/>
      <c r="Q12" s="191"/>
      <c r="R12" s="89"/>
      <c r="S12" s="191"/>
      <c r="T12" s="171"/>
    </row>
    <row r="13" spans="2:20" ht="15.6" customHeight="1">
      <c r="B13" s="160"/>
      <c r="C13" s="90" t="s">
        <v>152</v>
      </c>
      <c r="D13" s="90"/>
      <c r="E13" s="168"/>
      <c r="F13" s="90"/>
      <c r="G13" s="168"/>
      <c r="H13" s="90"/>
      <c r="I13" s="182"/>
      <c r="J13" s="90"/>
      <c r="K13" s="182"/>
      <c r="L13" s="182"/>
      <c r="M13" s="90"/>
      <c r="N13" s="90"/>
      <c r="O13" s="182"/>
      <c r="P13" s="90"/>
      <c r="Q13" s="182"/>
      <c r="R13" s="90"/>
      <c r="S13" s="182"/>
      <c r="T13" s="172"/>
    </row>
    <row r="14" spans="2:20" ht="15.6" customHeight="1">
      <c r="B14" s="157" t="s">
        <v>147</v>
      </c>
      <c r="C14" s="11" t="s">
        <v>151</v>
      </c>
      <c r="D14" s="11"/>
      <c r="E14" s="165"/>
      <c r="F14" s="11"/>
      <c r="G14" s="165"/>
      <c r="H14" s="11"/>
      <c r="I14" s="186"/>
      <c r="J14" s="11"/>
      <c r="K14" s="186"/>
      <c r="L14" s="186"/>
      <c r="M14" s="11"/>
      <c r="N14" s="11"/>
      <c r="O14" s="186"/>
      <c r="P14" s="11"/>
      <c r="Q14" s="186"/>
      <c r="R14" s="11"/>
      <c r="S14" s="186"/>
      <c r="T14" s="163"/>
    </row>
    <row r="15" spans="2:20" ht="15.6" customHeight="1">
      <c r="B15" s="158"/>
      <c r="C15" s="88" t="s">
        <v>152</v>
      </c>
      <c r="D15" s="88"/>
      <c r="E15" s="166"/>
      <c r="F15" s="88"/>
      <c r="G15" s="166"/>
      <c r="H15" s="88"/>
      <c r="I15" s="181"/>
      <c r="J15" s="88"/>
      <c r="K15" s="181"/>
      <c r="L15" s="181"/>
      <c r="M15" s="88"/>
      <c r="N15" s="88"/>
      <c r="O15" s="181"/>
      <c r="P15" s="88"/>
      <c r="Q15" s="181"/>
      <c r="R15" s="88"/>
      <c r="S15" s="181"/>
      <c r="T15" s="183"/>
    </row>
    <row r="16" spans="2:20" ht="15.6" customHeight="1">
      <c r="B16" s="159" t="s">
        <v>148</v>
      </c>
      <c r="C16" s="89" t="s">
        <v>151</v>
      </c>
      <c r="D16" s="89"/>
      <c r="E16" s="167"/>
      <c r="F16" s="89"/>
      <c r="G16" s="167"/>
      <c r="H16" s="89"/>
      <c r="I16" s="167"/>
      <c r="J16" s="89"/>
      <c r="K16" s="167"/>
      <c r="L16" s="167"/>
      <c r="M16" s="89"/>
      <c r="N16" s="89"/>
      <c r="O16" s="167"/>
      <c r="P16" s="89"/>
      <c r="Q16" s="89"/>
      <c r="R16" s="89"/>
      <c r="S16" s="89"/>
      <c r="T16" s="178"/>
    </row>
    <row r="17" spans="2:20" ht="15.6" customHeight="1">
      <c r="B17" s="160"/>
      <c r="C17" s="90" t="s">
        <v>152</v>
      </c>
      <c r="D17" s="90"/>
      <c r="E17" s="168"/>
      <c r="F17" s="90"/>
      <c r="G17" s="168"/>
      <c r="H17" s="90"/>
      <c r="I17" s="170"/>
      <c r="J17" s="90"/>
      <c r="K17" s="170"/>
      <c r="L17" s="170"/>
      <c r="M17" s="90"/>
      <c r="N17" s="90"/>
      <c r="O17" s="170"/>
      <c r="P17" s="90"/>
      <c r="Q17" s="90"/>
      <c r="R17" s="90"/>
      <c r="S17" s="90"/>
      <c r="T17" s="184"/>
    </row>
    <row r="18" spans="2:20" ht="15.6" customHeight="1">
      <c r="B18" s="157" t="s">
        <v>149</v>
      </c>
      <c r="C18" s="11" t="s">
        <v>151</v>
      </c>
      <c r="D18" s="11"/>
      <c r="E18" s="165"/>
      <c r="F18" s="11"/>
      <c r="G18" s="165"/>
      <c r="H18" s="11"/>
      <c r="I18" s="192"/>
      <c r="J18" s="11"/>
      <c r="K18" s="192"/>
      <c r="L18" s="192"/>
      <c r="M18" s="11"/>
      <c r="N18" s="11"/>
      <c r="O18" s="192"/>
      <c r="P18" s="11"/>
      <c r="Q18" s="192"/>
      <c r="R18" s="11"/>
      <c r="S18" s="192"/>
      <c r="T18" s="185"/>
    </row>
    <row r="19" spans="2:20" ht="15.6" customHeight="1">
      <c r="B19" s="158"/>
      <c r="C19" s="88" t="s">
        <v>152</v>
      </c>
      <c r="D19" s="88"/>
      <c r="E19" s="166"/>
      <c r="F19" s="88"/>
      <c r="G19" s="166"/>
      <c r="H19" s="88"/>
      <c r="I19" s="181"/>
      <c r="J19" s="88"/>
      <c r="K19" s="181"/>
      <c r="L19" s="181"/>
      <c r="M19" s="88"/>
      <c r="N19" s="88"/>
      <c r="O19" s="181"/>
      <c r="P19" s="88"/>
      <c r="Q19" s="181"/>
      <c r="R19" s="88"/>
      <c r="S19" s="181"/>
      <c r="T19" s="183"/>
    </row>
    <row r="20" spans="2:20" ht="15.6" customHeight="1">
      <c r="B20" s="159" t="s">
        <v>150</v>
      </c>
      <c r="C20" s="89" t="s">
        <v>151</v>
      </c>
      <c r="D20" s="89"/>
      <c r="E20" s="167"/>
      <c r="F20" s="89"/>
      <c r="G20" s="167"/>
      <c r="H20" s="89"/>
      <c r="I20" s="167"/>
      <c r="J20" s="89"/>
      <c r="K20" s="167"/>
      <c r="L20" s="167"/>
      <c r="M20" s="89"/>
      <c r="N20" s="89"/>
      <c r="O20" s="167"/>
      <c r="P20" s="89"/>
      <c r="Q20" s="167"/>
      <c r="R20" s="89"/>
      <c r="S20" s="167"/>
      <c r="T20" s="178"/>
    </row>
    <row r="21" spans="2:20" ht="15.6" customHeight="1">
      <c r="B21" s="160"/>
      <c r="C21" s="90" t="s">
        <v>152</v>
      </c>
      <c r="D21" s="90"/>
      <c r="E21" s="168"/>
      <c r="F21" s="90"/>
      <c r="G21" s="168"/>
      <c r="H21" s="90"/>
      <c r="I21" s="170"/>
      <c r="J21" s="90"/>
      <c r="K21" s="170"/>
      <c r="L21" s="170"/>
      <c r="M21" s="90"/>
      <c r="N21" s="90"/>
      <c r="O21" s="170"/>
      <c r="P21" s="90"/>
      <c r="Q21" s="170"/>
      <c r="R21" s="90"/>
      <c r="S21" s="170"/>
      <c r="T21" s="184"/>
    </row>
    <row r="22" spans="2:20" ht="15.6" customHeight="1"/>
    <row r="23" spans="2:20" ht="15.6" customHeight="1"/>
    <row r="24" spans="2:20" ht="15.6" customHeight="1"/>
    <row r="25" spans="2:20" ht="15.6" customHeight="1"/>
    <row r="26" spans="2:20" ht="15.6" customHeight="1"/>
    <row r="27" spans="2:20" ht="15.6" customHeight="1"/>
    <row r="28" spans="2:20" ht="15.6" customHeight="1"/>
    <row r="29" spans="2:20" ht="15.6" customHeight="1"/>
    <row r="30" spans="2:20" ht="15.6" customHeight="1"/>
  </sheetData>
  <mergeCells count="90">
    <mergeCell ref="K20:K21"/>
    <mergeCell ref="I20:I21"/>
    <mergeCell ref="Q14:Q15"/>
    <mergeCell ref="Q18:Q19"/>
    <mergeCell ref="I14:I15"/>
    <mergeCell ref="I18:I19"/>
    <mergeCell ref="I16:I17"/>
    <mergeCell ref="K16:K17"/>
    <mergeCell ref="K14:K15"/>
    <mergeCell ref="K18:K19"/>
    <mergeCell ref="S14:S15"/>
    <mergeCell ref="S18:S19"/>
    <mergeCell ref="S20:S21"/>
    <mergeCell ref="Q20:Q21"/>
    <mergeCell ref="L14:L15"/>
    <mergeCell ref="L16:L17"/>
    <mergeCell ref="L18:L19"/>
    <mergeCell ref="O14:O15"/>
    <mergeCell ref="O18:O19"/>
    <mergeCell ref="O16:O17"/>
    <mergeCell ref="O20:O21"/>
    <mergeCell ref="L20:L21"/>
    <mergeCell ref="K10:K11"/>
    <mergeCell ref="L10:L11"/>
    <mergeCell ref="O10:O11"/>
    <mergeCell ref="Q10:Q11"/>
    <mergeCell ref="Q12:Q13"/>
    <mergeCell ref="O12:O13"/>
    <mergeCell ref="L12:L13"/>
    <mergeCell ref="K12:K13"/>
    <mergeCell ref="T14:T15"/>
    <mergeCell ref="T16:T17"/>
    <mergeCell ref="T18:T19"/>
    <mergeCell ref="T20:T21"/>
    <mergeCell ref="M5:M6"/>
    <mergeCell ref="N5:O6"/>
    <mergeCell ref="N7:O7"/>
    <mergeCell ref="O8:O9"/>
    <mergeCell ref="R5:S6"/>
    <mergeCell ref="P5:Q6"/>
    <mergeCell ref="P7:Q7"/>
    <mergeCell ref="R7:S7"/>
    <mergeCell ref="Q8:Q9"/>
    <mergeCell ref="S8:S9"/>
    <mergeCell ref="S10:S11"/>
    <mergeCell ref="S12:S13"/>
    <mergeCell ref="T5:T7"/>
    <mergeCell ref="B4:T4"/>
    <mergeCell ref="B3:T3"/>
    <mergeCell ref="B2:T2"/>
    <mergeCell ref="T8:T9"/>
    <mergeCell ref="C5:C7"/>
    <mergeCell ref="D5:E6"/>
    <mergeCell ref="D7:E7"/>
    <mergeCell ref="I8:I9"/>
    <mergeCell ref="K8:K9"/>
    <mergeCell ref="L8:L9"/>
    <mergeCell ref="J5:K6"/>
    <mergeCell ref="J7:K7"/>
    <mergeCell ref="L5:L7"/>
    <mergeCell ref="F5:G6"/>
    <mergeCell ref="F7:G7"/>
    <mergeCell ref="T10:T11"/>
    <mergeCell ref="E18:E19"/>
    <mergeCell ref="E20:E21"/>
    <mergeCell ref="G8:G9"/>
    <mergeCell ref="G10:G11"/>
    <mergeCell ref="G12:G13"/>
    <mergeCell ref="G14:G15"/>
    <mergeCell ref="G16:G17"/>
    <mergeCell ref="G18:G19"/>
    <mergeCell ref="G20:G21"/>
    <mergeCell ref="E8:E9"/>
    <mergeCell ref="E10:E11"/>
    <mergeCell ref="E12:E13"/>
    <mergeCell ref="E14:E15"/>
    <mergeCell ref="E16:E17"/>
    <mergeCell ref="T12:T13"/>
    <mergeCell ref="B20:B21"/>
    <mergeCell ref="B6:B7"/>
    <mergeCell ref="B8:B9"/>
    <mergeCell ref="B10:B11"/>
    <mergeCell ref="B12:B13"/>
    <mergeCell ref="H5:I6"/>
    <mergeCell ref="H7:I7"/>
    <mergeCell ref="B14:B15"/>
    <mergeCell ref="B16:B17"/>
    <mergeCell ref="B18:B19"/>
    <mergeCell ref="I10:I11"/>
    <mergeCell ref="I12:I1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第一页</vt:lpstr>
      <vt:lpstr>第二页反应工序</vt:lpstr>
      <vt:lpstr>第三页闪蒸工序</vt:lpstr>
      <vt:lpstr>第四页反应液分析数据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熊茂盛</dc:creator>
  <cp:lastModifiedBy>猫 熊</cp:lastModifiedBy>
  <dcterms:created xsi:type="dcterms:W3CDTF">2015-06-05T18:19:34Z</dcterms:created>
  <dcterms:modified xsi:type="dcterms:W3CDTF">2025-12-24T02:02:15Z</dcterms:modified>
</cp:coreProperties>
</file>