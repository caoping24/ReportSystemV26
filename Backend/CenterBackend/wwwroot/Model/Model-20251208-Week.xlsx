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USER\3_项目\25、四川乐山-和邦生物\报表\熊工发的模板\NO.01- 报表初稿\NO.01- 报表初稿\"/>
    </mc:Choice>
  </mc:AlternateContent>
  <xr:revisionPtr revIDLastSave="0" documentId="13_ncr:1_{4F3ED273-A931-4EA6-B726-855554536818}" xr6:coauthVersionLast="45" xr6:coauthVersionMax="47" xr10:uidLastSave="{00000000-0000-0000-0000-000000000000}"/>
  <bookViews>
    <workbookView xWindow="57480" yWindow="-120" windowWidth="29040" windowHeight="15840" tabRatio="967" firstSheet="1" activeTab="12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" i="16" l="1"/>
  <c r="U19" i="7"/>
  <c r="R19" i="7" s="1"/>
  <c r="P19" i="7"/>
  <c r="O19" i="7"/>
  <c r="H19" i="7"/>
  <c r="V19" i="7" s="1"/>
  <c r="P16" i="7"/>
  <c r="S19" i="7" l="1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9" i="9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 shapeId="0" xr:uid="{8A425780-4E79-474E-A20E-B71FAA85052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 shapeId="0" xr:uid="{1492B2A8-D1AD-4626-BF4E-541101D7F8C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 shapeId="0" xr:uid="{0552AD42-76A0-415F-B4B8-EBC0FA9342E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 shapeId="0" xr:uid="{8484E233-9B0D-4396-9A59-A6646453AB0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 shapeId="0" xr:uid="{DE5B5C3F-D78F-44A9-942D-37C4DF7BBED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 shapeId="0" xr:uid="{F7EC4115-CD44-4665-BB95-A5ADE014C60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 shapeId="0" xr:uid="{94A9DFCB-7740-4B3A-9923-BA40AABE830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 shapeId="0" xr:uid="{DC15C925-ACCF-4DB6-A094-5EA9E42A725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 shapeId="0" xr:uid="{6A0F2A10-CD92-42D9-978C-759AE5D20DA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 shapeId="0" xr:uid="{A70235DB-5CF3-4217-BED5-72205B4639A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 shapeId="0" xr:uid="{6A83E1F4-F6DD-4FA9-87BB-A029769D13D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 shapeId="0" xr:uid="{F3F09AF8-BEE2-4972-9520-FDAAA2BB021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 shapeId="0" xr:uid="{FAB97DF6-3CEC-4071-A836-F7623A571A4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 shapeId="0" xr:uid="{4ACE1542-9981-4585-B388-478915938C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 shapeId="0" xr:uid="{05A47FDD-76C9-45BC-BF39-67C877585AD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 shapeId="0" xr:uid="{86F55928-F879-435E-863D-5F8C50DAAD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 shapeId="0" xr:uid="{EC7F6318-829E-48DD-87B8-F36DFA1DA30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E15" authorId="0" shapeId="0" xr:uid="{0BA0B53B-0169-4C79-90BB-65BE59F59BF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 shapeId="0" xr:uid="{9DB2C261-86EB-4BB1-8E8D-624FED2A776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 shapeId="0" xr:uid="{F12DC2EF-29BE-4B2B-B3B5-C709FB46912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 shapeId="0" xr:uid="{62A9AE49-6256-4C67-AB4B-E89DA6C0DEA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 shapeId="0" xr:uid="{8FCB3284-CDA0-4166-B64B-304173B98BA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 shapeId="0" xr:uid="{FBDB9B63-69B4-4CCA-A96B-C314C517FF5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 shapeId="0" xr:uid="{B36CADEE-E432-42A1-8517-C8C143328E2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 shapeId="0" xr:uid="{E02502CF-684E-4D7F-9509-509DD515BA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 shapeId="0" xr:uid="{59F15B39-2403-4DB0-AC42-95E457291F4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 shapeId="0" xr:uid="{AC315762-CE02-47EA-950A-718047F59E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 shapeId="0" xr:uid="{48441358-8FAF-4F70-8AF3-15656EC2B0B8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=“班组日生产过程运行质量考评表”中，白班折百产量汇总</t>
        </r>
      </text>
    </comment>
    <comment ref="E18" authorId="0" shapeId="0" xr:uid="{D4114F17-2F23-4A41-BE99-96D39F1A0AB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 shapeId="0" xr:uid="{32378609-40C4-4635-9160-A19EBBA4340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 shapeId="0" xr:uid="{C327BEDE-920C-4DA1-92B7-EEC619F57B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 shapeId="0" xr:uid="{29A53DB8-950D-4598-B58D-2B4C413F218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 shapeId="0" xr:uid="{0D88CCEB-47FA-4C48-BA6D-09768E33EDA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 shapeId="0" xr:uid="{EDB1773D-D730-4973-AE59-ABE742D9D9B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 shapeId="0" xr:uid="{D03CA176-0290-44CC-AB39-D3FFFB5312F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 shapeId="0" xr:uid="{E526CA66-CBB9-4086-952C-5A4AD9247FB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 shapeId="0" xr:uid="{1932E547-FEE6-4E86-BE7D-B1425438DFC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 shapeId="0" xr:uid="{EF96ACBE-E415-4956-A5EC-9897C33F4D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 shapeId="0" xr:uid="{FF713F5E-1B28-46E4-B556-0C811ECA0D79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<sst xmlns="http://schemas.openxmlformats.org/spreadsheetml/2006/main" count="550" uniqueCount="294">
  <si>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</si>
  <si>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</si>
  <si>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</si>
  <si>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</si>
  <si>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</si>
  <si>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</si>
  <si>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</si>
  <si>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</si>
  <si>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</si>
  <si>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</si>
  <si>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</si>
  <si>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</si>
  <si>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</si>
  <si>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</si>
  <si>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</si>
  <si>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</si>
  <si>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</si>
  <si>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</si>
  <si>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</si>
  <si>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</si>
  <si>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</si>
  <si>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</si>
  <si>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</si>
  <si>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</si>
  <si>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</si>
  <si>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</si>
  <si>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</si>
  <si>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</si>
  <si>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</si>
  <si>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</si>
  <si>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</si>
  <si>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</si>
  <si>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</si>
  <si>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</si>
  <si>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</si>
  <si>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</si>
  <si>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</si>
  <si>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</si>
  <si>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</si>
  <si>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</si>
  <si>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</si>
  <si>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</si>
  <si>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</si>
  <si>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</si>
  <si>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</si>
  <si>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</si>
  <si>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</si>
  <si>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</si>
  <si>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</si>
  <si>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</si>
  <si>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</si>
  <si>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</si>
  <si>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</si>
  <si>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</si>
  <si>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</si>
  <si>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</si>
  <si>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</si>
  <si>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</si>
  <si>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</si>
  <si>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</si>
  <si>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</si>
  <si>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</si>
  <si>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</si>
  <si>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</si>
  <si>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</si>
  <si>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</si>
  <si>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</si>
  <si>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</si>
  <si>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</si>
  <si>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</si>
  <si>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</si>
  <si>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</si>
  <si>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</si>
  <si>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</si>
  <si>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</si>
  <si>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</si>
  <si>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</si>
  <si>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</si>
  <si>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</si>
  <si>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</si>
  <si>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</si>
  <si>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</si>
  <si>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</si>
  <si>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</si>
  <si>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</si>
  <si>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</si>
  <si>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</si>
  <si>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</si>
  <si>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</si>
  <si>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</si>
  <si>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</si>
  <si>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</si>
  <si>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</si>
  <si>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</si>
  <si>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</si>
  <si>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</si>
  <si>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</si>
  <si>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</si>
  <si>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</si>
  <si>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</si>
  <si>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</si>
  <si>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</si>
  <si>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</si>
  <si>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</si>
  <si>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</si>
  <si>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</si>
  <si>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</si>
  <si>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</si>
  <si>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</si>
  <si>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</si>
  <si>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</si>
  <si>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</si>
  <si>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</si>
  <si>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</si>
  <si>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</si>
  <si>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</si>
  <si>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</si>
  <si>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</si>
  <si>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</si>
  <si>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</si>
  <si>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</si>
  <si>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</si>
  <si>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</si>
  <si>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</si>
  <si>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</si>
  <si>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</si>
  <si>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</si>
  <si>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</si>
  <si>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</si>
  <si>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</si>
  <si>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</si>
  <si>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羟基乙腈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</si>
  <si>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</si>
  <si>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</si>
  <si>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</si>
  <si>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</si>
  <si>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</si>
  <si>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</si>
  <si>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</si>
  <si>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</si>
  <si>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</si>
  <si>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</si>
  <si>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</si>
  <si>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</si>
  <si>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</si>
  <si>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第（44周）核心指标完成情况汇总表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</si>
  <si>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</si>
  <si>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</si>
  <si>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</si>
  <si>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</si>
  <si>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</si>
  <si>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</si>
  <si>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</si>
  <si>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</si>
  <si>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</si>
  <si>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</si>
  <si>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</si>
  <si>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</si>
  <si>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</si>
  <si>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</si>
  <si>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</si>
  <si>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</si>
  <si>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</si>
  <si>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</si>
  <si>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</si>
  <si>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</si>
  <si>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第21周 周报---脱色工序数据分析表</t>
    <phoneticPr fontId="1" type="noConversion"/>
  </si>
  <si>
    <t>第21周 周报---二次结晶数据分析表</t>
    <phoneticPr fontId="1" type="noConversion"/>
  </si>
  <si>
    <t>第21周 周报---产品原料/动力/排放单耗数据分析表</t>
    <phoneticPr fontId="1" type="noConversion"/>
  </si>
  <si>
    <t>第21周 周报---核心指标分析汇总表</t>
    <phoneticPr fontId="1" type="noConversion"/>
  </si>
  <si>
    <t>第21周 周报---反应工序控制参数表</t>
    <phoneticPr fontId="1" type="noConversion"/>
  </si>
  <si>
    <t>第21周 周报---闪蒸废水分析数据表</t>
    <phoneticPr fontId="1" type="noConversion"/>
  </si>
  <si>
    <t>第21周 周报---反应液分析数据表</t>
    <phoneticPr fontId="1" type="noConversion"/>
  </si>
  <si>
    <t>第21周 周报---结晶工序数据分析表</t>
    <phoneticPr fontId="1" type="noConversion"/>
  </si>
  <si>
    <t>第21周 周报---产品指标分析表</t>
    <phoneticPr fontId="1" type="noConversion"/>
  </si>
  <si>
    <t>第21周 周报---产品收率数据分析表</t>
    <phoneticPr fontId="1" type="noConversion"/>
  </si>
  <si>
    <t>第21周 周报---汇总数据分析表</t>
    <phoneticPr fontId="1" type="noConversion"/>
  </si>
  <si>
    <t>第21周 周报---低蒸数据分析表</t>
    <phoneticPr fontId="1" type="noConversion"/>
  </si>
  <si>
    <t>Cell13</t>
    <phoneticPr fontId="1" type="noConversion"/>
  </si>
  <si>
    <t>Cell15</t>
  </si>
  <si>
    <t>Cell19</t>
  </si>
  <si>
    <t>Cell22</t>
    <phoneticPr fontId="1" type="noConversion"/>
  </si>
  <si>
    <t>Cell24</t>
    <phoneticPr fontId="1" type="noConversion"/>
  </si>
  <si>
    <t>Cell25</t>
  </si>
  <si>
    <t>Cell26</t>
  </si>
  <si>
    <t>Cell27</t>
  </si>
  <si>
    <t>Cell28</t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</si>
  <si>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</si>
  <si>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</si>
  <si>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</si>
  <si>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</si>
  <si>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二乙腈
含量</t>
    <phoneticPr fontId="1" type="noConversion"/>
  </si>
  <si>
    <t>水分
含量</t>
    <phoneticPr fontId="1" type="noConversion"/>
  </si>
  <si>
    <t>二乙腈+水</t>
    <phoneticPr fontId="1" type="noConversion"/>
  </si>
  <si>
    <t>未知物
含量</t>
    <phoneticPr fontId="1" type="noConversion"/>
  </si>
  <si>
    <t>产量</t>
    <phoneticPr fontId="1" type="noConversion"/>
  </si>
  <si>
    <t>折百
产量</t>
    <phoneticPr fontId="1" type="noConversion"/>
  </si>
  <si>
    <t>二乙腈+水</t>
  </si>
  <si>
    <t>产量</t>
  </si>
  <si>
    <t>化分
%</t>
    <phoneticPr fontId="1" type="noConversion"/>
  </si>
  <si>
    <t>色谱
%</t>
    <phoneticPr fontId="1" type="noConversion"/>
  </si>
  <si>
    <t>kg</t>
    <phoneticPr fontId="1" type="noConversion"/>
  </si>
  <si>
    <t>%</t>
  </si>
  <si>
    <t>kg</t>
  </si>
  <si>
    <t>检测数据</t>
    <phoneticPr fontId="1" type="noConversion"/>
  </si>
  <si>
    <t>一次结晶物/一次产品</t>
    <phoneticPr fontId="1" type="noConversion"/>
  </si>
  <si>
    <t>二次结晶物/二次产品</t>
    <phoneticPr fontId="1" type="noConversion"/>
  </si>
  <si>
    <t>班合计（一次产品+二次产品）</t>
    <phoneticPr fontId="1" type="noConversion"/>
  </si>
  <si>
    <t>班产
与日平均产量的差额</t>
    <phoneticPr fontId="1" type="noConversion"/>
  </si>
  <si>
    <t>上周数据</t>
    <phoneticPr fontId="1" type="noConversion"/>
  </si>
  <si>
    <t>主要原料消耗/单耗</t>
    <phoneticPr fontId="1" type="noConversion"/>
  </si>
  <si>
    <t>序号</t>
    <phoneticPr fontId="1" type="noConversion"/>
  </si>
  <si>
    <t>液氨</t>
    <phoneticPr fontId="1" type="noConversion"/>
  </si>
  <si>
    <t>稀硫酸</t>
    <phoneticPr fontId="1" type="noConversion"/>
  </si>
  <si>
    <t>蒸汽
总消耗</t>
    <phoneticPr fontId="1" type="noConversion"/>
  </si>
  <si>
    <t>反应蒸汽
消耗</t>
    <phoneticPr fontId="1" type="noConversion"/>
  </si>
  <si>
    <t>低蒸蒸汽
消耗</t>
    <phoneticPr fontId="1" type="noConversion"/>
  </si>
  <si>
    <t>脱盐水
消耗</t>
    <phoneticPr fontId="1" type="noConversion"/>
  </si>
  <si>
    <t>电
消耗</t>
    <phoneticPr fontId="1" type="noConversion"/>
  </si>
  <si>
    <t>废水
排放</t>
    <phoneticPr fontId="1" type="noConversion"/>
  </si>
  <si>
    <t>废液
排放</t>
    <phoneticPr fontId="1" type="noConversion"/>
  </si>
  <si>
    <t>用量</t>
    <phoneticPr fontId="1" type="noConversion"/>
  </si>
  <si>
    <t>用量</t>
  </si>
  <si>
    <t>单位</t>
  </si>
  <si>
    <t xml:space="preserve"> 排放量</t>
    <phoneticPr fontId="1" type="noConversion"/>
  </si>
  <si>
    <t xml:space="preserve"> 排放量</t>
  </si>
  <si>
    <t>白班</t>
    <phoneticPr fontId="1" type="noConversion"/>
  </si>
  <si>
    <t>KWh</t>
    <phoneticPr fontId="1" type="noConversion"/>
  </si>
  <si>
    <t>折百产量(t)</t>
    <phoneticPr fontId="1" type="noConversion"/>
  </si>
  <si>
    <t>t</t>
  </si>
  <si>
    <t>单耗</t>
    <phoneticPr fontId="1" type="noConversion"/>
  </si>
  <si>
    <t>KWh/t</t>
    <phoneticPr fontId="1" type="noConversion"/>
  </si>
  <si>
    <t>m3/t</t>
  </si>
  <si>
    <t>夜班</t>
    <phoneticPr fontId="1" type="noConversion"/>
  </si>
  <si>
    <t>日消耗/排放汇总</t>
    <phoneticPr fontId="1" type="noConversion"/>
  </si>
  <si>
    <t>m3</t>
  </si>
  <si>
    <t>KWh</t>
  </si>
  <si>
    <t>日折百产量汇总</t>
    <phoneticPr fontId="1" type="noConversion"/>
  </si>
  <si>
    <t>日平均单耗/排放</t>
    <phoneticPr fontId="1" type="noConversion"/>
  </si>
  <si>
    <t>t/t</t>
  </si>
  <si>
    <t>KWh/t</t>
  </si>
  <si>
    <t>如何判断这一周再运行</t>
    <phoneticPr fontId="1" type="noConversion"/>
  </si>
  <si>
    <t>差值</t>
    <phoneticPr fontId="1" type="noConversion"/>
  </si>
  <si>
    <t>平均值</t>
    <phoneticPr fontId="1" type="noConversion"/>
  </si>
  <si>
    <t>sourcedata</t>
    <phoneticPr fontId="1" type="noConversion"/>
  </si>
  <si>
    <t>operatorInputData</t>
  </si>
  <si>
    <t>Cell11</t>
    <phoneticPr fontId="1" type="noConversion"/>
  </si>
  <si>
    <t>Cell12</t>
  </si>
  <si>
    <t>Cell13</t>
  </si>
  <si>
    <t>Cell14</t>
  </si>
  <si>
    <t>Cell17</t>
  </si>
  <si>
    <t>Cell17</t>
    <phoneticPr fontId="1" type="noConversion"/>
  </si>
  <si>
    <t>Cell1</t>
    <phoneticPr fontId="1" type="noConversion"/>
  </si>
  <si>
    <t>Cell2</t>
  </si>
  <si>
    <t>Cell3</t>
  </si>
  <si>
    <t>Cell4</t>
  </si>
  <si>
    <t>Cell5</t>
  </si>
  <si>
    <t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</si>
  <si>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</si>
  <si>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</si>
  <si>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>这两个可以从手写数据中采集么</t>
    <phoneticPr fontId="1" type="noConversion"/>
  </si>
  <si>
    <t>(Cell21*Cell26+Cell31*Cell36)/(Cell26+Cell36)</t>
    <phoneticPr fontId="1" type="noConversion"/>
  </si>
  <si>
    <t>(Cell22*Cell26+Cell32*Cell36)/(Cell26+Cell36)</t>
    <phoneticPr fontId="1" type="noConversion"/>
  </si>
  <si>
    <t>operatadata</t>
    <phoneticPr fontId="1" type="noConversion"/>
  </si>
  <si>
    <t>Cell11</t>
    <phoneticPr fontId="1" type="noConversion"/>
  </si>
  <si>
    <t>表3-需要计算</t>
    <phoneticPr fontId="1" type="noConversion"/>
  </si>
  <si>
    <t>Cell</t>
    <phoneticPr fontId="1" type="noConversion"/>
  </si>
  <si>
    <t>低温母液是单独的还是使用某个表中的数据代替</t>
    <phoneticPr fontId="1" type="noConversion"/>
  </si>
  <si>
    <t>operatedata Cell63/sourcedata Cell105</t>
    <phoneticPr fontId="1" type="noConversion"/>
  </si>
  <si>
    <t>operatedata Cell62</t>
    <phoneticPr fontId="1" type="noConversion"/>
  </si>
  <si>
    <t>operatedata Cell51</t>
    <phoneticPr fontId="1" type="noConversion"/>
  </si>
  <si>
    <t>operatedata Cell57</t>
    <phoneticPr fontId="1" type="noConversion"/>
  </si>
  <si>
    <t>operatedata Cell52</t>
    <phoneticPr fontId="1" type="noConversion"/>
  </si>
  <si>
    <t>operatedata Cell59</t>
    <phoneticPr fontId="1" type="noConversion"/>
  </si>
  <si>
    <t>operatedata Cell55</t>
    <phoneticPr fontId="1" type="noConversion"/>
  </si>
  <si>
    <t>operatedata Cell61</t>
    <phoneticPr fontId="1" type="noConversion"/>
  </si>
  <si>
    <t xml:space="preserve">                             指标
 时间</t>
    <phoneticPr fontId="1" type="noConversion"/>
  </si>
  <si>
    <t>sourcedata Cell</t>
    <phoneticPr fontId="1" type="noConversion"/>
  </si>
  <si>
    <t>operatedata</t>
    <phoneticPr fontId="1" type="noConversion"/>
  </si>
  <si>
    <t>折干=折百</t>
    <phoneticPr fontId="1" type="noConversion"/>
  </si>
  <si>
    <t>表3 二乙睛化分平均</t>
    <phoneticPr fontId="1" type="noConversion"/>
  </si>
  <si>
    <t>表3 产量汇总最下角</t>
    <phoneticPr fontId="1" type="noConversion"/>
  </si>
  <si>
    <t>水+二乙睛</t>
    <phoneticPr fontId="1" type="noConversion"/>
  </si>
  <si>
    <t>表5 新增列</t>
    <phoneticPr fontId="1" type="noConversion"/>
  </si>
  <si>
    <t>表4</t>
    <phoneticPr fontId="1" type="noConversion"/>
  </si>
  <si>
    <t>公式算前面的平均值</t>
    <phoneticPr fontId="1" type="noConversion"/>
  </si>
  <si>
    <t>表3 采集</t>
    <phoneticPr fontId="1" type="noConversion"/>
  </si>
  <si>
    <t>液脱色前 表5</t>
    <phoneticPr fontId="1" type="noConversion"/>
  </si>
  <si>
    <t>三、收率</t>
    <phoneticPr fontId="1" type="noConversion"/>
  </si>
  <si>
    <t>四、废液</t>
    <phoneticPr fontId="1" type="noConversion"/>
  </si>
  <si>
    <t>Cell114</t>
    <phoneticPr fontId="1" type="noConversion"/>
  </si>
  <si>
    <t>Cell112</t>
    <phoneticPr fontId="1" type="noConversion"/>
  </si>
  <si>
    <t>Cell110</t>
    <phoneticPr fontId="1" type="noConversion"/>
  </si>
  <si>
    <t>累计除以产量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</si>
</sst>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176" fontId="0" fillId="7" borderId="77" xfId="0" applyNumberFormat="1" applyFill="1" applyBorder="1" applyAlignment="1">
      <alignment horizontal="center" vertical="center"/>
    </xf>
    <xf numFmtId="176" fontId="0" fillId="0" borderId="77" xfId="0" applyNumberFormat="1" applyBorder="1" applyAlignment="1">
      <alignment horizontal="center" vertical="center"/>
    </xf>
    <xf numFmtId="176" fontId="0" fillId="0" borderId="78" xfId="0" applyNumberFormat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38" xfId="0" applyFont="1" applyBorder="1" applyAlignment="1">
      <alignment wrapText="1"/>
    </xf>
    <xf numFmtId="0" fontId="3" fillId="0" borderId="38" xfId="0" applyFont="1" applyBorder="1" applyAlignment="1">
      <alignment horizontal="center" vertical="center" wrapText="1"/>
    </xf>
    <xf numFmtId="176" fontId="3" fillId="0" borderId="38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82" xfId="0" applyFont="1" applyFill="1" applyBorder="1" applyAlignment="1">
      <alignment horizontal="center" vertical="center"/>
    </xf>
    <xf numFmtId="0" fontId="2" fillId="11" borderId="41" xfId="0" applyFont="1" applyFill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38" xfId="0" applyFont="1" applyFill="1" applyBorder="1" applyAlignment="1">
      <alignment horizontal="center" vertical="center" wrapText="1"/>
    </xf>
    <xf numFmtId="176" fontId="3" fillId="9" borderId="38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0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2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35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8"/>
  <sheetViews>
    <sheetView workbookViewId="0">
      <selection activeCell="C7" sqref="C7:K9"/>
    </sheetView>
  </sheetViews>
  <sheetFormatPr defaultColWidth="9" defaultRowHeight="12.6"/>
  <cols>
    <col min="1" max="1" width="1.59765625" style="2" customWidth="1"/>
    <col min="2" max="16384" width="9" style="2"/>
  </cols>
  <sheetData>
    <row r="2" spans="2:11" ht="27.75" customHeight="1">
      <c r="B2" s="191" t="s">
        <v>170</v>
      </c>
      <c r="C2" s="191"/>
      <c r="D2" s="191"/>
      <c r="E2" s="191"/>
      <c r="F2" s="191"/>
      <c r="G2" s="191"/>
      <c r="H2" s="191"/>
      <c r="I2" s="191"/>
      <c r="J2" s="191"/>
      <c r="K2" s="191"/>
    </row>
    <row r="3" spans="2:11" ht="15" customHeight="1">
      <c r="B3" s="189"/>
      <c r="C3" s="190"/>
      <c r="D3" s="190"/>
      <c r="E3" s="190"/>
      <c r="F3" s="190"/>
      <c r="G3" s="190"/>
      <c r="H3" s="190"/>
      <c r="I3" s="190"/>
      <c r="J3" s="190"/>
      <c r="K3" s="190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" customHeight="1">
      <c r="B7" s="4" t="s">
        <v>17</v>
      </c>
      <c r="C7" s="5"/>
      <c r="D7" s="5"/>
      <c r="E7" s="5"/>
      <c r="F7" s="20"/>
      <c r="G7" s="5"/>
      <c r="H7" s="23"/>
      <c r="I7" s="5"/>
      <c r="J7" s="27"/>
      <c r="K7" s="29"/>
    </row>
    <row r="8" spans="2:11" ht="25" customHeight="1">
      <c r="B8" s="4" t="s">
        <v>18</v>
      </c>
      <c r="C8" s="5"/>
      <c r="D8" s="5"/>
      <c r="E8" s="5"/>
      <c r="F8" s="20"/>
      <c r="G8" s="5"/>
      <c r="H8" s="23"/>
      <c r="I8" s="5"/>
      <c r="J8" s="27"/>
      <c r="K8" s="29"/>
    </row>
    <row r="9" spans="2:11" ht="25" customHeight="1">
      <c r="B9" s="7" t="s">
        <v>19</v>
      </c>
      <c r="C9" s="8"/>
      <c r="D9" s="8"/>
      <c r="E9" s="8"/>
      <c r="F9" s="21"/>
      <c r="G9" s="8"/>
      <c r="H9" s="24"/>
      <c r="I9" s="8"/>
      <c r="J9" s="28"/>
      <c r="K9" s="30"/>
    </row>
    <row r="10" spans="2:11" ht="20.10000000000000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0000000000000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0000000000000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H12"/>
  <sheetViews>
    <sheetView workbookViewId="0">
      <selection activeCell="J9" sqref="J9"/>
    </sheetView>
  </sheetViews>
  <sheetFormatPr defaultColWidth="9" defaultRowHeight="12.6"/>
  <cols>
    <col min="1" max="1" width="3" style="2" customWidth="1"/>
    <col min="2" max="7" width="11.25" style="2" customWidth="1"/>
    <col min="8" max="8" width="9.5" style="2" customWidth="1"/>
    <col min="9" max="16384" width="9" style="2"/>
  </cols>
  <sheetData>
    <row r="2" spans="2:8" ht="17.7">
      <c r="B2" s="191" t="s">
        <v>172</v>
      </c>
      <c r="C2" s="191"/>
      <c r="D2" s="191"/>
      <c r="E2" s="191"/>
      <c r="F2" s="191"/>
      <c r="G2" s="191"/>
      <c r="H2" s="191"/>
    </row>
    <row r="4" spans="2:8" ht="25.2" customHeight="1">
      <c r="B4" s="85" t="s">
        <v>30</v>
      </c>
      <c r="C4" s="192" t="s">
        <v>26</v>
      </c>
      <c r="D4" s="193"/>
      <c r="E4" s="194" t="s">
        <v>27</v>
      </c>
      <c r="F4" s="195"/>
      <c r="G4" s="94" t="s">
        <v>31</v>
      </c>
    </row>
    <row r="5" spans="2:8" ht="25.2">
      <c r="B5" s="86"/>
      <c r="C5" s="87" t="s">
        <v>24</v>
      </c>
      <c r="D5" s="87" t="s">
        <v>25</v>
      </c>
      <c r="E5" s="87" t="s">
        <v>28</v>
      </c>
      <c r="F5" s="87" t="s">
        <v>29</v>
      </c>
      <c r="G5" s="95" t="s">
        <v>32</v>
      </c>
    </row>
    <row r="6" spans="2:8" ht="16.5" customHeight="1">
      <c r="B6" s="88" t="s">
        <v>0</v>
      </c>
      <c r="C6" s="51">
        <v>33.1</v>
      </c>
      <c r="D6" s="51">
        <v>29.1</v>
      </c>
      <c r="E6" s="51">
        <v>1.6</v>
      </c>
      <c r="F6" s="51">
        <v>17.600000000000001</v>
      </c>
      <c r="G6" s="96">
        <v>6.28</v>
      </c>
    </row>
    <row r="7" spans="2:8" ht="16.5" customHeight="1">
      <c r="B7" s="85" t="s">
        <v>34</v>
      </c>
      <c r="C7" s="38"/>
      <c r="D7" s="38"/>
      <c r="E7" s="38"/>
      <c r="F7" s="38"/>
      <c r="G7" s="41"/>
    </row>
    <row r="8" spans="2:8" ht="16.5" customHeight="1">
      <c r="B8" s="85" t="s">
        <v>35</v>
      </c>
      <c r="C8" s="38"/>
      <c r="D8" s="38"/>
      <c r="E8" s="38"/>
      <c r="F8" s="38"/>
      <c r="G8" s="41"/>
    </row>
    <row r="9" spans="2:8" ht="16.5" customHeight="1">
      <c r="B9" s="85" t="s">
        <v>187</v>
      </c>
      <c r="C9" s="38"/>
      <c r="D9" s="38"/>
      <c r="E9" s="38"/>
      <c r="F9" s="38"/>
      <c r="G9" s="41"/>
    </row>
    <row r="10" spans="2:8" ht="16.5" customHeight="1">
      <c r="B10" s="94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4.1">
      <c r="B11" s="125" t="s">
        <v>245</v>
      </c>
      <c r="C11" s="125" t="s">
        <v>246</v>
      </c>
      <c r="D11" s="125" t="s">
        <v>247</v>
      </c>
      <c r="E11" s="125" t="s">
        <v>248</v>
      </c>
      <c r="F11" s="125" t="s">
        <v>249</v>
      </c>
      <c r="G11" s="15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J13"/>
  <sheetViews>
    <sheetView workbookViewId="0">
      <selection activeCell="B12" sqref="B12"/>
    </sheetView>
  </sheetViews>
  <sheetFormatPr defaultColWidth="9" defaultRowHeight="17.100000000000001" customHeight="1"/>
  <cols>
    <col min="1" max="1" width="2.34765625" style="2" customWidth="1"/>
    <col min="2" max="2" width="9.1484375" style="2" bestFit="1" customWidth="1"/>
    <col min="3" max="9" width="10.75" style="2" customWidth="1"/>
    <col min="10" max="16384" width="9" style="2"/>
  </cols>
  <sheetData>
    <row r="2" spans="2:10" ht="17.100000000000001" customHeight="1">
      <c r="B2" s="191" t="s">
        <v>171</v>
      </c>
      <c r="C2" s="191"/>
      <c r="D2" s="191"/>
      <c r="E2" s="191"/>
      <c r="F2" s="191"/>
      <c r="G2" s="191"/>
      <c r="H2" s="191"/>
      <c r="I2" s="191"/>
    </row>
    <row r="3" spans="2:10" ht="17.100000000000001" customHeight="1">
      <c r="B3" s="189"/>
      <c r="C3" s="190"/>
      <c r="D3" s="190"/>
      <c r="E3" s="190"/>
      <c r="F3" s="190"/>
      <c r="G3" s="190"/>
      <c r="H3" s="190"/>
      <c r="I3" s="190"/>
    </row>
    <row r="4" spans="2:10" ht="17.10000000000000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0000000000000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0000000000000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00000000000001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10" ht="17.100000000000001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10" ht="17.10000000000000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10" ht="17.10000000000000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00000000000001" customHeight="1">
      <c r="B11" s="196" t="s">
        <v>50</v>
      </c>
      <c r="C11" s="197"/>
      <c r="D11" s="197"/>
      <c r="E11" s="197"/>
      <c r="F11" s="197"/>
      <c r="G11" s="197"/>
      <c r="H11" s="197"/>
      <c r="I11" s="198"/>
    </row>
    <row r="12" spans="2:10" ht="17.100000000000001" customHeight="1">
      <c r="B12" s="125" t="s">
        <v>245</v>
      </c>
      <c r="C12" s="125" t="s">
        <v>252</v>
      </c>
      <c r="D12" s="125" t="s">
        <v>253</v>
      </c>
      <c r="E12" s="125" t="s">
        <v>254</v>
      </c>
      <c r="F12" s="125" t="s">
        <v>255</v>
      </c>
      <c r="G12" s="125" t="s">
        <v>256</v>
      </c>
    </row>
    <row r="13" spans="2:10" ht="17.10000000000000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Q18"/>
  <sheetViews>
    <sheetView zoomScale="115" zoomScaleNormal="115" workbookViewId="0">
      <selection activeCell="I10" sqref="I10:J10"/>
    </sheetView>
  </sheetViews>
  <sheetFormatPr defaultColWidth="9" defaultRowHeight="12.6"/>
  <cols>
    <col min="1" max="1" width="1.7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384" width="9" style="2"/>
  </cols>
  <sheetData>
    <row r="2" spans="2:17" ht="30" customHeight="1">
      <c r="B2" s="191" t="s">
        <v>173</v>
      </c>
      <c r="C2" s="191"/>
      <c r="D2" s="191"/>
      <c r="E2" s="191"/>
      <c r="F2" s="191"/>
    </row>
    <row r="3" spans="2:17" ht="15" customHeight="1">
      <c r="B3" s="189"/>
      <c r="C3" s="190"/>
      <c r="D3" s="190"/>
      <c r="E3" s="190"/>
      <c r="F3" s="190"/>
    </row>
    <row r="4" spans="2:17" ht="25" customHeight="1">
      <c r="B4" s="204" t="s">
        <v>55</v>
      </c>
      <c r="C4" s="199" t="s">
        <v>188</v>
      </c>
      <c r="D4" s="200"/>
      <c r="E4" s="200"/>
      <c r="F4" s="201"/>
      <c r="G4" s="202" t="s">
        <v>189</v>
      </c>
      <c r="H4" s="202"/>
      <c r="I4" s="202"/>
      <c r="J4" s="203"/>
    </row>
    <row r="5" spans="2:17" ht="25" customHeight="1">
      <c r="B5" s="205"/>
      <c r="C5" s="105" t="s">
        <v>21</v>
      </c>
      <c r="D5" s="105" t="s">
        <v>57</v>
      </c>
      <c r="E5" s="105" t="s">
        <v>58</v>
      </c>
      <c r="F5" s="105" t="s">
        <v>59</v>
      </c>
      <c r="G5" s="105" t="s">
        <v>21</v>
      </c>
      <c r="H5" s="105" t="s">
        <v>57</v>
      </c>
      <c r="I5" s="105" t="s">
        <v>58</v>
      </c>
      <c r="J5" s="106" t="s">
        <v>59</v>
      </c>
    </row>
    <row r="6" spans="2:17" ht="25" customHeight="1">
      <c r="B6" s="206"/>
      <c r="C6" s="105" t="s">
        <v>56</v>
      </c>
      <c r="D6" s="105" t="s">
        <v>56</v>
      </c>
      <c r="E6" s="105" t="s">
        <v>56</v>
      </c>
      <c r="F6" s="105" t="s">
        <v>56</v>
      </c>
      <c r="G6" s="105" t="s">
        <v>56</v>
      </c>
      <c r="H6" s="105" t="s">
        <v>56</v>
      </c>
      <c r="I6" s="105" t="s">
        <v>56</v>
      </c>
      <c r="J6" s="106" t="s">
        <v>56</v>
      </c>
    </row>
    <row r="7" spans="2:17" ht="25" customHeight="1">
      <c r="B7" s="107" t="s">
        <v>60</v>
      </c>
      <c r="C7" s="108">
        <v>1</v>
      </c>
      <c r="D7" s="108">
        <v>1</v>
      </c>
      <c r="E7" s="175">
        <f>C7+D7</f>
        <v>2</v>
      </c>
      <c r="F7" s="175">
        <f>100-E7</f>
        <v>98</v>
      </c>
      <c r="G7" s="108">
        <v>2</v>
      </c>
      <c r="H7" s="108">
        <v>1</v>
      </c>
      <c r="I7" s="175">
        <f>G7+H7</f>
        <v>3</v>
      </c>
      <c r="J7" s="176">
        <f>100-I7</f>
        <v>97</v>
      </c>
    </row>
    <row r="8" spans="2:17" ht="25" customHeight="1">
      <c r="B8" s="109" t="s">
        <v>64</v>
      </c>
      <c r="C8" s="105">
        <v>1</v>
      </c>
      <c r="D8" s="105">
        <v>2</v>
      </c>
      <c r="E8" s="105">
        <f>C8+D8</f>
        <v>3</v>
      </c>
      <c r="F8" s="105">
        <f>100-E8</f>
        <v>97</v>
      </c>
      <c r="G8" s="110"/>
      <c r="H8" s="110"/>
      <c r="I8" s="110">
        <f>G8+H8</f>
        <v>0</v>
      </c>
      <c r="J8" s="111">
        <f>100-I8</f>
        <v>100</v>
      </c>
    </row>
    <row r="9" spans="2:17" ht="25" customHeight="1">
      <c r="B9" s="112" t="s">
        <v>190</v>
      </c>
      <c r="C9" s="113">
        <v>3</v>
      </c>
      <c r="D9" s="113">
        <v>4</v>
      </c>
      <c r="E9" s="113">
        <f>C9+D9</f>
        <v>7</v>
      </c>
      <c r="F9" s="113">
        <f>100-E9</f>
        <v>93</v>
      </c>
      <c r="G9" s="113">
        <v>3</v>
      </c>
      <c r="H9" s="113">
        <v>4</v>
      </c>
      <c r="I9" s="113">
        <f t="shared" ref="I9" si="0">G9+H9</f>
        <v>7</v>
      </c>
      <c r="J9" s="114">
        <f t="shared" ref="J9" si="1">100-I9</f>
        <v>93</v>
      </c>
    </row>
    <row r="10" spans="2:17" ht="25" customHeight="1">
      <c r="B10" s="125" t="s">
        <v>245</v>
      </c>
      <c r="C10" s="125">
        <v>21</v>
      </c>
      <c r="D10" s="157">
        <v>23</v>
      </c>
      <c r="E10" s="177">
        <v>24</v>
      </c>
      <c r="F10" s="177">
        <v>25</v>
      </c>
      <c r="G10" s="125">
        <v>31</v>
      </c>
      <c r="H10" s="157">
        <v>33</v>
      </c>
      <c r="I10" s="178">
        <v>34</v>
      </c>
      <c r="J10" s="178">
        <v>35</v>
      </c>
    </row>
    <row r="11" spans="2:17" ht="25" customHeight="1">
      <c r="E11" s="2" t="s">
        <v>260</v>
      </c>
    </row>
    <row r="16" spans="2:17">
      <c r="Q16" s="115"/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Y26"/>
  <sheetViews>
    <sheetView zoomScale="70" zoomScaleNormal="70" workbookViewId="0">
      <selection activeCell="C9" sqref="C9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9921875" style="1" bestFit="1" customWidth="1"/>
    <col min="24" max="16384" width="9" style="1"/>
  </cols>
  <sheetData>
    <row r="2" spans="2:25" ht="30" customHeight="1">
      <c r="B2" s="191" t="s">
        <v>174</v>
      </c>
      <c r="C2" s="191"/>
      <c r="D2" s="191"/>
      <c r="E2" s="191"/>
      <c r="F2" s="191"/>
    </row>
    <row r="3" spans="2:25" ht="15" customHeight="1">
      <c r="B3" s="190"/>
      <c r="C3" s="190"/>
      <c r="D3" s="190"/>
      <c r="E3" s="190"/>
      <c r="F3" s="190"/>
    </row>
    <row r="4" spans="2:25" ht="25" customHeight="1">
      <c r="B4" s="207" t="s">
        <v>16</v>
      </c>
      <c r="C4" s="34" t="s">
        <v>61</v>
      </c>
      <c r="D4" s="34" t="s">
        <v>23</v>
      </c>
      <c r="E4" s="34" t="s">
        <v>36</v>
      </c>
      <c r="F4" s="209" t="s">
        <v>62</v>
      </c>
    </row>
    <row r="5" spans="2:25" ht="25" customHeight="1">
      <c r="B5" s="208"/>
      <c r="C5" s="53" t="s">
        <v>56</v>
      </c>
      <c r="D5" s="53" t="s">
        <v>56</v>
      </c>
      <c r="E5" s="53" t="s">
        <v>56</v>
      </c>
      <c r="F5" s="210"/>
    </row>
    <row r="6" spans="2:25" ht="25" customHeight="1">
      <c r="B6" s="40" t="s">
        <v>63</v>
      </c>
      <c r="C6" s="53">
        <v>1</v>
      </c>
      <c r="D6" s="53">
        <v>1</v>
      </c>
      <c r="E6" s="53">
        <f>C6-D6</f>
        <v>0</v>
      </c>
      <c r="F6" s="54"/>
    </row>
    <row r="7" spans="2:25" ht="25" customHeight="1">
      <c r="B7" s="40" t="s">
        <v>64</v>
      </c>
      <c r="C7" s="53"/>
      <c r="D7" s="53"/>
      <c r="E7" s="53">
        <f>C7-D7</f>
        <v>0</v>
      </c>
      <c r="F7" s="54"/>
    </row>
    <row r="8" spans="2:25" ht="25" customHeight="1">
      <c r="B8" s="58" t="s">
        <v>65</v>
      </c>
      <c r="C8" s="59"/>
      <c r="D8" s="59"/>
      <c r="E8" s="59">
        <f>C8-D8</f>
        <v>0</v>
      </c>
      <c r="F8" s="60"/>
    </row>
    <row r="9" spans="2:25" ht="25" customHeight="1">
      <c r="B9" s="1" t="s">
        <v>263</v>
      </c>
      <c r="C9" s="164" t="s">
        <v>261</v>
      </c>
      <c r="D9" s="164" t="s">
        <v>262</v>
      </c>
      <c r="E9" s="164"/>
    </row>
    <row r="12" spans="2:25" ht="14.4" thickBot="1">
      <c r="B12" s="211" t="s">
        <v>204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</row>
    <row r="13" spans="2:25" ht="17.7">
      <c r="B13" s="215" t="s">
        <v>205</v>
      </c>
      <c r="C13" s="216"/>
      <c r="D13" s="216"/>
      <c r="E13" s="216"/>
      <c r="F13" s="216"/>
      <c r="G13" s="216"/>
      <c r="H13" s="217"/>
      <c r="I13" s="215" t="s">
        <v>206</v>
      </c>
      <c r="J13" s="216"/>
      <c r="K13" s="216"/>
      <c r="L13" s="216"/>
      <c r="M13" s="216"/>
      <c r="N13" s="216"/>
      <c r="O13" s="217"/>
      <c r="P13" s="215" t="s">
        <v>207</v>
      </c>
      <c r="Q13" s="218"/>
      <c r="R13" s="218"/>
      <c r="S13" s="218"/>
      <c r="T13" s="218"/>
      <c r="U13" s="218"/>
      <c r="V13" s="219"/>
      <c r="W13" s="213" t="s">
        <v>208</v>
      </c>
    </row>
    <row r="14" spans="2:25" ht="25.2">
      <c r="B14" s="220" t="s">
        <v>191</v>
      </c>
      <c r="C14" s="221"/>
      <c r="D14" s="121" t="s">
        <v>192</v>
      </c>
      <c r="E14" s="121" t="s">
        <v>193</v>
      </c>
      <c r="F14" s="121" t="s">
        <v>194</v>
      </c>
      <c r="G14" s="121" t="s">
        <v>195</v>
      </c>
      <c r="H14" s="122" t="s">
        <v>196</v>
      </c>
      <c r="I14" s="220" t="s">
        <v>191</v>
      </c>
      <c r="J14" s="221"/>
      <c r="K14" s="121" t="s">
        <v>192</v>
      </c>
      <c r="L14" s="121" t="s">
        <v>197</v>
      </c>
      <c r="M14" s="121" t="s">
        <v>194</v>
      </c>
      <c r="N14" s="121" t="s">
        <v>195</v>
      </c>
      <c r="O14" s="122" t="s">
        <v>196</v>
      </c>
      <c r="P14" s="220" t="s">
        <v>191</v>
      </c>
      <c r="Q14" s="222"/>
      <c r="R14" s="121" t="s">
        <v>192</v>
      </c>
      <c r="S14" s="43" t="s">
        <v>197</v>
      </c>
      <c r="T14" s="121" t="s">
        <v>194</v>
      </c>
      <c r="U14" s="43" t="s">
        <v>198</v>
      </c>
      <c r="V14" s="122" t="s">
        <v>196</v>
      </c>
      <c r="W14" s="214"/>
    </row>
    <row r="15" spans="2:25" ht="25.2">
      <c r="B15" s="116" t="s">
        <v>199</v>
      </c>
      <c r="C15" s="117" t="s">
        <v>200</v>
      </c>
      <c r="D15" s="118" t="s">
        <v>56</v>
      </c>
      <c r="E15" s="118" t="s">
        <v>56</v>
      </c>
      <c r="F15" s="118" t="s">
        <v>56</v>
      </c>
      <c r="G15" s="118" t="s">
        <v>201</v>
      </c>
      <c r="H15" s="119" t="s">
        <v>201</v>
      </c>
      <c r="I15" s="116" t="s">
        <v>199</v>
      </c>
      <c r="J15" s="117" t="s">
        <v>200</v>
      </c>
      <c r="K15" s="118" t="s">
        <v>56</v>
      </c>
      <c r="L15" s="118" t="s">
        <v>56</v>
      </c>
      <c r="M15" s="118" t="s">
        <v>56</v>
      </c>
      <c r="N15" s="118" t="s">
        <v>201</v>
      </c>
      <c r="O15" s="119" t="s">
        <v>201</v>
      </c>
      <c r="P15" s="116" t="s">
        <v>199</v>
      </c>
      <c r="Q15" s="117" t="s">
        <v>200</v>
      </c>
      <c r="R15" s="118" t="s">
        <v>202</v>
      </c>
      <c r="S15" s="118" t="s">
        <v>202</v>
      </c>
      <c r="T15" s="118" t="s">
        <v>202</v>
      </c>
      <c r="U15" s="118" t="s">
        <v>203</v>
      </c>
      <c r="V15" s="119" t="s">
        <v>203</v>
      </c>
      <c r="W15" s="123" t="s">
        <v>201</v>
      </c>
    </row>
    <row r="16" spans="2:25">
      <c r="B16" s="125">
        <v>21</v>
      </c>
      <c r="C16" s="125">
        <v>22</v>
      </c>
      <c r="D16" s="125">
        <v>23</v>
      </c>
      <c r="E16" s="125">
        <v>24</v>
      </c>
      <c r="F16" s="125">
        <v>25</v>
      </c>
      <c r="G16" s="125">
        <v>26</v>
      </c>
      <c r="H16" s="125">
        <v>27</v>
      </c>
      <c r="I16" s="125">
        <v>31</v>
      </c>
      <c r="J16" s="125">
        <v>32</v>
      </c>
      <c r="K16" s="125">
        <v>33</v>
      </c>
      <c r="L16" s="125">
        <v>34</v>
      </c>
      <c r="M16" s="125">
        <v>35</v>
      </c>
      <c r="N16" s="125">
        <v>36</v>
      </c>
      <c r="O16" s="125">
        <v>37</v>
      </c>
      <c r="P16" s="158" t="e">
        <f>(B16*G16+I16*N16)/U16</f>
        <v>#DIV/0!</v>
      </c>
      <c r="Q16" s="93"/>
      <c r="R16" s="93"/>
      <c r="S16" s="93"/>
      <c r="T16" s="93"/>
      <c r="U16" s="93"/>
      <c r="V16" s="93"/>
      <c r="W16" s="93"/>
      <c r="Y16" s="93"/>
    </row>
    <row r="19" spans="2:22">
      <c r="B19" s="159">
        <v>99</v>
      </c>
      <c r="C19" s="160">
        <v>65</v>
      </c>
      <c r="D19" s="160">
        <v>1.2</v>
      </c>
      <c r="E19" s="160">
        <v>99</v>
      </c>
      <c r="F19" s="160">
        <v>0.25</v>
      </c>
      <c r="G19" s="160">
        <v>2254</v>
      </c>
      <c r="H19" s="161">
        <f>B19*G19/100</f>
        <v>2231.46</v>
      </c>
      <c r="I19" s="159">
        <v>92.3</v>
      </c>
      <c r="J19" s="160">
        <v>88.9</v>
      </c>
      <c r="K19" s="160">
        <v>3.6</v>
      </c>
      <c r="L19" s="160">
        <v>99.5</v>
      </c>
      <c r="M19" s="160">
        <v>4.0999999999999996</v>
      </c>
      <c r="N19" s="160">
        <v>150</v>
      </c>
      <c r="O19" s="161">
        <f>I19*N19/100</f>
        <v>138.44999999999999</v>
      </c>
      <c r="P19" s="158">
        <f>(B19*G19+I19*N19)/U19</f>
        <v>98.581946755407657</v>
      </c>
      <c r="Q19" s="162">
        <f>(C19*G19+J19*N19)/U19</f>
        <v>66.491264559068213</v>
      </c>
      <c r="R19" s="162">
        <f>(D19*G19+K19*N19)/U19</f>
        <v>1.3497504159733775</v>
      </c>
      <c r="S19" s="162">
        <f>(E19*G19+L19*N19)/U19</f>
        <v>99.031198003327788</v>
      </c>
      <c r="T19" s="162">
        <f>(F19*G19+M19*N19)/U19</f>
        <v>0.49022462562396008</v>
      </c>
      <c r="U19" s="162">
        <f>G19+N19</f>
        <v>2404</v>
      </c>
      <c r="V19" s="163">
        <f>H19+O19</f>
        <v>2369.91</v>
      </c>
    </row>
    <row r="26" spans="2:22">
      <c r="D26" s="212"/>
      <c r="E26" s="212"/>
      <c r="F26" s="212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sheetPr>
    <tabColor rgb="FF00B050"/>
  </sheetPr>
  <dimension ref="B2:P7"/>
  <sheetViews>
    <sheetView workbookViewId="0">
      <selection activeCell="C5" sqref="C5"/>
    </sheetView>
  </sheetViews>
  <sheetFormatPr defaultColWidth="9" defaultRowHeight="12.6"/>
  <cols>
    <col min="1" max="1" width="2" style="2" customWidth="1"/>
    <col min="2" max="2" width="9" style="2"/>
    <col min="3" max="3" width="15.6484375" style="2" bestFit="1" customWidth="1"/>
    <col min="4" max="14" width="6.59765625" style="2" customWidth="1"/>
    <col min="15" max="16" width="7.59765625" style="2" customWidth="1"/>
    <col min="17" max="16384" width="9" style="2"/>
  </cols>
  <sheetData>
    <row r="2" spans="2:16" ht="30" customHeight="1">
      <c r="B2" s="191" t="s">
        <v>175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</row>
    <row r="3" spans="2:16" ht="15" customHeight="1">
      <c r="B3" s="189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65" t="s">
        <v>79</v>
      </c>
      <c r="C5" s="38" t="s">
        <v>280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9"/>
    </row>
    <row r="6" spans="2:16" ht="60" customHeight="1">
      <c r="B6" s="166" t="s">
        <v>80</v>
      </c>
      <c r="C6" s="62" t="s">
        <v>281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3"/>
    </row>
    <row r="7" spans="2:16" ht="2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sheetPr>
    <tabColor rgb="FF00B050"/>
  </sheetPr>
  <dimension ref="B2:M25"/>
  <sheetViews>
    <sheetView workbookViewId="0">
      <selection activeCell="K1" sqref="K1:L1048576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6384" width="9" style="2"/>
  </cols>
  <sheetData>
    <row r="2" spans="2:13" ht="30" customHeight="1">
      <c r="B2" s="191" t="s">
        <v>176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</row>
    <row r="3" spans="2:13" ht="30" customHeight="1">
      <c r="B3" s="226" t="s">
        <v>134</v>
      </c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209"/>
    </row>
    <row r="4" spans="2:13" ht="10" customHeight="1">
      <c r="B4" s="227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9"/>
    </row>
    <row r="5" spans="2:13" ht="20.100000000000001" customHeight="1">
      <c r="B5" s="230" t="s">
        <v>117</v>
      </c>
      <c r="C5" s="231"/>
      <c r="D5" s="5"/>
      <c r="E5" s="5"/>
      <c r="F5" s="5"/>
      <c r="G5" s="5"/>
      <c r="H5" s="5"/>
      <c r="I5" s="5"/>
      <c r="J5" s="5"/>
      <c r="K5" s="232" t="s">
        <v>127</v>
      </c>
      <c r="L5" s="232" t="s">
        <v>126</v>
      </c>
      <c r="M5" s="233" t="s">
        <v>128</v>
      </c>
    </row>
    <row r="6" spans="2:13" ht="20.100000000000001" customHeight="1">
      <c r="B6" s="230" t="s">
        <v>118</v>
      </c>
      <c r="C6" s="231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31"/>
      <c r="L6" s="231"/>
      <c r="M6" s="210"/>
    </row>
    <row r="7" spans="2:13" ht="20.100000000000001" customHeight="1">
      <c r="B7" s="223" t="s">
        <v>129</v>
      </c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5"/>
    </row>
    <row r="8" spans="2:13" ht="20.100000000000001" customHeight="1">
      <c r="B8" s="4" t="s">
        <v>21</v>
      </c>
      <c r="C8" s="5" t="s">
        <v>56</v>
      </c>
      <c r="D8" s="157" t="s">
        <v>264</v>
      </c>
      <c r="E8" s="5"/>
      <c r="F8" s="5"/>
      <c r="G8" s="5"/>
      <c r="H8" s="5"/>
      <c r="I8" s="5"/>
      <c r="J8" s="5"/>
      <c r="K8" s="5"/>
      <c r="L8" s="5">
        <v>9</v>
      </c>
      <c r="M8" s="6">
        <f>K8-L8</f>
        <v>-9</v>
      </c>
    </row>
    <row r="9" spans="2:13" ht="20.100000000000001" customHeight="1">
      <c r="B9" s="4" t="s">
        <v>94</v>
      </c>
      <c r="C9" s="5" t="s">
        <v>86</v>
      </c>
      <c r="D9" s="157" t="s">
        <v>248</v>
      </c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00000000000001" customHeight="1">
      <c r="B10" s="4" t="s">
        <v>44</v>
      </c>
      <c r="C10" s="5" t="s">
        <v>12</v>
      </c>
      <c r="D10" s="157" t="s">
        <v>250</v>
      </c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00000000000001" customHeight="1">
      <c r="B11" s="223" t="s">
        <v>130</v>
      </c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5"/>
    </row>
    <row r="12" spans="2:13" ht="20.100000000000001" customHeight="1">
      <c r="B12" s="4" t="s">
        <v>21</v>
      </c>
      <c r="C12" s="5" t="s">
        <v>56</v>
      </c>
      <c r="D12" s="89" t="s">
        <v>265</v>
      </c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00000000000001" customHeight="1">
      <c r="B13" s="4" t="s">
        <v>57</v>
      </c>
      <c r="C13" s="5" t="s">
        <v>56</v>
      </c>
      <c r="D13" s="89" t="s">
        <v>265</v>
      </c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00000000000001" customHeight="1">
      <c r="B14" s="167" t="s">
        <v>58</v>
      </c>
      <c r="C14" s="5" t="s">
        <v>56</v>
      </c>
      <c r="D14" s="168" t="s">
        <v>282</v>
      </c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00000000000001" customHeight="1">
      <c r="B15" s="4" t="s">
        <v>59</v>
      </c>
      <c r="C15" s="5" t="s">
        <v>56</v>
      </c>
      <c r="D15" s="5" t="e">
        <f>100-D14</f>
        <v>#VALUE!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00000000000001" customHeight="1">
      <c r="B16" s="223" t="s">
        <v>288</v>
      </c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5"/>
    </row>
    <row r="17" spans="2:13" ht="20.100000000000001" customHeight="1">
      <c r="B17" s="179" t="s">
        <v>132</v>
      </c>
      <c r="C17" s="180" t="s">
        <v>56</v>
      </c>
      <c r="D17" s="180" t="s">
        <v>265</v>
      </c>
      <c r="E17" s="180"/>
      <c r="F17" s="180"/>
      <c r="G17" s="180"/>
      <c r="H17" s="180"/>
      <c r="I17" s="180"/>
      <c r="J17" s="180"/>
      <c r="K17" s="180"/>
      <c r="L17" s="180"/>
      <c r="M17" s="181"/>
    </row>
    <row r="18" spans="2:13" ht="20.100000000000001" customHeight="1">
      <c r="B18" s="179" t="s">
        <v>133</v>
      </c>
      <c r="C18" s="180" t="s">
        <v>113</v>
      </c>
      <c r="D18" s="180" t="s">
        <v>265</v>
      </c>
      <c r="E18" s="180"/>
      <c r="F18" s="180"/>
      <c r="G18" s="180"/>
      <c r="H18" s="180"/>
      <c r="I18" s="180"/>
      <c r="J18" s="180"/>
      <c r="K18" s="180"/>
      <c r="L18" s="180"/>
      <c r="M18" s="181">
        <f>K18-L18</f>
        <v>0</v>
      </c>
    </row>
    <row r="19" spans="2:13" ht="20.100000000000001" customHeight="1">
      <c r="B19" s="223" t="s">
        <v>289</v>
      </c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5"/>
    </row>
    <row r="20" spans="2:13" ht="20.100000000000001" customHeight="1">
      <c r="B20" s="169" t="s">
        <v>21</v>
      </c>
      <c r="C20" s="8" t="s">
        <v>56</v>
      </c>
      <c r="D20" s="125" t="s">
        <v>283</v>
      </c>
      <c r="E20" s="8"/>
      <c r="F20" s="8"/>
      <c r="G20" s="8"/>
      <c r="H20" s="8"/>
      <c r="I20" s="8"/>
      <c r="J20" s="8"/>
      <c r="K20" s="8"/>
      <c r="L20" s="8"/>
      <c r="M20" s="9">
        <f>K20-L20</f>
        <v>0</v>
      </c>
    </row>
    <row r="21" spans="2:13" ht="20.100000000000001" customHeight="1">
      <c r="D21" s="125" t="s">
        <v>283</v>
      </c>
    </row>
    <row r="22" spans="2:13" ht="20.100000000000001" customHeight="1"/>
    <row r="23" spans="2:13" ht="20.100000000000001" customHeight="1"/>
    <row r="24" spans="2:13" ht="20.100000000000001" customHeight="1"/>
    <row r="25" spans="2:13" ht="20.10000000000000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2:I15"/>
  <sheetViews>
    <sheetView workbookViewId="0">
      <selection activeCell="A9" sqref="A9:XFD9"/>
    </sheetView>
  </sheetViews>
  <sheetFormatPr defaultColWidth="9" defaultRowHeight="12.6"/>
  <cols>
    <col min="1" max="1" width="1.34765625" style="2" customWidth="1"/>
    <col min="2" max="2" width="9" style="2"/>
    <col min="3" max="3" width="35.19921875" style="2" bestFit="1" customWidth="1"/>
    <col min="4" max="7" width="12.59765625" style="2" customWidth="1"/>
    <col min="8" max="16384" width="9" style="2"/>
  </cols>
  <sheetData>
    <row r="2" spans="2:9" ht="30" customHeight="1">
      <c r="B2" s="191" t="s">
        <v>177</v>
      </c>
      <c r="C2" s="191"/>
      <c r="D2" s="191"/>
      <c r="E2" s="191"/>
      <c r="F2" s="191"/>
      <c r="G2" s="191"/>
    </row>
    <row r="3" spans="2:9" ht="15" customHeight="1">
      <c r="B3" s="189"/>
      <c r="C3" s="190"/>
      <c r="D3" s="190"/>
      <c r="E3" s="190"/>
      <c r="F3" s="190"/>
      <c r="G3" s="190"/>
    </row>
    <row r="4" spans="2:9" ht="15.75" customHeight="1">
      <c r="B4" s="235" t="s">
        <v>91</v>
      </c>
      <c r="C4" s="236"/>
      <c r="D4" s="236"/>
      <c r="E4" s="236"/>
      <c r="F4" s="236"/>
      <c r="G4" s="237"/>
    </row>
    <row r="5" spans="2:9" ht="2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" customHeight="1">
      <c r="B8" s="77" t="s">
        <v>209</v>
      </c>
      <c r="C8" s="71"/>
      <c r="D8" s="71"/>
      <c r="E8" s="78" t="e">
        <f>C8/D8</f>
        <v>#DIV/0!</v>
      </c>
      <c r="F8" s="71"/>
      <c r="G8" s="74"/>
    </row>
    <row r="9" spans="2:9" ht="25" customHeight="1">
      <c r="B9" s="77" t="s">
        <v>90</v>
      </c>
      <c r="C9" s="71" t="s">
        <v>290</v>
      </c>
      <c r="D9" s="71" t="s">
        <v>290</v>
      </c>
      <c r="E9" s="78" t="e">
        <f>C9/D9</f>
        <v>#VALUE!</v>
      </c>
      <c r="F9" s="71" t="s">
        <v>291</v>
      </c>
      <c r="G9" s="74" t="s">
        <v>292</v>
      </c>
      <c r="H9" s="2" t="s">
        <v>244</v>
      </c>
      <c r="I9" s="2" t="s">
        <v>266</v>
      </c>
    </row>
    <row r="10" spans="2:9" ht="15.75" customHeight="1">
      <c r="B10" s="238" t="s">
        <v>92</v>
      </c>
      <c r="C10" s="239"/>
      <c r="D10" s="239"/>
      <c r="E10" s="239"/>
      <c r="F10" s="239"/>
      <c r="G10" s="240"/>
    </row>
    <row r="11" spans="2:9" ht="25" customHeight="1">
      <c r="B11" s="4" t="s">
        <v>39</v>
      </c>
      <c r="C11" s="241" t="s">
        <v>21</v>
      </c>
      <c r="D11" s="231"/>
      <c r="E11" s="99" t="s">
        <v>94</v>
      </c>
      <c r="F11" s="97"/>
      <c r="G11" s="5" t="s">
        <v>93</v>
      </c>
    </row>
    <row r="12" spans="2:9" ht="25" customHeight="1">
      <c r="B12" s="4" t="s">
        <v>40</v>
      </c>
      <c r="C12" s="241" t="s">
        <v>56</v>
      </c>
      <c r="D12" s="231"/>
      <c r="E12" s="99" t="s">
        <v>86</v>
      </c>
      <c r="F12" s="97"/>
      <c r="G12" s="5" t="s">
        <v>86</v>
      </c>
    </row>
    <row r="13" spans="2:9" ht="25" customHeight="1">
      <c r="B13" s="4" t="s">
        <v>34</v>
      </c>
      <c r="C13" s="242" t="s">
        <v>284</v>
      </c>
      <c r="D13" s="243"/>
      <c r="E13" s="100"/>
      <c r="F13" s="102"/>
      <c r="G13" s="89"/>
    </row>
    <row r="14" spans="2:9" ht="25" customHeight="1">
      <c r="B14" s="7" t="s">
        <v>35</v>
      </c>
      <c r="C14" s="244"/>
      <c r="D14" s="245"/>
      <c r="E14" s="101"/>
      <c r="F14" s="103"/>
      <c r="G14" s="90"/>
    </row>
    <row r="15" spans="2:9" ht="25" customHeight="1">
      <c r="C15" s="234" t="s">
        <v>267</v>
      </c>
      <c r="D15" s="234"/>
      <c r="E15" s="234"/>
      <c r="F15" s="234"/>
      <c r="G15" s="234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J23"/>
  <sheetViews>
    <sheetView workbookViewId="0">
      <selection activeCell="E12" sqref="E12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16384" width="9" style="1"/>
  </cols>
  <sheetData>
    <row r="2" spans="2:5" ht="30" customHeight="1">
      <c r="B2" s="191" t="s">
        <v>166</v>
      </c>
      <c r="C2" s="191"/>
      <c r="D2" s="191"/>
      <c r="E2" s="191"/>
    </row>
    <row r="3" spans="2:5" ht="15" customHeight="1">
      <c r="B3" s="212"/>
      <c r="C3" s="212"/>
      <c r="D3" s="212"/>
      <c r="E3" s="212"/>
    </row>
    <row r="4" spans="2:5" ht="25" customHeight="1">
      <c r="B4" s="246" t="s">
        <v>109</v>
      </c>
      <c r="C4" s="34" t="s">
        <v>108</v>
      </c>
      <c r="D4" s="34" t="s">
        <v>110</v>
      </c>
      <c r="E4" s="247" t="s">
        <v>111</v>
      </c>
    </row>
    <row r="5" spans="2:5" ht="25" customHeight="1">
      <c r="B5" s="208"/>
      <c r="C5" s="53" t="s">
        <v>107</v>
      </c>
      <c r="D5" s="53" t="s">
        <v>12</v>
      </c>
      <c r="E5" s="248"/>
    </row>
    <row r="6" spans="2:5" ht="25" customHeight="1">
      <c r="B6" s="40" t="s">
        <v>105</v>
      </c>
      <c r="C6" s="53" t="s">
        <v>268</v>
      </c>
      <c r="D6" s="124" t="s">
        <v>269</v>
      </c>
      <c r="E6" s="54">
        <v>301</v>
      </c>
    </row>
    <row r="7" spans="2:5" ht="25" customHeight="1">
      <c r="B7" s="55" t="s">
        <v>106</v>
      </c>
      <c r="C7" s="56"/>
      <c r="D7" s="56"/>
      <c r="E7" s="57">
        <v>301</v>
      </c>
    </row>
    <row r="8" spans="2:5" ht="15" customHeight="1">
      <c r="B8" s="249"/>
      <c r="C8" s="250"/>
      <c r="D8" s="250"/>
      <c r="E8" s="251"/>
    </row>
    <row r="9" spans="2:5" ht="25" customHeight="1">
      <c r="B9" s="246" t="s">
        <v>101</v>
      </c>
      <c r="C9" s="34" t="s">
        <v>21</v>
      </c>
      <c r="D9" s="34" t="s">
        <v>94</v>
      </c>
      <c r="E9" s="52" t="s">
        <v>93</v>
      </c>
    </row>
    <row r="10" spans="2:5" ht="25" customHeight="1">
      <c r="B10" s="208"/>
      <c r="C10" s="53" t="s">
        <v>56</v>
      </c>
      <c r="D10" s="53" t="s">
        <v>86</v>
      </c>
      <c r="E10" s="54" t="s">
        <v>86</v>
      </c>
    </row>
    <row r="11" spans="2:5" ht="25" customHeight="1">
      <c r="B11" s="40" t="s">
        <v>102</v>
      </c>
      <c r="C11" s="91" t="s">
        <v>270</v>
      </c>
      <c r="D11" s="91" t="s">
        <v>272</v>
      </c>
      <c r="E11" s="92" t="s">
        <v>274</v>
      </c>
    </row>
    <row r="12" spans="2:5" ht="25" customHeight="1">
      <c r="B12" s="40" t="s">
        <v>103</v>
      </c>
      <c r="C12" s="124" t="s">
        <v>271</v>
      </c>
      <c r="D12" s="124" t="s">
        <v>273</v>
      </c>
      <c r="E12" s="92" t="s">
        <v>275</v>
      </c>
    </row>
    <row r="13" spans="2:5" ht="25" customHeight="1">
      <c r="B13" s="55" t="s">
        <v>104</v>
      </c>
      <c r="C13" s="56" t="e">
        <f>C11-C12</f>
        <v>#VALUE!</v>
      </c>
      <c r="D13" s="126" t="e">
        <f>D11-D12</f>
        <v>#VALUE!</v>
      </c>
      <c r="E13" s="57" t="e">
        <f t="shared" ref="E13" si="0">E11-E12</f>
        <v>#VALUE!</v>
      </c>
    </row>
    <row r="17" spans="6:10">
      <c r="F17" s="125"/>
      <c r="G17" s="125"/>
      <c r="H17" s="125"/>
      <c r="I17" s="125"/>
      <c r="J17" s="125"/>
    </row>
    <row r="18" spans="6:10" ht="14.1" customHeight="1">
      <c r="F18" s="125"/>
      <c r="G18" s="125"/>
      <c r="H18" s="125"/>
      <c r="I18" s="125"/>
      <c r="J18" s="125"/>
    </row>
    <row r="19" spans="6:10">
      <c r="F19" s="125"/>
      <c r="G19" s="125"/>
      <c r="H19" s="125"/>
      <c r="I19" s="125"/>
      <c r="J19" s="125"/>
    </row>
    <row r="20" spans="6:10">
      <c r="F20" s="125"/>
      <c r="G20" s="125"/>
      <c r="H20" s="125"/>
      <c r="I20" s="125"/>
      <c r="J20" s="125"/>
    </row>
    <row r="21" spans="6:10">
      <c r="F21" s="125"/>
      <c r="G21" s="125"/>
      <c r="H21" s="125"/>
      <c r="I21" s="125"/>
      <c r="J21" s="125"/>
    </row>
    <row r="22" spans="6:10">
      <c r="F22" s="125"/>
      <c r="G22" s="125"/>
      <c r="H22" s="125"/>
      <c r="I22" s="125"/>
      <c r="J22" s="125"/>
    </row>
    <row r="23" spans="6:10">
      <c r="F23" s="125"/>
      <c r="G23" s="125"/>
      <c r="H23" s="125"/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sheetPr>
    <tabColor rgb="FF00B050"/>
  </sheetPr>
  <dimension ref="B2:F11"/>
  <sheetViews>
    <sheetView workbookViewId="0">
      <selection activeCell="F13" sqref="F13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191" t="s">
        <v>167</v>
      </c>
      <c r="C2" s="191"/>
      <c r="D2" s="191"/>
      <c r="E2" s="191"/>
    </row>
    <row r="3" spans="2:6" ht="15" customHeight="1">
      <c r="B3" s="252"/>
      <c r="C3" s="252"/>
      <c r="D3" s="252"/>
      <c r="E3" s="252"/>
    </row>
    <row r="4" spans="2:6" s="1" customFormat="1" ht="25" customHeight="1">
      <c r="B4" s="3" t="s">
        <v>98</v>
      </c>
      <c r="C4" s="253"/>
      <c r="D4" s="254"/>
      <c r="E4" s="255"/>
      <c r="F4" s="127" t="s">
        <v>56</v>
      </c>
    </row>
    <row r="5" spans="2:6" s="1" customFormat="1" ht="25" customHeight="1">
      <c r="B5" s="37" t="s">
        <v>99</v>
      </c>
      <c r="C5" s="256" t="s">
        <v>277</v>
      </c>
      <c r="D5" s="257"/>
      <c r="E5" s="258"/>
      <c r="F5" s="66" t="s">
        <v>100</v>
      </c>
    </row>
    <row r="6" spans="2:6" s="45" customFormat="1" ht="40.200000000000003" customHeight="1">
      <c r="B6" s="170" t="s">
        <v>276</v>
      </c>
      <c r="C6" s="171" t="s">
        <v>22</v>
      </c>
      <c r="D6" s="171" t="s">
        <v>96</v>
      </c>
      <c r="E6" s="171" t="s">
        <v>95</v>
      </c>
      <c r="F6" s="182" t="s">
        <v>97</v>
      </c>
    </row>
    <row r="7" spans="2:6" ht="40.200000000000003" customHeight="1">
      <c r="B7" s="94" t="s">
        <v>33</v>
      </c>
      <c r="C7" s="172">
        <v>1</v>
      </c>
      <c r="D7" s="172"/>
      <c r="E7" s="172">
        <v>1</v>
      </c>
      <c r="F7" s="183"/>
    </row>
    <row r="8" spans="2:6" ht="40.200000000000003" customHeight="1">
      <c r="B8" s="173" t="s">
        <v>34</v>
      </c>
      <c r="C8" s="172">
        <v>1</v>
      </c>
      <c r="D8" s="172"/>
      <c r="E8" s="172">
        <v>2</v>
      </c>
      <c r="F8" s="183"/>
    </row>
    <row r="9" spans="2:6" ht="40.200000000000003" customHeight="1">
      <c r="B9" s="173" t="s">
        <v>35</v>
      </c>
      <c r="C9" s="172"/>
      <c r="D9" s="172">
        <v>1</v>
      </c>
      <c r="E9" s="172"/>
      <c r="F9" s="183"/>
    </row>
    <row r="10" spans="2:6">
      <c r="B10" s="174" t="s">
        <v>278</v>
      </c>
      <c r="C10" s="259" t="s">
        <v>287</v>
      </c>
      <c r="D10" s="259"/>
      <c r="E10" s="259"/>
      <c r="F10" s="259"/>
    </row>
    <row r="11" spans="2:6">
      <c r="F11" t="s">
        <v>293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sheetPr>
    <tabColor rgb="FFFFFF00"/>
  </sheetPr>
  <dimension ref="B2:X23"/>
  <sheetViews>
    <sheetView zoomScale="85" zoomScaleNormal="85" workbookViewId="0">
      <selection activeCell="M15" sqref="M15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24" ht="30" customHeight="1">
      <c r="B2" s="191" t="s">
        <v>168</v>
      </c>
      <c r="C2" s="191"/>
      <c r="D2" s="191"/>
      <c r="E2" s="191"/>
      <c r="F2" s="191"/>
      <c r="G2" s="191"/>
      <c r="H2" s="191"/>
      <c r="I2" s="191"/>
      <c r="J2" s="191"/>
    </row>
    <row r="3" spans="2:24" ht="25" customHeight="1">
      <c r="B3" s="283" t="s">
        <v>116</v>
      </c>
      <c r="C3" s="283"/>
      <c r="D3" s="283"/>
      <c r="E3" s="283"/>
      <c r="F3" s="283"/>
      <c r="G3" s="283"/>
      <c r="H3" s="283"/>
      <c r="I3" s="283"/>
      <c r="J3" s="283"/>
    </row>
    <row r="4" spans="2:24" ht="15" customHeight="1"/>
    <row r="5" spans="2:24" ht="30" customHeight="1">
      <c r="B5" s="281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" customHeight="1">
      <c r="B6" s="282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" customHeight="1">
      <c r="B8" s="4" t="s">
        <v>33</v>
      </c>
      <c r="C8" s="5"/>
      <c r="D8" s="5"/>
      <c r="E8" s="5"/>
      <c r="F8" s="5"/>
      <c r="G8" s="5"/>
      <c r="H8" s="5"/>
      <c r="I8" s="53"/>
      <c r="J8" s="54"/>
    </row>
    <row r="9" spans="2:24" s="1" customFormat="1" ht="25" customHeight="1">
      <c r="B9" s="16" t="s">
        <v>105</v>
      </c>
      <c r="C9" s="17"/>
      <c r="D9" s="17"/>
      <c r="E9" s="17"/>
      <c r="F9" s="17"/>
      <c r="G9" s="17"/>
      <c r="H9" s="17"/>
      <c r="I9" s="69"/>
      <c r="J9" s="70"/>
    </row>
    <row r="10" spans="2:24" s="1" customFormat="1" ht="25" customHeight="1" thickBot="1">
      <c r="B10" s="7" t="s">
        <v>106</v>
      </c>
      <c r="C10" s="8"/>
      <c r="D10" s="8"/>
      <c r="E10" s="8"/>
      <c r="F10" s="8"/>
      <c r="G10" s="8"/>
      <c r="H10" s="8"/>
      <c r="I10" s="56"/>
      <c r="J10" s="57"/>
    </row>
    <row r="11" spans="2:24" s="1" customFormat="1" ht="25" customHeight="1" thickBot="1">
      <c r="B11" s="2"/>
      <c r="C11" s="2"/>
      <c r="D11" s="2"/>
      <c r="E11" s="2"/>
      <c r="F11" s="2"/>
      <c r="G11" s="2"/>
      <c r="H11" s="2"/>
    </row>
    <row r="12" spans="2:24" s="1" customFormat="1" ht="25" customHeight="1">
      <c r="B12" s="284">
        <v>2025</v>
      </c>
      <c r="C12" s="285"/>
      <c r="D12" s="128"/>
      <c r="E12" s="286" t="s">
        <v>210</v>
      </c>
      <c r="F12" s="286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7"/>
    </row>
    <row r="13" spans="2:24" s="1" customFormat="1" ht="25" customHeight="1">
      <c r="B13" s="277" t="s">
        <v>117</v>
      </c>
      <c r="C13" s="279" t="s">
        <v>135</v>
      </c>
      <c r="D13" s="279" t="s">
        <v>211</v>
      </c>
      <c r="E13" s="267" t="s">
        <v>131</v>
      </c>
      <c r="F13" s="268"/>
      <c r="G13" s="265" t="s">
        <v>212</v>
      </c>
      <c r="H13" s="266"/>
      <c r="I13" s="275" t="s">
        <v>213</v>
      </c>
      <c r="J13" s="276"/>
      <c r="K13" s="265" t="s">
        <v>214</v>
      </c>
      <c r="L13" s="266"/>
      <c r="M13" s="267" t="s">
        <v>215</v>
      </c>
      <c r="N13" s="268"/>
      <c r="O13" s="265" t="s">
        <v>216</v>
      </c>
      <c r="P13" s="266"/>
      <c r="Q13" s="267" t="s">
        <v>217</v>
      </c>
      <c r="R13" s="268"/>
      <c r="S13" s="265" t="s">
        <v>218</v>
      </c>
      <c r="T13" s="266"/>
      <c r="U13" s="267" t="s">
        <v>219</v>
      </c>
      <c r="V13" s="268"/>
      <c r="W13" s="266" t="s">
        <v>220</v>
      </c>
      <c r="X13" s="269"/>
    </row>
    <row r="14" spans="2:24" ht="25" customHeight="1">
      <c r="B14" s="278"/>
      <c r="C14" s="280"/>
      <c r="D14" s="280"/>
      <c r="E14" s="129" t="s">
        <v>221</v>
      </c>
      <c r="F14" s="129" t="s">
        <v>40</v>
      </c>
      <c r="G14" s="117" t="s">
        <v>221</v>
      </c>
      <c r="H14" s="117" t="s">
        <v>40</v>
      </c>
      <c r="I14" s="129" t="s">
        <v>221</v>
      </c>
      <c r="J14" s="129" t="s">
        <v>40</v>
      </c>
      <c r="K14" s="117" t="s">
        <v>222</v>
      </c>
      <c r="L14" s="117" t="s">
        <v>223</v>
      </c>
      <c r="M14" s="129" t="s">
        <v>222</v>
      </c>
      <c r="N14" s="129" t="s">
        <v>223</v>
      </c>
      <c r="O14" s="117" t="s">
        <v>222</v>
      </c>
      <c r="P14" s="117" t="s">
        <v>223</v>
      </c>
      <c r="Q14" s="129" t="s">
        <v>222</v>
      </c>
      <c r="R14" s="129" t="s">
        <v>223</v>
      </c>
      <c r="S14" s="117" t="s">
        <v>222</v>
      </c>
      <c r="T14" s="117" t="s">
        <v>223</v>
      </c>
      <c r="U14" s="129" t="s">
        <v>224</v>
      </c>
      <c r="V14" s="129" t="s">
        <v>40</v>
      </c>
      <c r="W14" s="117" t="s">
        <v>225</v>
      </c>
      <c r="X14" s="130" t="s">
        <v>223</v>
      </c>
    </row>
    <row r="15" spans="2:24">
      <c r="B15" s="270">
        <v>1201</v>
      </c>
      <c r="C15" s="221" t="s">
        <v>226</v>
      </c>
      <c r="D15" s="120" t="s">
        <v>12</v>
      </c>
      <c r="E15" s="131"/>
      <c r="F15" s="131" t="s">
        <v>113</v>
      </c>
      <c r="G15" s="132"/>
      <c r="H15" s="132" t="s">
        <v>113</v>
      </c>
      <c r="I15" s="131"/>
      <c r="J15" s="131" t="s">
        <v>100</v>
      </c>
      <c r="K15" s="133"/>
      <c r="L15" s="132" t="s">
        <v>113</v>
      </c>
      <c r="M15" s="131"/>
      <c r="N15" s="131" t="s">
        <v>113</v>
      </c>
      <c r="O15" s="132"/>
      <c r="P15" s="132" t="s">
        <v>113</v>
      </c>
      <c r="Q15" s="133"/>
      <c r="R15" s="131" t="s">
        <v>113</v>
      </c>
      <c r="S15" s="133"/>
      <c r="T15" s="132" t="s">
        <v>227</v>
      </c>
      <c r="U15" s="131"/>
      <c r="V15" s="131" t="s">
        <v>100</v>
      </c>
      <c r="W15" s="132">
        <v>1</v>
      </c>
      <c r="X15" s="134" t="s">
        <v>100</v>
      </c>
    </row>
    <row r="16" spans="2:24">
      <c r="B16" s="271"/>
      <c r="C16" s="273"/>
      <c r="D16" s="135" t="s">
        <v>228</v>
      </c>
      <c r="E16" s="136"/>
      <c r="F16" s="136" t="s">
        <v>113</v>
      </c>
      <c r="G16" s="64"/>
      <c r="H16" s="64" t="s">
        <v>113</v>
      </c>
      <c r="I16" s="136"/>
      <c r="J16" s="136" t="s">
        <v>113</v>
      </c>
      <c r="K16" s="64"/>
      <c r="L16" s="64" t="s">
        <v>113</v>
      </c>
      <c r="M16" s="136"/>
      <c r="N16" s="136" t="s">
        <v>113</v>
      </c>
      <c r="O16" s="64"/>
      <c r="P16" s="64" t="s">
        <v>113</v>
      </c>
      <c r="Q16" s="136"/>
      <c r="R16" s="136" t="s">
        <v>113</v>
      </c>
      <c r="S16" s="64"/>
      <c r="T16" s="64" t="s">
        <v>113</v>
      </c>
      <c r="U16" s="136"/>
      <c r="V16" s="136" t="s">
        <v>113</v>
      </c>
      <c r="W16" s="64"/>
      <c r="X16" s="137" t="s">
        <v>229</v>
      </c>
    </row>
    <row r="17" spans="2:24">
      <c r="B17" s="271"/>
      <c r="C17" s="273"/>
      <c r="D17" s="138" t="s">
        <v>230</v>
      </c>
      <c r="E17" s="136" t="e">
        <f>E15/E16</f>
        <v>#DIV/0!</v>
      </c>
      <c r="F17" s="136" t="s">
        <v>114</v>
      </c>
      <c r="G17" s="64" t="e">
        <f>G15/G16</f>
        <v>#DIV/0!</v>
      </c>
      <c r="H17" s="64" t="s">
        <v>114</v>
      </c>
      <c r="I17" s="136" t="e">
        <f>I15/I16</f>
        <v>#DIV/0!</v>
      </c>
      <c r="J17" s="136" t="s">
        <v>115</v>
      </c>
      <c r="K17" s="64" t="e">
        <f>K15/K16</f>
        <v>#DIV/0!</v>
      </c>
      <c r="L17" s="64" t="s">
        <v>114</v>
      </c>
      <c r="M17" s="136" t="e">
        <f>M15/M16</f>
        <v>#DIV/0!</v>
      </c>
      <c r="N17" s="136" t="s">
        <v>114</v>
      </c>
      <c r="O17" s="64" t="e">
        <f>O15/O16</f>
        <v>#DIV/0!</v>
      </c>
      <c r="P17" s="64" t="s">
        <v>114</v>
      </c>
      <c r="Q17" s="136" t="e">
        <f>Q15/Q16</f>
        <v>#DIV/0!</v>
      </c>
      <c r="R17" s="136" t="s">
        <v>114</v>
      </c>
      <c r="S17" s="64" t="e">
        <f>S15/S16</f>
        <v>#DIV/0!</v>
      </c>
      <c r="T17" s="64" t="s">
        <v>231</v>
      </c>
      <c r="U17" s="136" t="e">
        <f>U15/U16</f>
        <v>#DIV/0!</v>
      </c>
      <c r="V17" s="136" t="s">
        <v>232</v>
      </c>
      <c r="W17" s="64" t="e">
        <f>W15/W16</f>
        <v>#DIV/0!</v>
      </c>
      <c r="X17" s="137" t="s">
        <v>115</v>
      </c>
    </row>
    <row r="18" spans="2:24">
      <c r="B18" s="271"/>
      <c r="C18" s="273" t="s">
        <v>233</v>
      </c>
      <c r="D18" s="135" t="s">
        <v>12</v>
      </c>
      <c r="E18" s="136"/>
      <c r="F18" s="136" t="s">
        <v>113</v>
      </c>
      <c r="G18" s="64"/>
      <c r="H18" s="64" t="s">
        <v>113</v>
      </c>
      <c r="I18" s="136"/>
      <c r="J18" s="136" t="s">
        <v>100</v>
      </c>
      <c r="K18" s="139"/>
      <c r="L18" s="64" t="s">
        <v>113</v>
      </c>
      <c r="M18" s="136"/>
      <c r="N18" s="136" t="s">
        <v>113</v>
      </c>
      <c r="O18" s="64"/>
      <c r="P18" s="64" t="s">
        <v>113</v>
      </c>
      <c r="Q18" s="139"/>
      <c r="R18" s="136" t="s">
        <v>113</v>
      </c>
      <c r="S18" s="139"/>
      <c r="T18" s="64" t="s">
        <v>227</v>
      </c>
      <c r="U18" s="136"/>
      <c r="V18" s="136" t="s">
        <v>100</v>
      </c>
      <c r="W18" s="64"/>
      <c r="X18" s="137" t="s">
        <v>100</v>
      </c>
    </row>
    <row r="19" spans="2:24">
      <c r="B19" s="271"/>
      <c r="C19" s="273"/>
      <c r="D19" s="135" t="s">
        <v>228</v>
      </c>
      <c r="E19" s="136"/>
      <c r="F19" s="136" t="s">
        <v>113</v>
      </c>
      <c r="G19" s="64"/>
      <c r="H19" s="64" t="s">
        <v>113</v>
      </c>
      <c r="I19" s="136"/>
      <c r="J19" s="136" t="s">
        <v>113</v>
      </c>
      <c r="K19" s="64"/>
      <c r="L19" s="64" t="s">
        <v>113</v>
      </c>
      <c r="M19" s="136"/>
      <c r="N19" s="136" t="s">
        <v>113</v>
      </c>
      <c r="O19" s="64"/>
      <c r="P19" s="64" t="s">
        <v>113</v>
      </c>
      <c r="Q19" s="136"/>
      <c r="R19" s="136" t="s">
        <v>113</v>
      </c>
      <c r="S19" s="64"/>
      <c r="T19" s="64" t="s">
        <v>113</v>
      </c>
      <c r="U19" s="136"/>
      <c r="V19" s="136" t="s">
        <v>113</v>
      </c>
      <c r="W19" s="64"/>
      <c r="X19" s="137" t="s">
        <v>229</v>
      </c>
    </row>
    <row r="20" spans="2:24">
      <c r="B20" s="272"/>
      <c r="C20" s="274"/>
      <c r="D20" s="140" t="s">
        <v>230</v>
      </c>
      <c r="E20" s="141" t="e">
        <f>E18/E19</f>
        <v>#DIV/0!</v>
      </c>
      <c r="F20" s="141" t="s">
        <v>114</v>
      </c>
      <c r="G20" s="65" t="e">
        <f>G18/G19</f>
        <v>#DIV/0!</v>
      </c>
      <c r="H20" s="65" t="s">
        <v>114</v>
      </c>
      <c r="I20" s="141" t="e">
        <f>I18/I19</f>
        <v>#DIV/0!</v>
      </c>
      <c r="J20" s="141" t="s">
        <v>115</v>
      </c>
      <c r="K20" s="65" t="e">
        <f>K18/K19</f>
        <v>#DIV/0!</v>
      </c>
      <c r="L20" s="65" t="s">
        <v>114</v>
      </c>
      <c r="M20" s="141" t="e">
        <f>M18/M19</f>
        <v>#DIV/0!</v>
      </c>
      <c r="N20" s="141" t="s">
        <v>114</v>
      </c>
      <c r="O20" s="65" t="e">
        <f>O18/O19</f>
        <v>#DIV/0!</v>
      </c>
      <c r="P20" s="65" t="s">
        <v>114</v>
      </c>
      <c r="Q20" s="141" t="e">
        <f>Q18/Q19</f>
        <v>#DIV/0!</v>
      </c>
      <c r="R20" s="141" t="s">
        <v>114</v>
      </c>
      <c r="S20" s="65" t="e">
        <f>S18/S19</f>
        <v>#DIV/0!</v>
      </c>
      <c r="T20" s="65" t="s">
        <v>231</v>
      </c>
      <c r="U20" s="141" t="e">
        <f>U18/U19</f>
        <v>#DIV/0!</v>
      </c>
      <c r="V20" s="141" t="s">
        <v>115</v>
      </c>
      <c r="W20" s="65" t="e">
        <f>W18/W19</f>
        <v>#DIV/0!</v>
      </c>
      <c r="X20" s="142" t="s">
        <v>115</v>
      </c>
    </row>
    <row r="21" spans="2:24">
      <c r="B21" s="260" t="s">
        <v>234</v>
      </c>
      <c r="C21" s="261"/>
      <c r="D21" s="261"/>
      <c r="E21" s="143"/>
      <c r="F21" s="144" t="s">
        <v>229</v>
      </c>
      <c r="G21" s="145">
        <f>G15+G18</f>
        <v>0</v>
      </c>
      <c r="H21" s="104" t="s">
        <v>229</v>
      </c>
      <c r="I21" s="143">
        <f>I15+I18</f>
        <v>0</v>
      </c>
      <c r="J21" s="144" t="s">
        <v>235</v>
      </c>
      <c r="K21" s="145">
        <f>K15+K18</f>
        <v>0</v>
      </c>
      <c r="L21" s="104" t="s">
        <v>229</v>
      </c>
      <c r="M21" s="143">
        <f>M15+M18</f>
        <v>0</v>
      </c>
      <c r="N21" s="144" t="s">
        <v>229</v>
      </c>
      <c r="O21" s="145">
        <f>O15+O18</f>
        <v>0</v>
      </c>
      <c r="P21" s="104" t="s">
        <v>229</v>
      </c>
      <c r="Q21" s="143">
        <f>Q15+Q18</f>
        <v>0</v>
      </c>
      <c r="R21" s="144" t="s">
        <v>229</v>
      </c>
      <c r="S21" s="145">
        <f>S15+S18</f>
        <v>0</v>
      </c>
      <c r="T21" s="104" t="s">
        <v>236</v>
      </c>
      <c r="U21" s="143">
        <f>U15+U18</f>
        <v>0</v>
      </c>
      <c r="V21" s="144" t="s">
        <v>235</v>
      </c>
      <c r="W21" s="145">
        <f>W15+W18</f>
        <v>1</v>
      </c>
      <c r="X21" s="146" t="s">
        <v>235</v>
      </c>
    </row>
    <row r="22" spans="2:24">
      <c r="B22" s="262" t="s">
        <v>237</v>
      </c>
      <c r="C22" s="231"/>
      <c r="D22" s="231"/>
      <c r="E22" s="147"/>
      <c r="F22" s="91" t="s">
        <v>229</v>
      </c>
      <c r="G22" s="148">
        <f>G16+G19</f>
        <v>0</v>
      </c>
      <c r="H22" s="98" t="s">
        <v>229</v>
      </c>
      <c r="I22" s="147">
        <f>I16+I19</f>
        <v>0</v>
      </c>
      <c r="J22" s="91" t="s">
        <v>229</v>
      </c>
      <c r="K22" s="148">
        <f>K16+K19</f>
        <v>0</v>
      </c>
      <c r="L22" s="98" t="s">
        <v>229</v>
      </c>
      <c r="M22" s="147">
        <f>M16+M19</f>
        <v>0</v>
      </c>
      <c r="N22" s="91" t="s">
        <v>229</v>
      </c>
      <c r="O22" s="148">
        <f>O16+O19</f>
        <v>0</v>
      </c>
      <c r="P22" s="98" t="s">
        <v>229</v>
      </c>
      <c r="Q22" s="147">
        <f>Q16+Q19</f>
        <v>0</v>
      </c>
      <c r="R22" s="91" t="s">
        <v>229</v>
      </c>
      <c r="S22" s="148">
        <f>S16+S19</f>
        <v>0</v>
      </c>
      <c r="T22" s="98" t="s">
        <v>229</v>
      </c>
      <c r="U22" s="147">
        <f>U16+U19</f>
        <v>0</v>
      </c>
      <c r="V22" s="91" t="s">
        <v>229</v>
      </c>
      <c r="W22" s="148">
        <f>W16+W19</f>
        <v>0</v>
      </c>
      <c r="X22" s="149" t="s">
        <v>229</v>
      </c>
    </row>
    <row r="23" spans="2:24" ht="14.4" thickBot="1">
      <c r="B23" s="263" t="s">
        <v>238</v>
      </c>
      <c r="C23" s="264"/>
      <c r="D23" s="264"/>
      <c r="E23" s="150" t="e">
        <f>E21/E22</f>
        <v>#DIV/0!</v>
      </c>
      <c r="F23" s="150" t="s">
        <v>239</v>
      </c>
      <c r="G23" s="151" t="e">
        <f>G21/G22</f>
        <v>#DIV/0!</v>
      </c>
      <c r="H23" s="151" t="s">
        <v>239</v>
      </c>
      <c r="I23" s="150" t="e">
        <f>I21/I22</f>
        <v>#DIV/0!</v>
      </c>
      <c r="J23" s="150" t="s">
        <v>232</v>
      </c>
      <c r="K23" s="151" t="e">
        <f>K21/K22</f>
        <v>#DIV/0!</v>
      </c>
      <c r="L23" s="151" t="s">
        <v>239</v>
      </c>
      <c r="M23" s="150" t="e">
        <f>M21/M22</f>
        <v>#DIV/0!</v>
      </c>
      <c r="N23" s="150" t="s">
        <v>239</v>
      </c>
      <c r="O23" s="151" t="e">
        <f>O21/O22</f>
        <v>#DIV/0!</v>
      </c>
      <c r="P23" s="151" t="s">
        <v>239</v>
      </c>
      <c r="Q23" s="150" t="e">
        <f>Q21/Q22</f>
        <v>#DIV/0!</v>
      </c>
      <c r="R23" s="150" t="s">
        <v>239</v>
      </c>
      <c r="S23" s="151" t="e">
        <f>S21/S22</f>
        <v>#DIV/0!</v>
      </c>
      <c r="T23" s="151" t="s">
        <v>240</v>
      </c>
      <c r="U23" s="150" t="e">
        <f>U21/U22</f>
        <v>#DIV/0!</v>
      </c>
      <c r="V23" s="150" t="s">
        <v>232</v>
      </c>
      <c r="W23" s="151" t="e">
        <f>W21/W22</f>
        <v>#DIV/0!</v>
      </c>
      <c r="X23" s="152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sheetPr>
    <tabColor rgb="FF00B050"/>
  </sheetPr>
  <dimension ref="B2:L30"/>
  <sheetViews>
    <sheetView tabSelected="1" workbookViewId="0">
      <selection activeCell="G27" sqref="G27"/>
    </sheetView>
  </sheetViews>
  <sheetFormatPr defaultColWidth="9" defaultRowHeight="12.6"/>
  <cols>
    <col min="1" max="1" width="2.25" style="2" customWidth="1"/>
    <col min="2" max="2" width="10.94921875" style="2" customWidth="1"/>
    <col min="3" max="12" width="13.25" style="2" customWidth="1"/>
    <col min="13" max="16384" width="9" style="2"/>
  </cols>
  <sheetData>
    <row r="2" spans="2:12" ht="30" customHeight="1">
      <c r="B2" s="191" t="s">
        <v>169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</row>
    <row r="3" spans="2:12" ht="30" customHeight="1">
      <c r="B3" s="300" t="s">
        <v>145</v>
      </c>
      <c r="C3" s="300"/>
      <c r="D3" s="300"/>
      <c r="E3" s="300"/>
      <c r="F3" s="300"/>
      <c r="G3" s="300"/>
      <c r="H3" s="300"/>
      <c r="I3" s="300"/>
      <c r="J3" s="300"/>
      <c r="K3" s="300"/>
      <c r="L3" s="300"/>
    </row>
    <row r="4" spans="2:12" ht="10" customHeight="1">
      <c r="B4" s="298"/>
      <c r="C4" s="299"/>
      <c r="D4" s="299"/>
      <c r="E4" s="299"/>
      <c r="F4" s="299"/>
      <c r="G4" s="299"/>
      <c r="H4" s="299"/>
      <c r="I4" s="299"/>
      <c r="J4" s="299"/>
      <c r="K4" s="299"/>
      <c r="L4" s="299"/>
    </row>
    <row r="5" spans="2:12" ht="15.6" customHeight="1">
      <c r="B5" s="3" t="s">
        <v>117</v>
      </c>
      <c r="C5" s="297" t="s">
        <v>135</v>
      </c>
      <c r="D5" s="303" t="s">
        <v>158</v>
      </c>
      <c r="E5" s="303" t="s">
        <v>159</v>
      </c>
      <c r="F5" s="303" t="s">
        <v>160</v>
      </c>
      <c r="G5" s="303" t="s">
        <v>161</v>
      </c>
      <c r="H5" s="305" t="s">
        <v>162</v>
      </c>
      <c r="I5" s="292" t="s">
        <v>163</v>
      </c>
      <c r="J5" s="310" t="s">
        <v>133</v>
      </c>
      <c r="K5" s="310" t="s">
        <v>165</v>
      </c>
      <c r="L5" s="311" t="s">
        <v>62</v>
      </c>
    </row>
    <row r="6" spans="2:12" ht="15.6" customHeight="1">
      <c r="B6" s="295">
        <v>45992</v>
      </c>
      <c r="C6" s="241"/>
      <c r="D6" s="304"/>
      <c r="E6" s="304"/>
      <c r="F6" s="304"/>
      <c r="G6" s="304"/>
      <c r="H6" s="306"/>
      <c r="I6" s="261"/>
      <c r="J6" s="304"/>
      <c r="K6" s="304"/>
      <c r="L6" s="210"/>
    </row>
    <row r="7" spans="2:12">
      <c r="B7" s="289"/>
      <c r="C7" s="280"/>
      <c r="D7" s="186" t="s">
        <v>154</v>
      </c>
      <c r="E7" s="186" t="s">
        <v>155</v>
      </c>
      <c r="F7" s="186" t="s">
        <v>156</v>
      </c>
      <c r="G7" s="186" t="s">
        <v>157</v>
      </c>
      <c r="H7" s="293"/>
      <c r="I7" s="71" t="s">
        <v>164</v>
      </c>
      <c r="J7" s="186" t="s">
        <v>164</v>
      </c>
      <c r="K7" s="186" t="s">
        <v>56</v>
      </c>
      <c r="L7" s="312"/>
    </row>
    <row r="8" spans="2:12" ht="15.6" customHeight="1">
      <c r="B8" s="290" t="s">
        <v>136</v>
      </c>
      <c r="C8" s="72" t="s">
        <v>143</v>
      </c>
      <c r="D8" s="184"/>
      <c r="E8" s="184"/>
      <c r="F8" s="184"/>
      <c r="G8" s="184"/>
      <c r="H8" s="294" t="s">
        <v>285</v>
      </c>
      <c r="I8" s="185"/>
      <c r="J8" s="185"/>
      <c r="K8" s="185"/>
      <c r="L8" s="301"/>
    </row>
    <row r="9" spans="2:12" ht="15.6" customHeight="1">
      <c r="B9" s="291"/>
      <c r="C9" s="73" t="s">
        <v>144</v>
      </c>
      <c r="D9" s="73"/>
      <c r="E9" s="73"/>
      <c r="F9" s="73"/>
      <c r="G9" s="73"/>
      <c r="H9" s="315"/>
      <c r="I9" s="153"/>
      <c r="J9" s="153"/>
      <c r="K9" s="153"/>
      <c r="L9" s="302"/>
    </row>
    <row r="10" spans="2:12" ht="15.6" customHeight="1">
      <c r="B10" s="226" t="s">
        <v>137</v>
      </c>
      <c r="C10" s="35" t="s">
        <v>143</v>
      </c>
      <c r="D10" s="187"/>
      <c r="E10" s="187"/>
      <c r="F10" s="187"/>
      <c r="G10" s="187"/>
      <c r="H10" s="292"/>
      <c r="I10" s="185"/>
      <c r="J10" s="185"/>
      <c r="K10" s="185"/>
      <c r="L10" s="307"/>
    </row>
    <row r="11" spans="2:12" ht="15.6" customHeight="1">
      <c r="B11" s="296"/>
      <c r="C11" s="8" t="s">
        <v>144</v>
      </c>
      <c r="D11" s="8"/>
      <c r="E11" s="8"/>
      <c r="F11" s="8"/>
      <c r="G11" s="8"/>
      <c r="H11" s="316"/>
      <c r="I11" s="153"/>
      <c r="J11" s="153"/>
      <c r="K11" s="153"/>
      <c r="L11" s="313"/>
    </row>
    <row r="12" spans="2:12" ht="15.6" customHeight="1">
      <c r="B12" s="290" t="s">
        <v>138</v>
      </c>
      <c r="C12" s="72" t="s">
        <v>143</v>
      </c>
      <c r="D12" s="184"/>
      <c r="E12" s="184"/>
      <c r="F12" s="184"/>
      <c r="G12" s="184"/>
      <c r="H12" s="294"/>
      <c r="I12" s="185"/>
      <c r="J12" s="185"/>
      <c r="K12" s="185"/>
      <c r="L12" s="307"/>
    </row>
    <row r="13" spans="2:12" ht="15.6" customHeight="1">
      <c r="B13" s="291"/>
      <c r="C13" s="73" t="s">
        <v>144</v>
      </c>
      <c r="D13" s="73"/>
      <c r="E13" s="73"/>
      <c r="F13" s="73"/>
      <c r="G13" s="73"/>
      <c r="H13" s="315"/>
      <c r="I13" s="153"/>
      <c r="J13" s="153"/>
      <c r="K13" s="153"/>
      <c r="L13" s="313"/>
    </row>
    <row r="14" spans="2:12" ht="15.6" customHeight="1">
      <c r="B14" s="288" t="s">
        <v>139</v>
      </c>
      <c r="C14" s="11" t="s">
        <v>143</v>
      </c>
      <c r="D14" s="188"/>
      <c r="E14" s="188"/>
      <c r="F14" s="188"/>
      <c r="G14" s="188"/>
      <c r="H14" s="292"/>
      <c r="I14" s="154"/>
      <c r="J14" s="154"/>
      <c r="K14" s="154"/>
      <c r="L14" s="307"/>
    </row>
    <row r="15" spans="2:12" ht="15.6" customHeight="1">
      <c r="B15" s="289"/>
      <c r="C15" s="71" t="s">
        <v>144</v>
      </c>
      <c r="D15" s="71"/>
      <c r="E15" s="71"/>
      <c r="F15" s="71"/>
      <c r="G15" s="71"/>
      <c r="H15" s="316"/>
      <c r="I15" s="155"/>
      <c r="J15" s="155"/>
      <c r="K15" s="155"/>
      <c r="L15" s="308"/>
    </row>
    <row r="16" spans="2:12" ht="15.6" customHeight="1">
      <c r="B16" s="290" t="s">
        <v>140</v>
      </c>
      <c r="C16" s="72" t="s">
        <v>143</v>
      </c>
      <c r="D16" s="184"/>
      <c r="E16" s="184"/>
      <c r="F16" s="184"/>
      <c r="G16" s="184"/>
      <c r="H16" s="294"/>
      <c r="I16" s="185"/>
      <c r="J16" s="185"/>
      <c r="K16" s="185"/>
      <c r="L16" s="301"/>
    </row>
    <row r="17" spans="2:12" ht="15.6" customHeight="1">
      <c r="B17" s="291"/>
      <c r="C17" s="73" t="s">
        <v>144</v>
      </c>
      <c r="D17" s="73"/>
      <c r="E17" s="73"/>
      <c r="F17" s="73"/>
      <c r="G17" s="73"/>
      <c r="H17" s="315"/>
      <c r="I17" s="153"/>
      <c r="J17" s="153"/>
      <c r="K17" s="153"/>
      <c r="L17" s="302"/>
    </row>
    <row r="18" spans="2:12" ht="15.6" customHeight="1">
      <c r="B18" s="288" t="s">
        <v>141</v>
      </c>
      <c r="C18" s="11" t="s">
        <v>143</v>
      </c>
      <c r="D18" s="188"/>
      <c r="E18" s="188"/>
      <c r="F18" s="188"/>
      <c r="G18" s="188"/>
      <c r="H18" s="292"/>
      <c r="I18" s="154"/>
      <c r="J18" s="154"/>
      <c r="K18" s="154"/>
      <c r="L18" s="309"/>
    </row>
    <row r="19" spans="2:12" ht="15.6" customHeight="1">
      <c r="B19" s="289"/>
      <c r="C19" s="71" t="s">
        <v>144</v>
      </c>
      <c r="D19" s="71"/>
      <c r="E19" s="71"/>
      <c r="F19" s="71"/>
      <c r="G19" s="71"/>
      <c r="H19" s="316"/>
      <c r="I19" s="155"/>
      <c r="J19" s="155"/>
      <c r="K19" s="155"/>
      <c r="L19" s="308"/>
    </row>
    <row r="20" spans="2:12" ht="15.6" customHeight="1">
      <c r="B20" s="290" t="s">
        <v>142</v>
      </c>
      <c r="C20" s="72" t="s">
        <v>143</v>
      </c>
      <c r="D20" s="184"/>
      <c r="E20" s="184"/>
      <c r="F20" s="184"/>
      <c r="G20" s="184"/>
      <c r="H20" s="294"/>
      <c r="I20" s="185"/>
      <c r="J20" s="185"/>
      <c r="K20" s="185"/>
      <c r="L20" s="301"/>
    </row>
    <row r="21" spans="2:12" ht="15.6" customHeight="1">
      <c r="B21" s="291"/>
      <c r="C21" s="73" t="s">
        <v>144</v>
      </c>
      <c r="D21" s="73"/>
      <c r="E21" s="73"/>
      <c r="F21" s="73"/>
      <c r="G21" s="73"/>
      <c r="H21" s="315"/>
      <c r="I21" s="153"/>
      <c r="J21" s="153"/>
      <c r="K21" s="153"/>
      <c r="L21" s="302"/>
    </row>
    <row r="22" spans="2:12" ht="15.6" customHeight="1">
      <c r="I22" s="156"/>
      <c r="J22" s="156"/>
      <c r="K22" s="156"/>
      <c r="L22" s="156"/>
    </row>
    <row r="23" spans="2:12" ht="15.6" customHeight="1">
      <c r="I23" s="314" t="s">
        <v>286</v>
      </c>
      <c r="J23" s="314"/>
      <c r="K23" s="314"/>
    </row>
    <row r="24" spans="2:12" ht="15.6" customHeight="1">
      <c r="H24" s="156"/>
      <c r="I24" s="156"/>
      <c r="J24" s="156"/>
      <c r="K24" s="156"/>
    </row>
    <row r="25" spans="2:12" ht="15.6" customHeight="1"/>
    <row r="26" spans="2:12" ht="15.6" customHeight="1"/>
    <row r="27" spans="2:12" ht="15.6" customHeight="1"/>
    <row r="28" spans="2:12" ht="15.6" customHeight="1"/>
    <row r="29" spans="2:12" ht="15.6" customHeight="1"/>
    <row r="30" spans="2:12" ht="15.6" customHeight="1"/>
  </sheetData>
  <mergeCells count="36">
    <mergeCell ref="I23:K23"/>
    <mergeCell ref="H14:H15"/>
    <mergeCell ref="H16:H17"/>
    <mergeCell ref="H18:H19"/>
    <mergeCell ref="H20:H21"/>
    <mergeCell ref="H10:H11"/>
    <mergeCell ref="H12:H13"/>
    <mergeCell ref="L14:L15"/>
    <mergeCell ref="L16:L17"/>
    <mergeCell ref="L18:L19"/>
    <mergeCell ref="L20:L21"/>
    <mergeCell ref="I5:I6"/>
    <mergeCell ref="J5:J6"/>
    <mergeCell ref="K5:K6"/>
    <mergeCell ref="L5:L7"/>
    <mergeCell ref="L10:L11"/>
    <mergeCell ref="L12:L13"/>
    <mergeCell ref="B4:L4"/>
    <mergeCell ref="B3:L3"/>
    <mergeCell ref="B2:L2"/>
    <mergeCell ref="L8:L9"/>
    <mergeCell ref="C5:C7"/>
    <mergeCell ref="D5:D6"/>
    <mergeCell ref="H8:H9"/>
    <mergeCell ref="G5:G6"/>
    <mergeCell ref="H5:H7"/>
    <mergeCell ref="E5:E6"/>
    <mergeCell ref="F5:F6"/>
    <mergeCell ref="B20:B21"/>
    <mergeCell ref="B6:B7"/>
    <mergeCell ref="B8:B9"/>
    <mergeCell ref="B10:B11"/>
    <mergeCell ref="B12:B13"/>
    <mergeCell ref="B14:B15"/>
    <mergeCell ref="B16:B17"/>
    <mergeCell ref="B18:B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曹平</cp:lastModifiedBy>
  <dcterms:created xsi:type="dcterms:W3CDTF">2015-06-05T18:19:34Z</dcterms:created>
  <dcterms:modified xsi:type="dcterms:W3CDTF">2026-03-16T01:35:58Z</dcterms:modified>
</cp:coreProperties>
</file>