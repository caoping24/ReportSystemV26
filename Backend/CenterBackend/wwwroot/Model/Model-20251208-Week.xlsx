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416897A1-8D17-4F6D-A9CC-FAAFBB05A903}" xr6:coauthVersionLast="47" xr6:coauthVersionMax="47" xr10:uidLastSave="{00000000-0000-0000-0000-000000000000}"/>
  <bookViews>
    <workbookView xWindow="-120" yWindow="-16320" windowWidth="29040" windowHeight="15720" tabRatio="96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</sheets>
  <definedNames>
    <definedName name="_xlnm.Print_Area" localSheetId="2">第三页反应液分析数据!$A$2:$H$11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0" i="15" l="1"/>
  <c r="M18" i="15"/>
  <c r="M17" i="15"/>
  <c r="M15" i="15"/>
  <c r="M14" i="15"/>
  <c r="M13" i="15"/>
  <c r="M12" i="15"/>
  <c r="M10" i="15"/>
  <c r="M9" i="15"/>
  <c r="E8" i="7"/>
  <c r="E7" i="7"/>
  <c r="E10" i="5"/>
  <c r="F10" i="5"/>
  <c r="G10" i="5"/>
  <c r="D10" i="5"/>
  <c r="C10" i="5"/>
  <c r="D13" i="16"/>
  <c r="E13" i="16"/>
  <c r="C13" i="16"/>
  <c r="M8" i="15"/>
  <c r="I8" i="6"/>
  <c r="J8" i="6" s="1"/>
  <c r="I9" i="6"/>
  <c r="J9" i="6" s="1"/>
  <c r="I7" i="6"/>
  <c r="J7" i="6" s="1"/>
  <c r="E8" i="6"/>
  <c r="F8" i="6" s="1"/>
  <c r="E9" i="6"/>
  <c r="F9" i="6"/>
  <c r="E7" i="6"/>
  <c r="F7" i="6" s="1"/>
  <c r="H32" i="1"/>
  <c r="H27" i="1"/>
  <c r="H28" i="1"/>
  <c r="H29" i="1"/>
  <c r="H30" i="1"/>
  <c r="H31" i="1"/>
  <c r="H26" i="1"/>
  <c r="H5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E6" i="7" l="1"/>
  <c r="E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C5143930-0959-48CD-A439-CE568475E18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E7498B5B-140A-490D-884F-DCAD64BCCEB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E7" authorId="0" shapeId="0" xr:uid="{CE25995F-A920-4041-BDFF-3EB0DE53811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E8" authorId="0" shapeId="0" xr:uid="{DF43023B-A2CF-40D7-8DD5-EC5CCFD4E94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 shapeId="0" xr:uid="{6B3A70DD-A803-4B9C-B52B-175DFB0DBA1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4D102EFE-5C29-4BEC-B961-A835CAEACC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<sst xmlns="http://schemas.openxmlformats.org/spreadsheetml/2006/main" count="373" uniqueCount="208">
  <si>
    <t>设计参数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</si>
  <si>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</si>
  <si>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</si>
  <si>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</si>
  <si>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</si>
  <si>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</si>
  <si>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</si>
  <si>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</si>
  <si>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</si>
  <si>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</si>
  <si>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</si>
  <si>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</si>
  <si>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</si>
  <si>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</si>
  <si>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</si>
  <si>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</si>
  <si>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</si>
  <si>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</si>
  <si>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</si>
  <si>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</si>
  <si>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</si>
  <si>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</si>
  <si>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</si>
  <si>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</si>
  <si>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</si>
  <si>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</si>
  <si>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</si>
  <si>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</si>
  <si>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</si>
  <si>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</si>
  <si>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</si>
  <si>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</si>
  <si>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</si>
  <si>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</si>
  <si>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</si>
  <si>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</si>
  <si>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</si>
  <si>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</si>
  <si>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</si>
  <si>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</si>
  <si>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</si>
  <si>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</si>
  <si>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</si>
  <si>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</si>
  <si>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</si>
  <si>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</si>
  <si>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</si>
  <si>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</si>
  <si>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</si>
  <si>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</si>
  <si>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</si>
  <si>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</si>
  <si>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</si>
  <si>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</si>
  <si>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</si>
  <si>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</si>
  <si>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</si>
  <si>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</si>
  <si>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</si>
  <si>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</si>
  <si>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</si>
  <si>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</si>
  <si>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</si>
  <si>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</si>
  <si>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</si>
  <si>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</si>
  <si>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</si>
  <si>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</si>
  <si>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</si>
  <si>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</si>
  <si>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</si>
  <si>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</si>
  <si>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</si>
  <si>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</si>
  <si>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</si>
  <si>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</si>
  <si>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</si>
  <si>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</si>
  <si>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</si>
  <si>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</si>
  <si>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</si>
  <si>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</si>
  <si>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</si>
  <si>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</si>
  <si>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</si>
  <si>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</si>
  <si>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</si>
  <si>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</si>
  <si>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</si>
  <si>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</si>
  <si>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</si>
  <si>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</si>
  <si>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</si>
  <si>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</si>
  <si>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</si>
  <si>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</si>
  <si>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</si>
  <si>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</si>
  <si>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</si>
  <si>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</si>
  <si>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</si>
  <si>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</si>
  <si>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</si>
  <si>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</si>
  <si>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</si>
  <si>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</si>
  <si>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</si>
  <si>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收率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</si>
  <si>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</si>
  <si>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</si>
  <si>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</si>
  <si>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</si>
  <si>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</si>
  <si>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</si>
  <si>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</si>
  <si>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</si>
  <si>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</si>
  <si>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</si>
  <si>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</si>
  <si>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</si>
  <si>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</si>
  <si>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</si>
  <si>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</si>
  <si>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</si>
  <si>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</si>
  <si>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二乙睛中试车间周报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</si>
  <si>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</si>
  <si>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</si>
  <si>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</si>
  <si>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一、产品</t>
    <phoneticPr fontId="1" type="noConversion"/>
  </si>
  <si>
    <t>二、原料消耗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</si>
  <si>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</si>
  <si>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</si>
  <si>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</si>
  <si>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</si>
  <si>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</si>
  <si>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</si>
  <si>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</si>
  <si>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反应单元</t>
    <phoneticPr fontId="1" type="noConversion"/>
  </si>
  <si>
    <t>氨腈摩尔比</t>
    <phoneticPr fontId="1" type="noConversion"/>
  </si>
  <si>
    <t>反应时间</t>
    <phoneticPr fontId="1" type="noConversion"/>
  </si>
  <si>
    <t>s</t>
    <phoneticPr fontId="1" type="noConversion"/>
  </si>
  <si>
    <t>反应压力</t>
    <phoneticPr fontId="1" type="noConversion"/>
  </si>
  <si>
    <t>羟基加热温度</t>
    <phoneticPr fontId="1" type="noConversion"/>
  </si>
  <si>
    <t>氨汽混合温度</t>
  </si>
  <si>
    <t>管反热点温度</t>
  </si>
  <si>
    <t>结晶单元</t>
    <phoneticPr fontId="1" type="noConversion"/>
  </si>
  <si>
    <t>预冷器结晶温度</t>
  </si>
  <si>
    <t>一次结晶温度</t>
  </si>
  <si>
    <t>降膜蒸发温度</t>
  </si>
  <si>
    <t>二次结晶温度</t>
  </si>
  <si>
    <t>反应液组成</t>
    <phoneticPr fontId="1" type="noConversion"/>
  </si>
  <si>
    <t>--</t>
    <phoneticPr fontId="1" type="noConversion"/>
  </si>
  <si>
    <t>羟基乙腈残余</t>
    <phoneticPr fontId="1" type="noConversion"/>
  </si>
  <si>
    <t>甘氨腈</t>
    <phoneticPr fontId="1" type="noConversion"/>
  </si>
  <si>
    <t>三乙腈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</si>
  <si>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</si>
  <si>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</si>
  <si>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</si>
  <si>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</si>
  <si>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</si>
  <si>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</si>
  <si>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</si>
  <si>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</si>
  <si>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</si>
  <si>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</si>
  <si>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</si>
  <si>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</si>
  <si>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</si>
  <si>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</si>
  <si>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</si>
  <si>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</si>
  <si>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</si>
  <si>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</si>
  <si>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</si>
  <si>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</si>
  <si>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≤20</t>
    <phoneticPr fontId="1" type="noConversion"/>
  </si>
  <si>
    <t>48±2</t>
  </si>
  <si>
    <t>≤20</t>
  </si>
  <si>
    <t>/</t>
  </si>
  <si>
    <t>≤0.38</t>
  </si>
  <si>
    <t>合格</t>
    <phoneticPr fontId="1" type="noConversion"/>
  </si>
  <si>
    <t>上上 周</t>
    <phoneticPr fontId="1" type="noConversion"/>
  </si>
  <si>
    <t>产量</t>
    <phoneticPr fontId="1" type="noConversion"/>
  </si>
  <si>
    <t>kg</t>
    <phoneticPr fontId="1" type="noConversion"/>
  </si>
  <si>
    <t>脱盐水
单耗</t>
    <phoneticPr fontId="1" type="noConversion"/>
  </si>
  <si>
    <t>KWh/t</t>
    <phoneticPr fontId="1" type="noConversion"/>
  </si>
  <si>
    <t>电能
单耗</t>
    <phoneticPr fontId="1" type="noConversion"/>
  </si>
  <si>
    <r>
      <t>900</t>
    </r>
    <r>
      <rPr>
        <b/>
        <sz val="10"/>
        <color rgb="FF00B050"/>
        <rFont val="SimSun"/>
        <charset val="134"/>
      </rPr>
      <t>～</t>
    </r>
    <r>
      <rPr>
        <b/>
        <sz val="10"/>
        <color rgb="FF00B050"/>
        <rFont val="等线"/>
        <family val="3"/>
        <charset val="134"/>
      </rPr>
      <t>1200</t>
    </r>
    <phoneticPr fontId="1" type="noConversion"/>
  </si>
  <si>
    <r>
      <t>2500</t>
    </r>
    <r>
      <rPr>
        <b/>
        <sz val="10"/>
        <color rgb="FF00B050"/>
        <rFont val="SimSun"/>
        <charset val="134"/>
      </rPr>
      <t>～</t>
    </r>
    <r>
      <rPr>
        <b/>
        <sz val="10"/>
        <color rgb="FF00B050"/>
        <rFont val="等线"/>
        <family val="3"/>
        <charset val="134"/>
      </rPr>
      <t>3000</t>
    </r>
    <phoneticPr fontId="1" type="noConversion"/>
  </si>
  <si>
    <r>
      <t>30</t>
    </r>
    <r>
      <rPr>
        <b/>
        <sz val="10"/>
        <color rgb="FF00B050"/>
        <rFont val="SimSun"/>
        <charset val="134"/>
      </rPr>
      <t>～</t>
    </r>
    <r>
      <rPr>
        <b/>
        <sz val="10"/>
        <color rgb="FF00B050"/>
        <rFont val="等线"/>
        <family val="3"/>
        <charset val="134"/>
      </rPr>
      <t>50</t>
    </r>
    <phoneticPr fontId="1" type="noConversion"/>
  </si>
  <si>
    <t>1.农科数据人工填写</t>
    <phoneticPr fontId="1" type="noConversion"/>
  </si>
  <si>
    <t>备注</t>
    <phoneticPr fontId="1" type="noConversion"/>
  </si>
  <si>
    <t>平均</t>
    <phoneticPr fontId="1" type="noConversion"/>
  </si>
  <si>
    <t>二乙腈含 量</t>
    <phoneticPr fontId="1" type="noConversion"/>
  </si>
  <si>
    <t>羟基乙腈残 余</t>
    <phoneticPr fontId="1" type="noConversion"/>
  </si>
  <si>
    <r>
      <t>25000</t>
    </r>
    <r>
      <rPr>
        <b/>
        <sz val="8"/>
        <color rgb="FF00B050"/>
        <rFont val="SimSun"/>
        <charset val="134"/>
      </rPr>
      <t>～</t>
    </r>
    <r>
      <rPr>
        <b/>
        <sz val="8"/>
        <color rgb="FF00B050"/>
        <rFont val="等线"/>
        <family val="3"/>
        <charset val="134"/>
      </rPr>
      <t>30000</t>
    </r>
    <phoneticPr fontId="1" type="noConversion"/>
  </si>
  <si>
    <t>单位</t>
    <phoneticPr fontId="1" type="noConversion"/>
  </si>
  <si>
    <t>班产量(kg)</t>
    <phoneticPr fontId="1" type="noConversion"/>
  </si>
  <si>
    <t>收率(%)</t>
    <phoneticPr fontId="1" type="noConversion"/>
  </si>
  <si>
    <t>固液比范围</t>
    <phoneticPr fontId="1" type="noConversion"/>
  </si>
  <si>
    <t>累计外排废液</t>
    <phoneticPr fontId="1" type="noConversion"/>
  </si>
  <si>
    <t>外排废液
m3/t产品</t>
    <phoneticPr fontId="1" type="noConversion"/>
  </si>
  <si>
    <t>(吨产品原料/动力及排放单耗)</t>
    <phoneticPr fontId="1" type="noConversion"/>
  </si>
  <si>
    <t>项目</t>
    <phoneticPr fontId="1" type="noConversion"/>
  </si>
  <si>
    <t>二乙腈(%)</t>
    <phoneticPr fontId="1" type="noConversion"/>
  </si>
  <si>
    <t>羟基乙腈
(g/L)</t>
    <phoneticPr fontId="1" type="noConversion"/>
  </si>
  <si>
    <t>硫铵含量
(g/L)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</si>
</sst>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;[Red]0.00"/>
    <numFmt numFmtId="177" formatCode="0.000;[Red]0.000"/>
    <numFmt numFmtId="178" formatCode="0.00_ "/>
    <numFmt numFmtId="179" formatCode="0.000_ "/>
    <numFmt numFmtId="180" formatCode="\+0.00;\-0.00;0"/>
  </numFmts>
  <fonts count="2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0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color rgb="FF00B050"/>
      <name val="等线"/>
      <family val="3"/>
      <charset val="134"/>
      <scheme val="minor"/>
    </font>
    <font>
      <b/>
      <sz val="10"/>
      <color rgb="FF00B050"/>
      <name val="等线"/>
      <family val="2"/>
      <scheme val="minor"/>
    </font>
    <font>
      <b/>
      <sz val="10"/>
      <color rgb="FF00B050"/>
      <name val="SimSun"/>
      <charset val="134"/>
    </font>
    <font>
      <b/>
      <sz val="10"/>
      <color rgb="FF00B050"/>
      <name val="等线"/>
      <family val="3"/>
      <charset val="134"/>
    </font>
    <font>
      <sz val="9"/>
      <color theme="1"/>
      <name val="等线"/>
      <family val="2"/>
      <scheme val="minor"/>
    </font>
    <font>
      <sz val="9"/>
      <color theme="1"/>
      <name val="等线"/>
      <family val="3"/>
      <charset val="134"/>
      <scheme val="minor"/>
    </font>
    <font>
      <b/>
      <sz val="8"/>
      <color rgb="FF00B050"/>
      <name val="等线"/>
      <family val="2"/>
      <scheme val="minor"/>
    </font>
    <font>
      <b/>
      <sz val="8"/>
      <color rgb="FF00B050"/>
      <name val="SimSun"/>
      <charset val="134"/>
    </font>
    <font>
      <b/>
      <sz val="8"/>
      <color rgb="FF00B050"/>
      <name val="等线"/>
      <family val="3"/>
      <charset val="134"/>
    </font>
    <font>
      <sz val="14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 style="thin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/>
      <right style="thin">
        <color auto="1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dotted">
        <color auto="1"/>
      </bottom>
      <diagonal/>
    </border>
    <border>
      <left/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medium">
        <color indexed="64"/>
      </right>
      <top style="dotted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12" fillId="4" borderId="17" xfId="0" applyFont="1" applyFill="1" applyBorder="1" applyAlignment="1">
      <alignment vertical="center"/>
    </xf>
    <xf numFmtId="0" fontId="12" fillId="4" borderId="8" xfId="0" applyFont="1" applyFill="1" applyBorder="1" applyAlignment="1">
      <alignment vertical="center"/>
    </xf>
    <xf numFmtId="0" fontId="12" fillId="4" borderId="8" xfId="0" applyFont="1" applyFill="1" applyBorder="1" applyAlignment="1">
      <alignment horizontal="right" vertical="center"/>
    </xf>
    <xf numFmtId="0" fontId="11" fillId="0" borderId="12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3" fillId="0" borderId="21" xfId="0" applyFont="1" applyBorder="1" applyAlignment="1">
      <alignment horizontal="left" vertical="center"/>
    </xf>
    <xf numFmtId="0" fontId="13" fillId="0" borderId="12" xfId="0" applyFont="1" applyBorder="1" applyAlignment="1">
      <alignment horizontal="center" vertical="center"/>
    </xf>
    <xf numFmtId="178" fontId="3" fillId="0" borderId="12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3" fillId="0" borderId="12" xfId="0" quotePrefix="1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179" fontId="14" fillId="0" borderId="12" xfId="0" applyNumberFormat="1" applyFont="1" applyBorder="1" applyAlignment="1">
      <alignment horizontal="center" vertical="center"/>
    </xf>
    <xf numFmtId="179" fontId="13" fillId="0" borderId="12" xfId="0" quotePrefix="1" applyNumberFormat="1" applyFont="1" applyBorder="1" applyAlignment="1">
      <alignment horizontal="center" vertical="center"/>
    </xf>
    <xf numFmtId="179" fontId="14" fillId="0" borderId="25" xfId="0" applyNumberFormat="1" applyFont="1" applyBorder="1" applyAlignment="1">
      <alignment horizontal="center" vertical="center"/>
    </xf>
    <xf numFmtId="179" fontId="15" fillId="0" borderId="12" xfId="0" applyNumberFormat="1" applyFont="1" applyBorder="1" applyAlignment="1">
      <alignment horizontal="center" vertical="center"/>
    </xf>
    <xf numFmtId="179" fontId="15" fillId="0" borderId="25" xfId="0" applyNumberFormat="1" applyFont="1" applyBorder="1" applyAlignment="1">
      <alignment horizontal="center" vertical="center"/>
    </xf>
    <xf numFmtId="178" fontId="2" fillId="0" borderId="12" xfId="0" applyNumberFormat="1" applyFont="1" applyBorder="1" applyAlignment="1">
      <alignment horizontal="center" vertical="center"/>
    </xf>
    <xf numFmtId="178" fontId="0" fillId="0" borderId="12" xfId="0" applyNumberFormat="1" applyBorder="1" applyAlignment="1">
      <alignment horizontal="center" vertical="center"/>
    </xf>
    <xf numFmtId="178" fontId="2" fillId="2" borderId="12" xfId="0" applyNumberFormat="1" applyFont="1" applyFill="1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76" fontId="16" fillId="2" borderId="12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179" fontId="2" fillId="0" borderId="3" xfId="0" applyNumberFormat="1" applyFont="1" applyBorder="1" applyAlignment="1">
      <alignment horizontal="center" vertical="center"/>
    </xf>
    <xf numFmtId="179" fontId="2" fillId="0" borderId="4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/>
    </xf>
    <xf numFmtId="177" fontId="2" fillId="0" borderId="49" xfId="0" applyNumberFormat="1" applyFont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179" fontId="2" fillId="0" borderId="51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9" fontId="2" fillId="0" borderId="49" xfId="0" applyNumberFormat="1" applyFont="1" applyBorder="1" applyAlignment="1">
      <alignment horizontal="center" vertical="center"/>
    </xf>
    <xf numFmtId="179" fontId="4" fillId="3" borderId="53" xfId="0" applyNumberFormat="1" applyFont="1" applyFill="1" applyBorder="1" applyAlignment="1">
      <alignment horizontal="center" vertical="center"/>
    </xf>
    <xf numFmtId="179" fontId="4" fillId="3" borderId="54" xfId="0" applyNumberFormat="1" applyFont="1" applyFill="1" applyBorder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179" fontId="2" fillId="0" borderId="5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79" fontId="2" fillId="0" borderId="5" xfId="0" applyNumberFormat="1" applyFont="1" applyBorder="1" applyAlignment="1">
      <alignment horizontal="center" vertical="center"/>
    </xf>
    <xf numFmtId="179" fontId="2" fillId="0" borderId="55" xfId="0" applyNumberFormat="1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76" fontId="16" fillId="0" borderId="12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2" borderId="51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/>
    </xf>
    <xf numFmtId="0" fontId="16" fillId="2" borderId="43" xfId="0" applyFont="1" applyFill="1" applyBorder="1" applyAlignment="1">
      <alignment horizontal="center" vertical="center"/>
    </xf>
    <xf numFmtId="179" fontId="2" fillId="0" borderId="44" xfId="0" applyNumberFormat="1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179" fontId="2" fillId="0" borderId="69" xfId="0" applyNumberFormat="1" applyFont="1" applyBorder="1" applyAlignment="1">
      <alignment horizontal="center" vertical="center"/>
    </xf>
    <xf numFmtId="179" fontId="2" fillId="0" borderId="47" xfId="0" applyNumberFormat="1" applyFont="1" applyBorder="1" applyAlignment="1">
      <alignment horizontal="center" vertical="center"/>
    </xf>
    <xf numFmtId="179" fontId="2" fillId="0" borderId="74" xfId="0" applyNumberFormat="1" applyFont="1" applyBorder="1" applyAlignment="1">
      <alignment horizontal="center" vertical="center"/>
    </xf>
    <xf numFmtId="179" fontId="2" fillId="0" borderId="48" xfId="0" applyNumberFormat="1" applyFont="1" applyBorder="1" applyAlignment="1">
      <alignment horizontal="center" vertical="center"/>
    </xf>
    <xf numFmtId="177" fontId="2" fillId="0" borderId="44" xfId="0" applyNumberFormat="1" applyFont="1" applyBorder="1" applyAlignment="1">
      <alignment horizontal="center" vertical="center"/>
    </xf>
    <xf numFmtId="180" fontId="2" fillId="0" borderId="75" xfId="0" applyNumberFormat="1" applyFont="1" applyBorder="1" applyAlignment="1">
      <alignment horizontal="center" vertical="center"/>
    </xf>
    <xf numFmtId="180" fontId="2" fillId="0" borderId="74" xfId="0" applyNumberFormat="1" applyFont="1" applyBorder="1" applyAlignment="1">
      <alignment horizontal="center" vertical="center"/>
    </xf>
    <xf numFmtId="180" fontId="2" fillId="0" borderId="48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2" fillId="2" borderId="12" xfId="0" applyFont="1" applyFill="1" applyBorder="1" applyAlignment="1">
      <alignment horizontal="center" vertical="center"/>
    </xf>
    <xf numFmtId="179" fontId="2" fillId="0" borderId="79" xfId="0" applyNumberFormat="1" applyFont="1" applyBorder="1" applyAlignment="1">
      <alignment horizontal="center" vertical="center"/>
    </xf>
    <xf numFmtId="179" fontId="2" fillId="0" borderId="80" xfId="0" applyNumberFormat="1" applyFont="1" applyBorder="1" applyAlignment="1">
      <alignment horizontal="center" vertical="center"/>
    </xf>
    <xf numFmtId="179" fontId="2" fillId="0" borderId="8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179" fontId="2" fillId="0" borderId="43" xfId="0" applyNumberFormat="1" applyFont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179" fontId="5" fillId="3" borderId="84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79" fontId="2" fillId="0" borderId="45" xfId="0" applyNumberFormat="1" applyFont="1" applyBorder="1" applyAlignment="1">
      <alignment horizontal="center" vertical="center"/>
    </xf>
    <xf numFmtId="178" fontId="21" fillId="0" borderId="12" xfId="0" applyNumberFormat="1" applyFont="1" applyBorder="1" applyAlignment="1">
      <alignment horizontal="center" vertical="center"/>
    </xf>
    <xf numFmtId="178" fontId="21" fillId="2" borderId="12" xfId="0" applyNumberFormat="1" applyFont="1" applyFill="1" applyBorder="1" applyAlignment="1">
      <alignment horizontal="center" vertical="center"/>
    </xf>
    <xf numFmtId="180" fontId="3" fillId="0" borderId="20" xfId="0" applyNumberFormat="1" applyFont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3" fillId="0" borderId="82" xfId="0" applyFont="1" applyBorder="1" applyAlignment="1">
      <alignment horizontal="center" vertical="center"/>
    </xf>
    <xf numFmtId="178" fontId="3" fillId="0" borderId="82" xfId="0" applyNumberFormat="1" applyFont="1" applyBorder="1" applyAlignment="1">
      <alignment horizontal="center" vertical="center"/>
    </xf>
    <xf numFmtId="180" fontId="3" fillId="0" borderId="83" xfId="0" applyNumberFormat="1" applyFont="1" applyBorder="1" applyAlignment="1">
      <alignment horizontal="center" vertical="center"/>
    </xf>
    <xf numFmtId="0" fontId="2" fillId="0" borderId="88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/>
    </xf>
    <xf numFmtId="178" fontId="3" fillId="0" borderId="20" xfId="0" applyNumberFormat="1" applyFont="1" applyBorder="1" applyAlignment="1">
      <alignment horizontal="center" vertical="center"/>
    </xf>
    <xf numFmtId="178" fontId="3" fillId="0" borderId="83" xfId="0" applyNumberFormat="1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41" xfId="0" applyFill="1" applyBorder="1" applyAlignment="1">
      <alignment horizontal="center" vertical="center"/>
    </xf>
    <xf numFmtId="0" fontId="0" fillId="4" borderId="17" xfId="0" applyFill="1" applyBorder="1"/>
    <xf numFmtId="0" fontId="0" fillId="4" borderId="9" xfId="0" applyFill="1" applyBorder="1"/>
    <xf numFmtId="0" fontId="21" fillId="2" borderId="21" xfId="0" applyFont="1" applyFill="1" applyBorder="1" applyAlignment="1">
      <alignment horizontal="center" vertical="center"/>
    </xf>
    <xf numFmtId="0" fontId="0" fillId="4" borderId="19" xfId="0" applyFill="1" applyBorder="1"/>
    <xf numFmtId="178" fontId="0" fillId="0" borderId="20" xfId="0" applyNumberFormat="1" applyBorder="1" applyAlignment="1">
      <alignment horizontal="center" vertical="center"/>
    </xf>
    <xf numFmtId="178" fontId="0" fillId="2" borderId="20" xfId="0" applyNumberFormat="1" applyFill="1" applyBorder="1" applyAlignment="1">
      <alignment horizontal="center" vertical="center"/>
    </xf>
    <xf numFmtId="178" fontId="2" fillId="0" borderId="7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179" fontId="3" fillId="0" borderId="12" xfId="0" applyNumberFormat="1" applyFont="1" applyBorder="1" applyAlignment="1">
      <alignment horizontal="center" vertical="center"/>
    </xf>
    <xf numFmtId="179" fontId="3" fillId="0" borderId="82" xfId="0" applyNumberFormat="1" applyFont="1" applyBorder="1" applyAlignment="1">
      <alignment horizontal="center" vertical="center"/>
    </xf>
    <xf numFmtId="0" fontId="3" fillId="0" borderId="8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89" xfId="0" applyFont="1" applyBorder="1" applyAlignment="1">
      <alignment horizontal="center" vertical="center"/>
    </xf>
    <xf numFmtId="178" fontId="3" fillId="0" borderId="60" xfId="0" applyNumberFormat="1" applyFont="1" applyBorder="1" applyAlignment="1">
      <alignment horizontal="center" vertical="center"/>
    </xf>
    <xf numFmtId="178" fontId="3" fillId="0" borderId="58" xfId="0" applyNumberFormat="1" applyFont="1" applyBorder="1" applyAlignment="1">
      <alignment horizontal="center" vertical="center"/>
    </xf>
    <xf numFmtId="178" fontId="3" fillId="0" borderId="59" xfId="0" applyNumberFormat="1" applyFont="1" applyBorder="1" applyAlignment="1">
      <alignment horizontal="center" vertical="center"/>
    </xf>
    <xf numFmtId="178" fontId="3" fillId="0" borderId="64" xfId="0" applyNumberFormat="1" applyFont="1" applyBorder="1" applyAlignment="1">
      <alignment horizontal="center" vertical="center"/>
    </xf>
    <xf numFmtId="178" fontId="3" fillId="0" borderId="65" xfId="0" applyNumberFormat="1" applyFont="1" applyBorder="1" applyAlignment="1">
      <alignment horizontal="center" vertical="center"/>
    </xf>
    <xf numFmtId="178" fontId="3" fillId="0" borderId="67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10" fillId="0" borderId="5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57" xfId="0" applyFont="1" applyBorder="1" applyAlignment="1">
      <alignment horizontal="center" vertical="center"/>
    </xf>
    <xf numFmtId="178" fontId="3" fillId="0" borderId="58" xfId="0" applyNumberFormat="1" applyFont="1" applyBorder="1" applyAlignment="1">
      <alignment vertical="center"/>
    </xf>
    <xf numFmtId="178" fontId="3" fillId="0" borderId="63" xfId="0" applyNumberFormat="1" applyFont="1" applyBorder="1" applyAlignment="1">
      <alignment horizontal="center" vertical="center"/>
    </xf>
    <xf numFmtId="178" fontId="10" fillId="0" borderId="56" xfId="0" applyNumberFormat="1" applyFont="1" applyBorder="1" applyAlignment="1">
      <alignment horizontal="center" vertical="center"/>
    </xf>
    <xf numFmtId="178" fontId="3" fillId="0" borderId="37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178" fontId="3" fillId="0" borderId="39" xfId="0" applyNumberFormat="1" applyFont="1" applyBorder="1" applyAlignment="1">
      <alignment horizontal="center" vertical="center"/>
    </xf>
    <xf numFmtId="178" fontId="3" fillId="0" borderId="68" xfId="0" applyNumberFormat="1" applyFont="1" applyBorder="1" applyAlignment="1">
      <alignment horizontal="center" vertical="center"/>
    </xf>
    <xf numFmtId="178" fontId="10" fillId="0" borderId="66" xfId="0" applyNumberFormat="1" applyFont="1" applyBorder="1" applyAlignment="1">
      <alignment horizontal="center" vertical="center"/>
    </xf>
    <xf numFmtId="178" fontId="3" fillId="0" borderId="40" xfId="0" applyNumberFormat="1" applyFont="1" applyBorder="1" applyAlignment="1">
      <alignment horizontal="center" vertical="center"/>
    </xf>
    <xf numFmtId="178" fontId="3" fillId="2" borderId="51" xfId="0" applyNumberFormat="1" applyFont="1" applyFill="1" applyBorder="1" applyAlignment="1">
      <alignment horizontal="center" vertical="center"/>
    </xf>
    <xf numFmtId="178" fontId="3" fillId="2" borderId="7" xfId="0" applyNumberFormat="1" applyFont="1" applyFill="1" applyBorder="1" applyAlignment="1">
      <alignment horizontal="center" vertical="center"/>
    </xf>
    <xf numFmtId="178" fontId="3" fillId="0" borderId="55" xfId="0" applyNumberFormat="1" applyFont="1" applyBorder="1" applyAlignment="1">
      <alignment horizontal="center" vertical="center"/>
    </xf>
    <xf numFmtId="178" fontId="3" fillId="0" borderId="6" xfId="0" applyNumberFormat="1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178" fontId="3" fillId="2" borderId="43" xfId="0" applyNumberFormat="1" applyFont="1" applyFill="1" applyBorder="1" applyAlignment="1">
      <alignment horizontal="center" vertical="center"/>
    </xf>
    <xf numFmtId="178" fontId="3" fillId="0" borderId="49" xfId="0" applyNumberFormat="1" applyFont="1" applyBorder="1" applyAlignment="1">
      <alignment horizontal="center" vertical="center"/>
    </xf>
    <xf numFmtId="178" fontId="3" fillId="0" borderId="3" xfId="0" applyNumberFormat="1" applyFont="1" applyBorder="1" applyAlignment="1">
      <alignment horizontal="center" vertical="center"/>
    </xf>
    <xf numFmtId="178" fontId="3" fillId="0" borderId="44" xfId="0" applyNumberFormat="1" applyFont="1" applyBorder="1" applyAlignment="1">
      <alignment horizontal="center" vertical="center"/>
    </xf>
    <xf numFmtId="178" fontId="3" fillId="2" borderId="69" xfId="0" applyNumberFormat="1" applyFont="1" applyFill="1" applyBorder="1" applyAlignment="1">
      <alignment horizontal="center" vertical="center"/>
    </xf>
    <xf numFmtId="178" fontId="3" fillId="2" borderId="47" xfId="0" applyNumberFormat="1" applyFont="1" applyFill="1" applyBorder="1" applyAlignment="1">
      <alignment horizontal="center" vertical="center"/>
    </xf>
    <xf numFmtId="178" fontId="3" fillId="2" borderId="48" xfId="0" applyNumberFormat="1" applyFont="1" applyFill="1" applyBorder="1" applyAlignment="1">
      <alignment horizontal="center" vertical="center"/>
    </xf>
    <xf numFmtId="176" fontId="16" fillId="2" borderId="20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2" fillId="4" borderId="4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71" xfId="0" applyFont="1" applyBorder="1" applyAlignment="1">
      <alignment horizontal="center" vertical="center"/>
    </xf>
    <xf numFmtId="0" fontId="9" fillId="0" borderId="72" xfId="0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87" xfId="0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0" fontId="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2" fillId="2" borderId="21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3" fillId="0" borderId="6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178" fontId="0" fillId="0" borderId="12" xfId="0" applyNumberFormat="1" applyBorder="1" applyAlignment="1">
      <alignment horizontal="center" vertical="center"/>
    </xf>
    <xf numFmtId="0" fontId="3" fillId="0" borderId="85" xfId="0" applyFont="1" applyBorder="1" applyAlignment="1">
      <alignment horizontal="left" vertical="center"/>
    </xf>
    <xf numFmtId="0" fontId="3" fillId="0" borderId="86" xfId="0" applyFont="1" applyBorder="1" applyAlignment="1">
      <alignment horizontal="left" vertical="center"/>
    </xf>
    <xf numFmtId="0" fontId="3" fillId="0" borderId="87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4" borderId="9" xfId="0" applyFont="1" applyFill="1" applyBorder="1" applyAlignment="1">
      <alignment horizontal="center" vertical="center"/>
    </xf>
    <xf numFmtId="0" fontId="20" fillId="4" borderId="46" xfId="0" applyFont="1" applyFill="1" applyBorder="1" applyAlignment="1">
      <alignment horizontal="center" vertical="center"/>
    </xf>
    <xf numFmtId="31" fontId="20" fillId="4" borderId="9" xfId="0" applyNumberFormat="1" applyFont="1" applyFill="1" applyBorder="1" applyAlignment="1">
      <alignment horizontal="center" vertical="center"/>
    </xf>
    <xf numFmtId="0" fontId="20" fillId="4" borderId="42" xfId="0" applyFont="1" applyFill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21" fillId="4" borderId="41" xfId="0" applyFont="1" applyFill="1" applyBorder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1" fillId="4" borderId="42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0" fontId="20" fillId="4" borderId="17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20" fillId="4" borderId="18" xfId="0" applyFont="1" applyFill="1" applyBorder="1" applyAlignment="1">
      <alignment horizontal="center" vertical="center"/>
    </xf>
    <xf numFmtId="0" fontId="20" fillId="4" borderId="9" xfId="0" applyFont="1" applyFill="1" applyBorder="1" applyAlignment="1">
      <alignment horizontal="center" vertical="center"/>
    </xf>
  </cellXfs>
  <cellStyles count="1">
    <cellStyle name="常规" xfId="0" builtinId="0"/>
  </cellStyles>
  <dxfs count="4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5"/>
  <sheetViews>
    <sheetView tabSelected="1" zoomScaleNormal="100" workbookViewId="0">
      <selection activeCell="B33" sqref="B33:B35"/>
    </sheetView>
  </sheetViews>
  <sheetFormatPr defaultRowHeight="18.5" customHeight="1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55" t="s">
        <v>125</v>
      </c>
      <c r="C2" s="156"/>
      <c r="D2" s="156"/>
      <c r="E2" s="156"/>
      <c r="F2" s="156"/>
      <c r="G2" s="156"/>
      <c r="H2" s="156"/>
      <c r="I2" s="156"/>
      <c r="J2" s="157"/>
    </row>
    <row r="3" spans="2:10" ht="14">
      <c r="B3" s="7"/>
      <c r="C3" s="8"/>
      <c r="D3" s="8"/>
      <c r="E3" s="8"/>
      <c r="F3" s="8"/>
      <c r="G3" s="9"/>
      <c r="H3" s="158"/>
      <c r="I3" s="158"/>
      <c r="J3" s="159"/>
    </row>
    <row r="4" spans="2:10" ht="21">
      <c r="B4" s="151" t="s">
        <v>15</v>
      </c>
      <c r="C4" s="152"/>
      <c r="D4" s="153"/>
      <c r="E4" s="10" t="s">
        <v>35</v>
      </c>
      <c r="F4" s="10" t="s">
        <v>126</v>
      </c>
      <c r="G4" s="10" t="s">
        <v>127</v>
      </c>
      <c r="H4" s="160" t="s">
        <v>128</v>
      </c>
      <c r="I4" s="153"/>
      <c r="J4" s="11" t="s">
        <v>50</v>
      </c>
    </row>
    <row r="5" spans="2:10" ht="14">
      <c r="B5" s="12" t="s">
        <v>129</v>
      </c>
      <c r="C5" s="154" t="s">
        <v>107</v>
      </c>
      <c r="D5" s="154"/>
      <c r="E5" s="13" t="s">
        <v>45</v>
      </c>
      <c r="F5" s="21">
        <v>90</v>
      </c>
      <c r="G5" s="24">
        <v>70</v>
      </c>
      <c r="H5" s="14">
        <f>(G5-F5)/F5*100</f>
        <v>-22.222222222222221</v>
      </c>
      <c r="I5" s="15" t="s">
        <v>45</v>
      </c>
      <c r="J5" s="16"/>
    </row>
    <row r="6" spans="2:10" ht="14">
      <c r="B6" s="161" t="s">
        <v>130</v>
      </c>
      <c r="C6" s="154" t="s">
        <v>131</v>
      </c>
      <c r="D6" s="154"/>
      <c r="E6" s="13" t="s">
        <v>75</v>
      </c>
      <c r="F6" s="21" t="s">
        <v>166</v>
      </c>
      <c r="G6" s="24"/>
      <c r="H6" s="5" t="str">
        <f>IF($G6="","",IF(AND($G6&gt;=0,$G6&lt;=1427),"合格","不合格"))</f>
        <v/>
      </c>
      <c r="I6" s="17" t="s">
        <v>11</v>
      </c>
      <c r="J6" s="16"/>
    </row>
    <row r="7" spans="2:10" ht="14">
      <c r="B7" s="162"/>
      <c r="C7" s="154" t="s">
        <v>132</v>
      </c>
      <c r="D7" s="154"/>
      <c r="E7" s="13" t="s">
        <v>75</v>
      </c>
      <c r="F7" s="21" t="s">
        <v>167</v>
      </c>
      <c r="G7" s="24"/>
      <c r="H7" s="5" t="str">
        <f>IF($G7="","",IF(AND($G7&gt;=210,$G7&lt;=220),"合格","不合格"))</f>
        <v/>
      </c>
      <c r="I7" s="17" t="s">
        <v>11</v>
      </c>
      <c r="J7" s="16"/>
    </row>
    <row r="8" spans="2:10" ht="14">
      <c r="B8" s="163"/>
      <c r="C8" s="154" t="s">
        <v>133</v>
      </c>
      <c r="D8" s="154"/>
      <c r="E8" s="13" t="s">
        <v>75</v>
      </c>
      <c r="F8" s="21" t="s">
        <v>168</v>
      </c>
      <c r="G8" s="24"/>
      <c r="H8" s="5" t="str">
        <f>IF($G8="","",IF(AND($G8&gt;=190,$G8&lt;=210),"合格","不合格"))</f>
        <v/>
      </c>
      <c r="I8" s="17" t="s">
        <v>11</v>
      </c>
      <c r="J8" s="16"/>
    </row>
    <row r="9" spans="2:10" ht="14">
      <c r="B9" s="161" t="s">
        <v>134</v>
      </c>
      <c r="C9" s="13" t="s">
        <v>135</v>
      </c>
      <c r="D9" s="13" t="s">
        <v>136</v>
      </c>
      <c r="E9" s="13" t="s">
        <v>137</v>
      </c>
      <c r="F9" s="21" t="s">
        <v>169</v>
      </c>
      <c r="G9" s="24"/>
      <c r="H9" s="5" t="str">
        <f>IF($G9="","",IF(AND($G9&gt;=412,$G9&lt;=422),"合格","不合格"))</f>
        <v/>
      </c>
      <c r="I9" s="17" t="s">
        <v>11</v>
      </c>
      <c r="J9" s="16"/>
    </row>
    <row r="10" spans="2:10" ht="14">
      <c r="B10" s="162"/>
      <c r="C10" s="154" t="s">
        <v>138</v>
      </c>
      <c r="D10" s="13" t="s">
        <v>139</v>
      </c>
      <c r="E10" s="17" t="s">
        <v>11</v>
      </c>
      <c r="F10" s="21" t="s">
        <v>170</v>
      </c>
      <c r="G10" s="24"/>
      <c r="H10" s="5" t="str">
        <f>IF($G10="","",IF(AND($G10&gt;=0.525,$G10&lt;=0.5357),"合格","不合格"))</f>
        <v/>
      </c>
      <c r="I10" s="17" t="s">
        <v>11</v>
      </c>
      <c r="J10" s="16"/>
    </row>
    <row r="11" spans="2:10" ht="14">
      <c r="B11" s="162"/>
      <c r="C11" s="154"/>
      <c r="D11" s="13" t="s">
        <v>140</v>
      </c>
      <c r="E11" s="13" t="s">
        <v>141</v>
      </c>
      <c r="F11" s="21">
        <v>46.63</v>
      </c>
      <c r="G11" s="24"/>
      <c r="H11" s="5" t="s">
        <v>181</v>
      </c>
      <c r="I11" s="17" t="s">
        <v>11</v>
      </c>
      <c r="J11" s="16"/>
    </row>
    <row r="12" spans="2:10" ht="14">
      <c r="B12" s="162"/>
      <c r="C12" s="154"/>
      <c r="D12" s="13" t="s">
        <v>142</v>
      </c>
      <c r="E12" s="13" t="s">
        <v>14</v>
      </c>
      <c r="F12" s="21" t="s">
        <v>171</v>
      </c>
      <c r="G12" s="24"/>
      <c r="H12" s="5" t="str">
        <f>IF($G12="","",IF(AND($G12&gt;=0.745,$G12&lt;=0.755),"合格","不合格"))</f>
        <v/>
      </c>
      <c r="I12" s="17" t="s">
        <v>11</v>
      </c>
      <c r="J12" s="16"/>
    </row>
    <row r="13" spans="2:10" ht="14">
      <c r="B13" s="162"/>
      <c r="C13" s="154"/>
      <c r="D13" s="13" t="s">
        <v>143</v>
      </c>
      <c r="E13" s="13" t="s">
        <v>12</v>
      </c>
      <c r="F13" s="21" t="s">
        <v>172</v>
      </c>
      <c r="G13" s="24"/>
      <c r="H13" s="5" t="str">
        <f>IF($G13="","",IF(AND($G13&gt;=88,$G13&lt;=92),"合格","不合格"))</f>
        <v/>
      </c>
      <c r="I13" s="17" t="s">
        <v>11</v>
      </c>
      <c r="J13" s="16"/>
    </row>
    <row r="14" spans="2:10" ht="14">
      <c r="B14" s="162"/>
      <c r="C14" s="154"/>
      <c r="D14" s="13" t="s">
        <v>144</v>
      </c>
      <c r="E14" s="13" t="s">
        <v>12</v>
      </c>
      <c r="F14" s="21" t="s">
        <v>173</v>
      </c>
      <c r="G14" s="24"/>
      <c r="H14" s="5" t="str">
        <f>IF($G14="","",IF(AND($G14&gt;=143,$G14&lt;=147),"合格","不合格"))</f>
        <v/>
      </c>
      <c r="I14" s="17" t="s">
        <v>11</v>
      </c>
      <c r="J14" s="16"/>
    </row>
    <row r="15" spans="2:10" ht="14">
      <c r="B15" s="162"/>
      <c r="C15" s="154"/>
      <c r="D15" s="13" t="s">
        <v>145</v>
      </c>
      <c r="E15" s="13" t="s">
        <v>12</v>
      </c>
      <c r="F15" s="21" t="s">
        <v>174</v>
      </c>
      <c r="G15" s="24"/>
      <c r="H15" s="5" t="str">
        <f>IF($G15="","",IF(AND($G15&gt;=166,$G15&lt;=170),"合格","不合格"))</f>
        <v/>
      </c>
      <c r="I15" s="17" t="s">
        <v>11</v>
      </c>
      <c r="J15" s="16"/>
    </row>
    <row r="16" spans="2:10" ht="14">
      <c r="B16" s="162"/>
      <c r="C16" s="154" t="s">
        <v>146</v>
      </c>
      <c r="D16" s="13" t="s">
        <v>147</v>
      </c>
      <c r="E16" s="13" t="s">
        <v>12</v>
      </c>
      <c r="F16" s="21" t="s">
        <v>175</v>
      </c>
      <c r="G16" s="24"/>
      <c r="H16" s="5" t="str">
        <f>IF($G16="","",IF(AND($G16&gt;=0,$G16&lt;=45),"合格","不合格"))</f>
        <v/>
      </c>
      <c r="I16" s="17" t="s">
        <v>11</v>
      </c>
      <c r="J16" s="16"/>
    </row>
    <row r="17" spans="2:10" ht="14">
      <c r="B17" s="162"/>
      <c r="C17" s="154"/>
      <c r="D17" s="13" t="s">
        <v>148</v>
      </c>
      <c r="E17" s="13" t="s">
        <v>12</v>
      </c>
      <c r="F17" s="21" t="s">
        <v>176</v>
      </c>
      <c r="G17" s="24"/>
      <c r="H17" s="5" t="str">
        <f>IF($G17="","",IF(AND($G17&gt;=0,$G17&lt;=20),"合格","不合格"))</f>
        <v/>
      </c>
      <c r="I17" s="17" t="s">
        <v>11</v>
      </c>
      <c r="J17" s="16"/>
    </row>
    <row r="18" spans="2:10" ht="14">
      <c r="B18" s="162"/>
      <c r="C18" s="154"/>
      <c r="D18" s="13" t="s">
        <v>149</v>
      </c>
      <c r="E18" s="13" t="s">
        <v>12</v>
      </c>
      <c r="F18" s="21" t="s">
        <v>177</v>
      </c>
      <c r="G18" s="24"/>
      <c r="H18" s="5" t="str">
        <f>IF($G18="","",IF(AND($G18&gt;=46,$G18&lt;=50),"合格","不合格"))</f>
        <v/>
      </c>
      <c r="I18" s="17" t="s">
        <v>11</v>
      </c>
      <c r="J18" s="16"/>
    </row>
    <row r="19" spans="2:10" ht="14">
      <c r="B19" s="162"/>
      <c r="C19" s="154"/>
      <c r="D19" s="13" t="s">
        <v>150</v>
      </c>
      <c r="E19" s="13" t="s">
        <v>12</v>
      </c>
      <c r="F19" s="21" t="s">
        <v>178</v>
      </c>
      <c r="G19" s="24"/>
      <c r="H19" s="5" t="str">
        <f>IF($G19="","",IF(AND($G19&gt;=0,$G19&lt;=20),"合格","不合格"))</f>
        <v/>
      </c>
      <c r="I19" s="17" t="s">
        <v>11</v>
      </c>
      <c r="J19" s="16"/>
    </row>
    <row r="20" spans="2:10" ht="14">
      <c r="B20" s="162"/>
      <c r="C20" s="154" t="s">
        <v>151</v>
      </c>
      <c r="D20" s="13" t="s">
        <v>20</v>
      </c>
      <c r="E20" s="13" t="s">
        <v>45</v>
      </c>
      <c r="F20" s="22" t="s">
        <v>179</v>
      </c>
      <c r="G20" s="24"/>
      <c r="H20" s="18" t="s">
        <v>152</v>
      </c>
      <c r="I20" s="17" t="s">
        <v>11</v>
      </c>
      <c r="J20" s="16"/>
    </row>
    <row r="21" spans="2:10" ht="14">
      <c r="B21" s="162"/>
      <c r="C21" s="154"/>
      <c r="D21" s="13" t="s">
        <v>153</v>
      </c>
      <c r="E21" s="13" t="s">
        <v>45</v>
      </c>
      <c r="F21" s="22" t="s">
        <v>179</v>
      </c>
      <c r="G21" s="24"/>
      <c r="H21" s="18" t="s">
        <v>152</v>
      </c>
      <c r="I21" s="17" t="s">
        <v>11</v>
      </c>
      <c r="J21" s="16"/>
    </row>
    <row r="22" spans="2:10" ht="14">
      <c r="B22" s="162"/>
      <c r="C22" s="154"/>
      <c r="D22" s="13" t="s">
        <v>27</v>
      </c>
      <c r="E22" s="17" t="s">
        <v>11</v>
      </c>
      <c r="F22" s="22" t="s">
        <v>179</v>
      </c>
      <c r="G22" s="24"/>
      <c r="H22" s="18" t="s">
        <v>152</v>
      </c>
      <c r="I22" s="17" t="s">
        <v>11</v>
      </c>
      <c r="J22" s="16"/>
    </row>
    <row r="23" spans="2:10" ht="14">
      <c r="B23" s="162"/>
      <c r="C23" s="154"/>
      <c r="D23" s="13" t="s">
        <v>154</v>
      </c>
      <c r="E23" s="13" t="s">
        <v>137</v>
      </c>
      <c r="F23" s="22" t="s">
        <v>179</v>
      </c>
      <c r="G23" s="24"/>
      <c r="H23" s="18" t="s">
        <v>152</v>
      </c>
      <c r="I23" s="17" t="s">
        <v>11</v>
      </c>
      <c r="J23" s="16"/>
    </row>
    <row r="24" spans="2:10" ht="14">
      <c r="B24" s="163"/>
      <c r="C24" s="154"/>
      <c r="D24" s="13" t="s">
        <v>155</v>
      </c>
      <c r="E24" s="13" t="s">
        <v>137</v>
      </c>
      <c r="F24" s="22" t="s">
        <v>179</v>
      </c>
      <c r="G24" s="24"/>
      <c r="H24" s="18" t="s">
        <v>152</v>
      </c>
      <c r="I24" s="17" t="s">
        <v>11</v>
      </c>
      <c r="J24" s="16"/>
    </row>
    <row r="25" spans="2:10" ht="14">
      <c r="B25" s="167" t="s">
        <v>113</v>
      </c>
      <c r="C25" s="13" t="s">
        <v>156</v>
      </c>
      <c r="D25" s="13" t="s">
        <v>157</v>
      </c>
      <c r="E25" s="13" t="s">
        <v>158</v>
      </c>
      <c r="F25" s="21" t="s">
        <v>180</v>
      </c>
      <c r="G25" s="24"/>
      <c r="H25" s="5" t="str">
        <f>IF($G25="","",IF(AND($G25&gt;=0,$G25&lt;=0.38),"合格","不合格"))</f>
        <v/>
      </c>
      <c r="I25" s="17" t="s">
        <v>11</v>
      </c>
      <c r="J25" s="16"/>
    </row>
    <row r="26" spans="2:10" ht="14">
      <c r="B26" s="167"/>
      <c r="C26" s="154" t="s">
        <v>159</v>
      </c>
      <c r="D26" s="13" t="s">
        <v>160</v>
      </c>
      <c r="E26" s="13" t="s">
        <v>45</v>
      </c>
      <c r="F26" s="21">
        <v>7</v>
      </c>
      <c r="G26" s="24"/>
      <c r="H26" s="14">
        <f>(G26-F26)</f>
        <v>-7</v>
      </c>
      <c r="I26" s="17" t="s">
        <v>45</v>
      </c>
      <c r="J26" s="16"/>
    </row>
    <row r="27" spans="2:10" ht="14">
      <c r="B27" s="167"/>
      <c r="C27" s="154"/>
      <c r="D27" s="13" t="s">
        <v>161</v>
      </c>
      <c r="E27" s="13" t="s">
        <v>45</v>
      </c>
      <c r="F27" s="21">
        <v>15</v>
      </c>
      <c r="G27" s="24"/>
      <c r="H27" s="14">
        <f t="shared" ref="H27:H31" si="0">(G27-F27)</f>
        <v>-15</v>
      </c>
      <c r="I27" s="17" t="s">
        <v>45</v>
      </c>
      <c r="J27" s="16"/>
    </row>
    <row r="28" spans="2:10" ht="14">
      <c r="B28" s="167"/>
      <c r="C28" s="154"/>
      <c r="D28" s="13" t="s">
        <v>97</v>
      </c>
      <c r="E28" s="13" t="s">
        <v>45</v>
      </c>
      <c r="F28" s="21">
        <v>4</v>
      </c>
      <c r="G28" s="24"/>
      <c r="H28" s="14">
        <f t="shared" si="0"/>
        <v>-4</v>
      </c>
      <c r="I28" s="17" t="s">
        <v>45</v>
      </c>
      <c r="J28" s="16"/>
    </row>
    <row r="29" spans="2:10" ht="14">
      <c r="B29" s="167"/>
      <c r="C29" s="154"/>
      <c r="D29" s="13" t="s">
        <v>154</v>
      </c>
      <c r="E29" s="13" t="s">
        <v>45</v>
      </c>
      <c r="F29" s="21">
        <v>7</v>
      </c>
      <c r="G29" s="24"/>
      <c r="H29" s="14">
        <f t="shared" si="0"/>
        <v>-7</v>
      </c>
      <c r="I29" s="17" t="s">
        <v>45</v>
      </c>
      <c r="J29" s="16"/>
    </row>
    <row r="30" spans="2:10" ht="14">
      <c r="B30" s="167"/>
      <c r="C30" s="154"/>
      <c r="D30" s="13" t="s">
        <v>155</v>
      </c>
      <c r="E30" s="13" t="s">
        <v>45</v>
      </c>
      <c r="F30" s="21">
        <v>7</v>
      </c>
      <c r="G30" s="24"/>
      <c r="H30" s="14">
        <f t="shared" si="0"/>
        <v>-7</v>
      </c>
      <c r="I30" s="17" t="s">
        <v>45</v>
      </c>
      <c r="J30" s="16"/>
    </row>
    <row r="31" spans="2:10" ht="14">
      <c r="B31" s="167"/>
      <c r="C31" s="154"/>
      <c r="D31" s="13" t="s">
        <v>162</v>
      </c>
      <c r="E31" s="13" t="s">
        <v>163</v>
      </c>
      <c r="F31" s="21">
        <v>10</v>
      </c>
      <c r="G31" s="24"/>
      <c r="H31" s="14">
        <f t="shared" si="0"/>
        <v>-10</v>
      </c>
      <c r="I31" s="17" t="s">
        <v>45</v>
      </c>
      <c r="J31" s="16"/>
    </row>
    <row r="32" spans="2:10" ht="14.5" thickBot="1">
      <c r="B32" s="161"/>
      <c r="C32" s="168"/>
      <c r="D32" s="20" t="s">
        <v>164</v>
      </c>
      <c r="E32" s="20" t="s">
        <v>45</v>
      </c>
      <c r="F32" s="23">
        <v>50</v>
      </c>
      <c r="G32" s="25"/>
      <c r="H32" s="14">
        <f>(G32-F32)</f>
        <v>-50</v>
      </c>
      <c r="I32" s="17" t="s">
        <v>45</v>
      </c>
      <c r="J32" s="19"/>
    </row>
    <row r="33" spans="2:10" ht="14">
      <c r="B33" s="164" t="s">
        <v>165</v>
      </c>
      <c r="C33" s="169"/>
      <c r="D33" s="170"/>
      <c r="E33" s="170"/>
      <c r="F33" s="170"/>
      <c r="G33" s="170"/>
      <c r="H33" s="170"/>
      <c r="I33" s="170"/>
      <c r="J33" s="171"/>
    </row>
    <row r="34" spans="2:10" ht="14">
      <c r="B34" s="165"/>
      <c r="C34" s="172"/>
      <c r="D34" s="173"/>
      <c r="E34" s="173"/>
      <c r="F34" s="173"/>
      <c r="G34" s="173"/>
      <c r="H34" s="173"/>
      <c r="I34" s="173"/>
      <c r="J34" s="174"/>
    </row>
    <row r="35" spans="2:10" ht="14.5" thickBot="1">
      <c r="B35" s="166"/>
      <c r="C35" s="175"/>
      <c r="D35" s="176"/>
      <c r="E35" s="176"/>
      <c r="F35" s="176"/>
      <c r="G35" s="176"/>
      <c r="H35" s="176"/>
      <c r="I35" s="176"/>
      <c r="J35" s="177"/>
    </row>
  </sheetData>
  <mergeCells count="17">
    <mergeCell ref="B6:B8"/>
    <mergeCell ref="C6:D6"/>
    <mergeCell ref="C7:D7"/>
    <mergeCell ref="C8:D8"/>
    <mergeCell ref="B33:B35"/>
    <mergeCell ref="B9:B24"/>
    <mergeCell ref="C10:C15"/>
    <mergeCell ref="C16:C19"/>
    <mergeCell ref="C20:C24"/>
    <mergeCell ref="B25:B32"/>
    <mergeCell ref="C26:C32"/>
    <mergeCell ref="C33:J35"/>
    <mergeCell ref="B4:D4"/>
    <mergeCell ref="C5:D5"/>
    <mergeCell ref="B2:J2"/>
    <mergeCell ref="H3:J3"/>
    <mergeCell ref="H4:I4"/>
  </mergeCells>
  <phoneticPr fontId="1" type="noConversion"/>
  <conditionalFormatting sqref="H5">
    <cfRule type="cellIs" dxfId="40" priority="29" operator="equal">
      <formula>0</formula>
    </cfRule>
    <cfRule type="cellIs" dxfId="39" priority="30" operator="lessThan">
      <formula>0</formula>
    </cfRule>
    <cfRule type="cellIs" dxfId="38" priority="31" operator="greaterThan">
      <formula>0</formula>
    </cfRule>
  </conditionalFormatting>
  <conditionalFormatting sqref="H6:H19">
    <cfRule type="cellIs" dxfId="37" priority="32" operator="equal">
      <formula>"合格"</formula>
    </cfRule>
    <cfRule type="cellIs" dxfId="36" priority="33" operator="equal">
      <formula>"不合格"</formula>
    </cfRule>
    <cfRule type="containsText" dxfId="35" priority="34" operator="containsText" text="不合格">
      <formula>NOT(ISERROR(SEARCH("不合格",H6)))</formula>
    </cfRule>
    <cfRule type="cellIs" dxfId="34" priority="35" operator="equal">
      <formula>"合格"</formula>
    </cfRule>
  </conditionalFormatting>
  <conditionalFormatting sqref="H25">
    <cfRule type="cellIs" dxfId="33" priority="25" operator="equal">
      <formula>"合格"</formula>
    </cfRule>
    <cfRule type="cellIs" dxfId="32" priority="26" operator="equal">
      <formula>"不合格"</formula>
    </cfRule>
    <cfRule type="containsText" dxfId="31" priority="27" operator="containsText" text="不合格">
      <formula>NOT(ISERROR(SEARCH("不合格",H25)))</formula>
    </cfRule>
    <cfRule type="cellIs" dxfId="30" priority="28" operator="equal">
      <formula>"合格"</formula>
    </cfRule>
  </conditionalFormatting>
  <conditionalFormatting sqref="H26:H31">
    <cfRule type="cellIs" dxfId="29" priority="23" operator="greaterThan">
      <formula>0</formula>
    </cfRule>
    <cfRule type="cellIs" dxfId="28" priority="24" operator="lessThan">
      <formula>0</formula>
    </cfRule>
  </conditionalFormatting>
  <conditionalFormatting sqref="H26:H32">
    <cfRule type="cellIs" dxfId="27" priority="1" operator="equal">
      <formula>0</formula>
    </cfRule>
  </conditionalFormatting>
  <conditionalFormatting sqref="H32">
    <cfRule type="cellIs" dxfId="26" priority="2" operator="lessThan">
      <formula>0</formula>
    </cfRule>
    <cfRule type="cellIs" dxfId="25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1:K12"/>
  <sheetViews>
    <sheetView workbookViewId="0">
      <selection activeCell="B9" sqref="B9"/>
    </sheetView>
  </sheetViews>
  <sheetFormatPr defaultColWidth="9" defaultRowHeight="13"/>
  <cols>
    <col min="1" max="1" width="1.58203125" style="2" customWidth="1"/>
    <col min="2" max="11" width="9.58203125" style="2" customWidth="1"/>
    <col min="12" max="16384" width="9" style="2"/>
  </cols>
  <sheetData>
    <row r="1" spans="2:11" ht="13.5" thickBot="1"/>
    <row r="2" spans="2:11" ht="24" customHeight="1">
      <c r="B2" s="178" t="s">
        <v>115</v>
      </c>
      <c r="C2" s="179"/>
      <c r="D2" s="179"/>
      <c r="E2" s="179"/>
      <c r="F2" s="179"/>
      <c r="G2" s="179"/>
      <c r="H2" s="179"/>
      <c r="I2" s="179"/>
      <c r="J2" s="179"/>
      <c r="K2" s="180"/>
    </row>
    <row r="3" spans="2:11" ht="24" customHeight="1">
      <c r="B3" s="181"/>
      <c r="C3" s="182"/>
      <c r="D3" s="182"/>
      <c r="E3" s="182"/>
      <c r="F3" s="182"/>
      <c r="G3" s="182"/>
      <c r="H3" s="244"/>
      <c r="I3" s="244"/>
      <c r="J3" s="244"/>
      <c r="K3" s="248"/>
    </row>
    <row r="4" spans="2:11" ht="24" customHeight="1">
      <c r="B4" s="54" t="s">
        <v>15</v>
      </c>
      <c r="C4" s="111" t="s">
        <v>6</v>
      </c>
      <c r="D4" s="111" t="s">
        <v>7</v>
      </c>
      <c r="E4" s="111" t="s">
        <v>2</v>
      </c>
      <c r="F4" s="111" t="s">
        <v>8</v>
      </c>
      <c r="G4" s="111" t="s">
        <v>3</v>
      </c>
      <c r="H4" s="111" t="s">
        <v>1</v>
      </c>
      <c r="I4" s="111" t="s">
        <v>5</v>
      </c>
      <c r="J4" s="111" t="s">
        <v>19</v>
      </c>
      <c r="K4" s="112" t="s">
        <v>4</v>
      </c>
    </row>
    <row r="5" spans="2:11" ht="24" customHeight="1">
      <c r="B5" s="54" t="s">
        <v>35</v>
      </c>
      <c r="C5" s="4" t="s">
        <v>10</v>
      </c>
      <c r="D5" s="4" t="s">
        <v>9</v>
      </c>
      <c r="E5" s="4" t="s">
        <v>9</v>
      </c>
      <c r="F5" s="4" t="s">
        <v>11</v>
      </c>
      <c r="G5" s="4" t="s">
        <v>14</v>
      </c>
      <c r="H5" s="4" t="s">
        <v>12</v>
      </c>
      <c r="I5" s="4" t="s">
        <v>12</v>
      </c>
      <c r="J5" s="4" t="s">
        <v>13</v>
      </c>
      <c r="K5" s="50" t="s">
        <v>12</v>
      </c>
    </row>
    <row r="6" spans="2:11" ht="24" customHeight="1">
      <c r="B6" s="56" t="s">
        <v>0</v>
      </c>
      <c r="C6" s="52">
        <v>21.7</v>
      </c>
      <c r="D6" s="53">
        <v>1.93</v>
      </c>
      <c r="E6" s="53">
        <v>0.33</v>
      </c>
      <c r="F6" s="53">
        <v>0.51500000000000001</v>
      </c>
      <c r="G6" s="53">
        <v>1.2</v>
      </c>
      <c r="H6" s="53">
        <v>170</v>
      </c>
      <c r="I6" s="53">
        <v>183</v>
      </c>
      <c r="J6" s="53">
        <v>1</v>
      </c>
      <c r="K6" s="57">
        <v>150</v>
      </c>
    </row>
    <row r="7" spans="2:11" ht="24" customHeight="1">
      <c r="B7" s="54" t="s">
        <v>16</v>
      </c>
      <c r="C7" s="40"/>
      <c r="D7" s="32"/>
      <c r="E7" s="32"/>
      <c r="F7" s="32"/>
      <c r="G7" s="32"/>
      <c r="H7" s="32"/>
      <c r="I7" s="32"/>
      <c r="J7" s="33"/>
      <c r="K7" s="58"/>
    </row>
    <row r="8" spans="2:11" ht="24" customHeight="1">
      <c r="B8" s="54" t="s">
        <v>17</v>
      </c>
      <c r="C8" s="40"/>
      <c r="D8" s="32"/>
      <c r="E8" s="32"/>
      <c r="F8" s="32"/>
      <c r="G8" s="32"/>
      <c r="H8" s="32"/>
      <c r="I8" s="32"/>
      <c r="J8" s="33"/>
      <c r="K8" s="58"/>
    </row>
    <row r="9" spans="2:11" ht="24" customHeight="1" thickBot="1">
      <c r="B9" s="59" t="s">
        <v>18</v>
      </c>
      <c r="C9" s="60"/>
      <c r="D9" s="61"/>
      <c r="E9" s="61"/>
      <c r="F9" s="61"/>
      <c r="G9" s="61"/>
      <c r="H9" s="61"/>
      <c r="I9" s="61"/>
      <c r="J9" s="62"/>
      <c r="K9" s="63"/>
    </row>
    <row r="10" spans="2:11" ht="20.149999999999999" customHeight="1"/>
    <row r="11" spans="2:11" ht="20.149999999999999" customHeight="1"/>
    <row r="12" spans="2:11" ht="20.149999999999999" customHeight="1"/>
  </sheetData>
  <mergeCells count="4">
    <mergeCell ref="B2:K2"/>
    <mergeCell ref="H3:I3"/>
    <mergeCell ref="J3:K3"/>
    <mergeCell ref="B3:G3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1:G10"/>
  <sheetViews>
    <sheetView zoomScaleNormal="100" zoomScaleSheetLayoutView="130" workbookViewId="0">
      <selection activeCell="B10" sqref="B10"/>
    </sheetView>
  </sheetViews>
  <sheetFormatPr defaultColWidth="9" defaultRowHeight="24" customHeight="1"/>
  <cols>
    <col min="1" max="1" width="3" style="2" customWidth="1"/>
    <col min="2" max="7" width="9.58203125" style="2" customWidth="1"/>
    <col min="8" max="8" width="3.83203125" style="2" customWidth="1"/>
    <col min="9" max="16384" width="9" style="2"/>
  </cols>
  <sheetData>
    <row r="1" spans="2:7" ht="24" customHeight="1" thickBot="1"/>
    <row r="2" spans="2:7" ht="24" customHeight="1">
      <c r="B2" s="187" t="s">
        <v>114</v>
      </c>
      <c r="C2" s="188"/>
      <c r="D2" s="188"/>
      <c r="E2" s="188"/>
      <c r="F2" s="188"/>
      <c r="G2" s="189"/>
    </row>
    <row r="3" spans="2:7" ht="24" customHeight="1">
      <c r="B3" s="98"/>
      <c r="C3" s="99"/>
      <c r="D3" s="247"/>
      <c r="E3" s="245"/>
      <c r="F3" s="245"/>
      <c r="G3" s="246"/>
    </row>
    <row r="4" spans="2:7" ht="24" customHeight="1">
      <c r="B4" s="185" t="s">
        <v>26</v>
      </c>
      <c r="C4" s="183" t="s">
        <v>194</v>
      </c>
      <c r="D4" s="183"/>
      <c r="E4" s="184" t="s">
        <v>195</v>
      </c>
      <c r="F4" s="184"/>
      <c r="G4" s="50" t="s">
        <v>27</v>
      </c>
    </row>
    <row r="5" spans="2:7" ht="24" customHeight="1">
      <c r="B5" s="186"/>
      <c r="C5" s="68" t="s">
        <v>22</v>
      </c>
      <c r="D5" s="69" t="s">
        <v>23</v>
      </c>
      <c r="E5" s="69" t="s">
        <v>24</v>
      </c>
      <c r="F5" s="69" t="s">
        <v>25</v>
      </c>
      <c r="G5" s="70" t="s">
        <v>28</v>
      </c>
    </row>
    <row r="6" spans="2:7" ht="24" customHeight="1">
      <c r="B6" s="56" t="s">
        <v>0</v>
      </c>
      <c r="C6" s="52">
        <v>33.1</v>
      </c>
      <c r="D6" s="53">
        <v>29.1</v>
      </c>
      <c r="E6" s="53">
        <v>1.6</v>
      </c>
      <c r="F6" s="53">
        <v>17.600000000000001</v>
      </c>
      <c r="G6" s="57">
        <v>6.28</v>
      </c>
    </row>
    <row r="7" spans="2:7" ht="24" customHeight="1">
      <c r="B7" s="54" t="s">
        <v>41</v>
      </c>
      <c r="C7" s="36"/>
      <c r="D7" s="35"/>
      <c r="E7" s="35"/>
      <c r="F7" s="35"/>
      <c r="G7" s="64"/>
    </row>
    <row r="8" spans="2:7" ht="24" customHeight="1">
      <c r="B8" s="54" t="s">
        <v>29</v>
      </c>
      <c r="C8" s="36"/>
      <c r="D8" s="35"/>
      <c r="E8" s="35"/>
      <c r="F8" s="35"/>
      <c r="G8" s="64"/>
    </row>
    <row r="9" spans="2:7" ht="24" customHeight="1">
      <c r="B9" s="54" t="s">
        <v>30</v>
      </c>
      <c r="C9" s="36"/>
      <c r="D9" s="35"/>
      <c r="E9" s="35"/>
      <c r="F9" s="35"/>
      <c r="G9" s="64"/>
    </row>
    <row r="10" spans="2:7" ht="24" customHeight="1" thickBot="1">
      <c r="B10" s="59" t="s">
        <v>31</v>
      </c>
      <c r="C10" s="65">
        <f>C9-C8</f>
        <v>0</v>
      </c>
      <c r="D10" s="66">
        <f t="shared" ref="D10" si="0">D9-D8</f>
        <v>0</v>
      </c>
      <c r="E10" s="66">
        <f>E9-E8</f>
        <v>0</v>
      </c>
      <c r="F10" s="66">
        <f>F9-F8</f>
        <v>0</v>
      </c>
      <c r="G10" s="67">
        <f>G9-G8</f>
        <v>0</v>
      </c>
    </row>
  </sheetData>
  <mergeCells count="6">
    <mergeCell ref="C4:D4"/>
    <mergeCell ref="E4:F4"/>
    <mergeCell ref="B4:B5"/>
    <mergeCell ref="B2:G2"/>
    <mergeCell ref="F3:G3"/>
    <mergeCell ref="D3:E3"/>
  </mergeCells>
  <phoneticPr fontId="1" type="noConversion"/>
  <conditionalFormatting sqref="C10:G10">
    <cfRule type="cellIs" dxfId="24" priority="1" operator="equal">
      <formula>0</formula>
    </cfRule>
    <cfRule type="cellIs" dxfId="23" priority="2" operator="greaterThan">
      <formula>0</formula>
    </cfRule>
    <cfRule type="cellIs" dxfId="22" priority="3" operator="lessThan">
      <formula>0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1:I12"/>
  <sheetViews>
    <sheetView workbookViewId="0">
      <selection activeCell="B11" sqref="B11"/>
    </sheetView>
  </sheetViews>
  <sheetFormatPr defaultColWidth="9" defaultRowHeight="24" customHeight="1"/>
  <cols>
    <col min="1" max="1" width="2.33203125" style="2" customWidth="1"/>
    <col min="2" max="9" width="9.58203125" style="2" customWidth="1"/>
    <col min="10" max="16384" width="9" style="2"/>
  </cols>
  <sheetData>
    <row r="1" spans="2:9" ht="24" customHeight="1" thickBot="1"/>
    <row r="2" spans="2:9" ht="24" customHeight="1">
      <c r="B2" s="190" t="s">
        <v>116</v>
      </c>
      <c r="C2" s="191"/>
      <c r="D2" s="191"/>
      <c r="E2" s="191"/>
      <c r="F2" s="191"/>
      <c r="G2" s="191"/>
      <c r="H2" s="191"/>
      <c r="I2" s="192"/>
    </row>
    <row r="3" spans="2:9" ht="24" customHeight="1">
      <c r="B3" s="100"/>
      <c r="C3" s="101"/>
      <c r="D3" s="101"/>
      <c r="E3" s="101"/>
      <c r="F3" s="245"/>
      <c r="G3" s="245"/>
      <c r="H3" s="245"/>
      <c r="I3" s="246"/>
    </row>
    <row r="4" spans="2:9" ht="24" customHeight="1">
      <c r="B4" s="75" t="s">
        <v>34</v>
      </c>
      <c r="C4" s="5" t="s">
        <v>33</v>
      </c>
      <c r="D4" s="5" t="s">
        <v>36</v>
      </c>
      <c r="E4" s="5" t="s">
        <v>37</v>
      </c>
      <c r="F4" s="5" t="s">
        <v>38</v>
      </c>
      <c r="G4" s="5" t="s">
        <v>39</v>
      </c>
      <c r="H4" s="5" t="s">
        <v>43</v>
      </c>
      <c r="I4" s="16" t="s">
        <v>44</v>
      </c>
    </row>
    <row r="5" spans="2:9" ht="24" customHeight="1">
      <c r="B5" s="54" t="s">
        <v>35</v>
      </c>
      <c r="C5" s="4" t="s">
        <v>32</v>
      </c>
      <c r="D5" s="4" t="s">
        <v>32</v>
      </c>
      <c r="E5" s="4" t="s">
        <v>32</v>
      </c>
      <c r="F5" s="4" t="s">
        <v>32</v>
      </c>
      <c r="G5" s="4" t="s">
        <v>11</v>
      </c>
      <c r="H5" s="4" t="s">
        <v>14</v>
      </c>
      <c r="I5" s="50" t="s">
        <v>12</v>
      </c>
    </row>
    <row r="6" spans="2:9" ht="24" customHeight="1">
      <c r="B6" s="56" t="s">
        <v>40</v>
      </c>
      <c r="C6" s="71" t="s">
        <v>196</v>
      </c>
      <c r="D6" s="37" t="s">
        <v>188</v>
      </c>
      <c r="E6" s="37" t="s">
        <v>189</v>
      </c>
      <c r="F6" s="37" t="s">
        <v>190</v>
      </c>
      <c r="G6" s="37">
        <v>9.5</v>
      </c>
      <c r="H6" s="37" t="s">
        <v>11</v>
      </c>
      <c r="I6" s="76" t="s">
        <v>11</v>
      </c>
    </row>
    <row r="7" spans="2:9" ht="24" customHeight="1">
      <c r="B7" s="54" t="s">
        <v>41</v>
      </c>
      <c r="C7" s="38"/>
      <c r="D7" s="39"/>
      <c r="E7" s="39"/>
      <c r="F7" s="39"/>
      <c r="G7" s="39"/>
      <c r="H7" s="39"/>
      <c r="I7" s="77"/>
    </row>
    <row r="8" spans="2:9" ht="24" customHeight="1">
      <c r="B8" s="54" t="s">
        <v>29</v>
      </c>
      <c r="C8" s="40"/>
      <c r="D8" s="32"/>
      <c r="E8" s="32"/>
      <c r="F8" s="32"/>
      <c r="G8" s="32"/>
      <c r="H8" s="32"/>
      <c r="I8" s="58"/>
    </row>
    <row r="9" spans="2:9" ht="24" customHeight="1">
      <c r="B9" s="54" t="s">
        <v>30</v>
      </c>
      <c r="C9" s="40"/>
      <c r="D9" s="32"/>
      <c r="E9" s="32"/>
      <c r="F9" s="32"/>
      <c r="G9" s="32"/>
      <c r="H9" s="32"/>
      <c r="I9" s="58"/>
    </row>
    <row r="10" spans="2:9" ht="24" customHeight="1">
      <c r="B10" s="78" t="s">
        <v>42</v>
      </c>
      <c r="C10" s="41"/>
      <c r="D10" s="42"/>
      <c r="E10" s="42"/>
      <c r="F10" s="42"/>
      <c r="G10" s="42"/>
      <c r="H10" s="42"/>
      <c r="I10" s="79"/>
    </row>
    <row r="11" spans="2:9" ht="24" customHeight="1" thickBot="1">
      <c r="B11" s="59" t="s">
        <v>50</v>
      </c>
      <c r="C11" s="193" t="s">
        <v>191</v>
      </c>
      <c r="D11" s="194"/>
      <c r="E11" s="194"/>
      <c r="F11" s="194"/>
      <c r="G11" s="194"/>
      <c r="H11" s="194"/>
      <c r="I11" s="195"/>
    </row>
    <row r="12" spans="2:9" ht="24" customHeight="1">
      <c r="B12" s="1"/>
      <c r="C12" s="1"/>
      <c r="D12" s="1"/>
      <c r="E12" s="1"/>
      <c r="F12" s="1"/>
      <c r="G12" s="1"/>
    </row>
  </sheetData>
  <mergeCells count="4">
    <mergeCell ref="B2:I2"/>
    <mergeCell ref="C11:I11"/>
    <mergeCell ref="F3:G3"/>
    <mergeCell ref="H3:I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1:J10"/>
  <sheetViews>
    <sheetView zoomScaleNormal="100" workbookViewId="0">
      <selection activeCell="B10" sqref="B10"/>
    </sheetView>
  </sheetViews>
  <sheetFormatPr defaultColWidth="9.58203125" defaultRowHeight="24" customHeight="1"/>
  <cols>
    <col min="1" max="1" width="2.6640625" style="2" customWidth="1"/>
    <col min="2" max="16384" width="9.58203125" style="2"/>
  </cols>
  <sheetData>
    <row r="1" spans="2:10" ht="24" customHeight="1" thickBot="1"/>
    <row r="2" spans="2:10" ht="24" customHeight="1">
      <c r="B2" s="200" t="s">
        <v>117</v>
      </c>
      <c r="C2" s="201"/>
      <c r="D2" s="201"/>
      <c r="E2" s="201"/>
      <c r="F2" s="201"/>
      <c r="G2" s="201"/>
      <c r="H2" s="201"/>
      <c r="I2" s="201"/>
      <c r="J2" s="202"/>
    </row>
    <row r="3" spans="2:10" ht="24" customHeight="1">
      <c r="B3" s="204"/>
      <c r="C3" s="203"/>
      <c r="D3" s="203"/>
      <c r="E3" s="203"/>
      <c r="F3" s="203"/>
      <c r="G3" s="249"/>
      <c r="H3" s="249"/>
      <c r="I3" s="249"/>
      <c r="J3" s="250"/>
    </row>
    <row r="4" spans="2:10" ht="24" customHeight="1">
      <c r="B4" s="185" t="s">
        <v>15</v>
      </c>
      <c r="C4" s="196" t="s">
        <v>108</v>
      </c>
      <c r="D4" s="196"/>
      <c r="E4" s="196"/>
      <c r="F4" s="196"/>
      <c r="G4" s="196" t="s">
        <v>109</v>
      </c>
      <c r="H4" s="196"/>
      <c r="I4" s="196"/>
      <c r="J4" s="197"/>
    </row>
    <row r="5" spans="2:10" ht="24" customHeight="1">
      <c r="B5" s="186"/>
      <c r="C5" s="4" t="s">
        <v>20</v>
      </c>
      <c r="D5" s="4" t="s">
        <v>46</v>
      </c>
      <c r="E5" s="4" t="s">
        <v>47</v>
      </c>
      <c r="F5" s="4" t="s">
        <v>48</v>
      </c>
      <c r="G5" s="4" t="s">
        <v>20</v>
      </c>
      <c r="H5" s="4" t="s">
        <v>46</v>
      </c>
      <c r="I5" s="4" t="s">
        <v>47</v>
      </c>
      <c r="J5" s="50" t="s">
        <v>48</v>
      </c>
    </row>
    <row r="6" spans="2:10" ht="24" customHeight="1">
      <c r="B6" s="54" t="s">
        <v>197</v>
      </c>
      <c r="C6" s="4" t="s">
        <v>45</v>
      </c>
      <c r="D6" s="4" t="s">
        <v>45</v>
      </c>
      <c r="E6" s="4" t="s">
        <v>45</v>
      </c>
      <c r="F6" s="4" t="s">
        <v>45</v>
      </c>
      <c r="G6" s="4" t="s">
        <v>45</v>
      </c>
      <c r="H6" s="4" t="s">
        <v>45</v>
      </c>
      <c r="I6" s="4" t="s">
        <v>45</v>
      </c>
      <c r="J6" s="50" t="s">
        <v>45</v>
      </c>
    </row>
    <row r="7" spans="2:10" ht="24" customHeight="1">
      <c r="B7" s="54" t="s">
        <v>51</v>
      </c>
      <c r="C7" s="43"/>
      <c r="D7" s="44"/>
      <c r="E7" s="44">
        <f>C7+D7</f>
        <v>0</v>
      </c>
      <c r="F7" s="44">
        <f>100-E7</f>
        <v>100</v>
      </c>
      <c r="G7" s="44"/>
      <c r="H7" s="44"/>
      <c r="I7" s="44">
        <f>G7+H7</f>
        <v>0</v>
      </c>
      <c r="J7" s="72">
        <f>100-I7</f>
        <v>100</v>
      </c>
    </row>
    <row r="8" spans="2:10" ht="24" customHeight="1">
      <c r="B8" s="54" t="s">
        <v>52</v>
      </c>
      <c r="C8" s="45"/>
      <c r="D8" s="40"/>
      <c r="E8" s="40">
        <f t="shared" ref="E8:E9" si="0">C8+D8</f>
        <v>0</v>
      </c>
      <c r="F8" s="40">
        <f t="shared" ref="F8:F9" si="1">100-E8</f>
        <v>100</v>
      </c>
      <c r="G8" s="40"/>
      <c r="H8" s="40"/>
      <c r="I8" s="40">
        <f t="shared" ref="I8:I9" si="2">G8+H8</f>
        <v>0</v>
      </c>
      <c r="J8" s="73">
        <f t="shared" ref="J8:J9" si="3">100-I8</f>
        <v>100</v>
      </c>
    </row>
    <row r="9" spans="2:10" ht="24" customHeight="1">
      <c r="B9" s="54" t="s">
        <v>110</v>
      </c>
      <c r="C9" s="46"/>
      <c r="D9" s="47"/>
      <c r="E9" s="47">
        <f t="shared" si="0"/>
        <v>0</v>
      </c>
      <c r="F9" s="47">
        <f t="shared" si="1"/>
        <v>100</v>
      </c>
      <c r="G9" s="47"/>
      <c r="H9" s="47"/>
      <c r="I9" s="47">
        <f t="shared" si="2"/>
        <v>0</v>
      </c>
      <c r="J9" s="74">
        <f t="shared" si="3"/>
        <v>100</v>
      </c>
    </row>
    <row r="10" spans="2:10" ht="24" customHeight="1" thickBot="1">
      <c r="B10" s="59" t="s">
        <v>192</v>
      </c>
      <c r="C10" s="198"/>
      <c r="D10" s="198"/>
      <c r="E10" s="198"/>
      <c r="F10" s="198"/>
      <c r="G10" s="198"/>
      <c r="H10" s="198"/>
      <c r="I10" s="198"/>
      <c r="J10" s="199"/>
    </row>
  </sheetData>
  <mergeCells count="8">
    <mergeCell ref="C4:F4"/>
    <mergeCell ref="G4:J4"/>
    <mergeCell ref="C10:J10"/>
    <mergeCell ref="B2:J2"/>
    <mergeCell ref="B4:B5"/>
    <mergeCell ref="G3:H3"/>
    <mergeCell ref="I3:J3"/>
    <mergeCell ref="B3:F3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1:F11"/>
  <sheetViews>
    <sheetView zoomScaleNormal="100" workbookViewId="0">
      <selection activeCell="B8" sqref="B8"/>
    </sheetView>
  </sheetViews>
  <sheetFormatPr defaultColWidth="9" defaultRowHeight="24" customHeight="1"/>
  <cols>
    <col min="1" max="1" width="2.58203125" style="1" customWidth="1"/>
    <col min="2" max="6" width="9.58203125" style="1" customWidth="1"/>
    <col min="7" max="7" width="12.58203125" style="1" customWidth="1"/>
    <col min="8" max="22" width="9" style="1"/>
    <col min="23" max="23" width="8.6640625" style="1" bestFit="1" customWidth="1"/>
    <col min="24" max="16384" width="9" style="1"/>
  </cols>
  <sheetData>
    <row r="1" spans="2:6" ht="24" customHeight="1" thickBot="1"/>
    <row r="2" spans="2:6" ht="24" customHeight="1">
      <c r="B2" s="190" t="s">
        <v>118</v>
      </c>
      <c r="C2" s="191"/>
      <c r="D2" s="191"/>
      <c r="E2" s="191"/>
      <c r="F2" s="192"/>
    </row>
    <row r="3" spans="2:6" ht="24" customHeight="1">
      <c r="B3" s="102"/>
      <c r="C3" s="245"/>
      <c r="D3" s="245"/>
      <c r="E3" s="245"/>
      <c r="F3" s="246"/>
    </row>
    <row r="4" spans="2:6" ht="24" customHeight="1">
      <c r="B4" s="206" t="s">
        <v>15</v>
      </c>
      <c r="C4" s="5" t="s">
        <v>49</v>
      </c>
      <c r="D4" s="5" t="s">
        <v>21</v>
      </c>
      <c r="E4" s="5" t="s">
        <v>31</v>
      </c>
      <c r="F4" s="207" t="s">
        <v>50</v>
      </c>
    </row>
    <row r="5" spans="2:6" ht="24" customHeight="1">
      <c r="B5" s="206"/>
      <c r="C5" s="5" t="s">
        <v>45</v>
      </c>
      <c r="D5" s="5" t="s">
        <v>45</v>
      </c>
      <c r="E5" s="5" t="s">
        <v>45</v>
      </c>
      <c r="F5" s="207"/>
    </row>
    <row r="6" spans="2:6" ht="24" customHeight="1">
      <c r="B6" s="75" t="s">
        <v>51</v>
      </c>
      <c r="C6" s="113"/>
      <c r="D6" s="113"/>
      <c r="E6" s="113">
        <f>C6-D6</f>
        <v>0</v>
      </c>
      <c r="F6" s="16"/>
    </row>
    <row r="7" spans="2:6" ht="24" customHeight="1">
      <c r="B7" s="75" t="s">
        <v>52</v>
      </c>
      <c r="C7" s="113"/>
      <c r="D7" s="113"/>
      <c r="E7" s="113">
        <f>C7-D7</f>
        <v>0</v>
      </c>
      <c r="F7" s="16"/>
    </row>
    <row r="8" spans="2:6" ht="24" customHeight="1" thickBot="1">
      <c r="B8" s="87" t="s">
        <v>53</v>
      </c>
      <c r="C8" s="114"/>
      <c r="D8" s="114"/>
      <c r="E8" s="114">
        <f>C8-D8</f>
        <v>0</v>
      </c>
      <c r="F8" s="115"/>
    </row>
    <row r="11" spans="2:6" ht="24" customHeight="1">
      <c r="D11" s="205"/>
      <c r="E11" s="205"/>
      <c r="F11" s="205"/>
    </row>
  </sheetData>
  <mergeCells count="6">
    <mergeCell ref="D11:F11"/>
    <mergeCell ref="B4:B5"/>
    <mergeCell ref="F4:F5"/>
    <mergeCell ref="B2:F2"/>
    <mergeCell ref="C3:D3"/>
    <mergeCell ref="E3:F3"/>
  </mergeCells>
  <phoneticPr fontId="1" type="noConversion"/>
  <conditionalFormatting sqref="E6:E8">
    <cfRule type="cellIs" dxfId="21" priority="1" operator="greaterThan">
      <formula>0</formula>
    </cfRule>
    <cfRule type="cellIs" dxfId="20" priority="2" operator="lessThan">
      <formula>0</formula>
    </cfRule>
    <cfRule type="cellIs" dxfId="19" priority="3" operator="equal">
      <formula>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1:E8"/>
  <sheetViews>
    <sheetView zoomScaleNormal="100" workbookViewId="0">
      <selection activeCell="B7" sqref="B7"/>
    </sheetView>
  </sheetViews>
  <sheetFormatPr defaultColWidth="9" defaultRowHeight="13"/>
  <cols>
    <col min="1" max="1" width="2" style="2" customWidth="1"/>
    <col min="2" max="6" width="9.58203125" style="2" customWidth="1"/>
    <col min="7" max="16384" width="9" style="2"/>
  </cols>
  <sheetData>
    <row r="1" spans="2:5" ht="24" customHeight="1" thickBot="1"/>
    <row r="2" spans="2:5" ht="24" customHeight="1">
      <c r="B2" s="190" t="s">
        <v>119</v>
      </c>
      <c r="C2" s="191"/>
      <c r="D2" s="191"/>
      <c r="E2" s="192"/>
    </row>
    <row r="3" spans="2:5" ht="24" customHeight="1">
      <c r="B3" s="251"/>
      <c r="C3" s="252"/>
      <c r="D3" s="252"/>
      <c r="E3" s="253"/>
    </row>
    <row r="4" spans="2:5" ht="24" customHeight="1">
      <c r="B4" s="80" t="s">
        <v>193</v>
      </c>
      <c r="C4" s="4" t="s">
        <v>41</v>
      </c>
      <c r="D4" s="4" t="s">
        <v>29</v>
      </c>
      <c r="E4" s="50" t="s">
        <v>30</v>
      </c>
    </row>
    <row r="5" spans="2:5" ht="24" customHeight="1">
      <c r="B5" s="81" t="s">
        <v>199</v>
      </c>
      <c r="C5" s="38"/>
      <c r="D5" s="39"/>
      <c r="E5" s="77"/>
    </row>
    <row r="6" spans="2:5" ht="24" customHeight="1">
      <c r="B6" s="80" t="s">
        <v>198</v>
      </c>
      <c r="C6" s="47"/>
      <c r="D6" s="34"/>
      <c r="E6" s="82"/>
    </row>
    <row r="7" spans="2:5" ht="24" customHeight="1" thickBot="1">
      <c r="B7" s="59" t="s">
        <v>192</v>
      </c>
      <c r="C7" s="208"/>
      <c r="D7" s="208"/>
      <c r="E7" s="209"/>
    </row>
    <row r="8" spans="2:5" ht="24" customHeight="1"/>
  </sheetData>
  <mergeCells count="4">
    <mergeCell ref="C7:E7"/>
    <mergeCell ref="B2:E2"/>
    <mergeCell ref="B3:C3"/>
    <mergeCell ref="D3:E3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1:M21"/>
  <sheetViews>
    <sheetView zoomScale="85" zoomScaleNormal="85" workbookViewId="0">
      <selection activeCell="B20" sqref="B20"/>
    </sheetView>
  </sheetViews>
  <sheetFormatPr defaultColWidth="9" defaultRowHeight="24" customHeight="1"/>
  <cols>
    <col min="1" max="1" width="1.83203125" style="2" customWidth="1"/>
    <col min="2" max="13" width="9.58203125" style="2" customWidth="1"/>
    <col min="14" max="16384" width="9" style="2"/>
  </cols>
  <sheetData>
    <row r="1" spans="2:13" ht="24" customHeight="1" thickBot="1"/>
    <row r="2" spans="2:13" ht="24" customHeight="1">
      <c r="B2" s="190" t="s">
        <v>120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2"/>
    </row>
    <row r="3" spans="2:13" ht="24" customHeight="1">
      <c r="B3" s="219"/>
      <c r="C3" s="220"/>
      <c r="D3" s="220"/>
      <c r="E3" s="220"/>
      <c r="F3" s="220"/>
      <c r="G3" s="220"/>
      <c r="H3" s="220"/>
      <c r="I3" s="221"/>
      <c r="J3" s="254"/>
      <c r="K3" s="255"/>
      <c r="L3" s="254"/>
      <c r="M3" s="256"/>
    </row>
    <row r="4" spans="2:13" ht="24" customHeight="1">
      <c r="B4" s="213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5"/>
    </row>
    <row r="5" spans="2:13" ht="24" customHeight="1">
      <c r="B5" s="206" t="s">
        <v>83</v>
      </c>
      <c r="C5" s="216"/>
      <c r="D5" s="96"/>
      <c r="E5" s="96"/>
      <c r="F5" s="96"/>
      <c r="G5" s="96"/>
      <c r="H5" s="96"/>
      <c r="I5" s="96"/>
      <c r="J5" s="96"/>
      <c r="K5" s="183" t="s">
        <v>93</v>
      </c>
      <c r="L5" s="183" t="s">
        <v>92</v>
      </c>
      <c r="M5" s="217" t="s">
        <v>94</v>
      </c>
    </row>
    <row r="6" spans="2:13" ht="24" customHeight="1">
      <c r="B6" s="206" t="s">
        <v>84</v>
      </c>
      <c r="C6" s="216"/>
      <c r="D6" s="5" t="s">
        <v>88</v>
      </c>
      <c r="E6" s="5" t="s">
        <v>89</v>
      </c>
      <c r="F6" s="5" t="s">
        <v>90</v>
      </c>
      <c r="G6" s="5" t="s">
        <v>91</v>
      </c>
      <c r="H6" s="5" t="s">
        <v>85</v>
      </c>
      <c r="I6" s="5" t="s">
        <v>86</v>
      </c>
      <c r="J6" s="5" t="s">
        <v>87</v>
      </c>
      <c r="K6" s="216"/>
      <c r="L6" s="216"/>
      <c r="M6" s="218"/>
    </row>
    <row r="7" spans="2:13" ht="24" customHeight="1">
      <c r="B7" s="210" t="s">
        <v>95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2"/>
    </row>
    <row r="8" spans="2:13" ht="24" customHeight="1">
      <c r="B8" s="75" t="s">
        <v>20</v>
      </c>
      <c r="C8" s="5" t="s">
        <v>45</v>
      </c>
      <c r="D8" s="83"/>
      <c r="E8" s="83"/>
      <c r="F8" s="83"/>
      <c r="G8" s="83"/>
      <c r="H8" s="83"/>
      <c r="I8" s="83"/>
      <c r="J8" s="83"/>
      <c r="K8" s="83"/>
      <c r="L8" s="83"/>
      <c r="M8" s="85">
        <f>L8-K8</f>
        <v>0</v>
      </c>
    </row>
    <row r="9" spans="2:13" ht="24" customHeight="1">
      <c r="B9" s="105" t="s">
        <v>67</v>
      </c>
      <c r="C9" s="31" t="s">
        <v>59</v>
      </c>
      <c r="D9" s="84"/>
      <c r="E9" s="84"/>
      <c r="F9" s="84"/>
      <c r="G9" s="84"/>
      <c r="H9" s="84"/>
      <c r="I9" s="84"/>
      <c r="J9" s="84"/>
      <c r="K9" s="84"/>
      <c r="L9" s="84"/>
      <c r="M9" s="85">
        <f>L9-K9</f>
        <v>0</v>
      </c>
    </row>
    <row r="10" spans="2:13" ht="24" customHeight="1">
      <c r="B10" s="75" t="s">
        <v>39</v>
      </c>
      <c r="C10" s="5" t="s">
        <v>11</v>
      </c>
      <c r="D10" s="83"/>
      <c r="E10" s="83"/>
      <c r="F10" s="83"/>
      <c r="G10" s="83"/>
      <c r="H10" s="83"/>
      <c r="I10" s="83"/>
      <c r="J10" s="83"/>
      <c r="K10" s="83"/>
      <c r="L10" s="83"/>
      <c r="M10" s="85">
        <f>L10-K10</f>
        <v>0</v>
      </c>
    </row>
    <row r="11" spans="2:13" ht="24" customHeight="1">
      <c r="B11" s="210" t="s">
        <v>96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2"/>
    </row>
    <row r="12" spans="2:13" ht="24" customHeight="1">
      <c r="B12" s="75" t="s">
        <v>20</v>
      </c>
      <c r="C12" s="5" t="s">
        <v>45</v>
      </c>
      <c r="D12" s="83"/>
      <c r="E12" s="83"/>
      <c r="F12" s="83"/>
      <c r="G12" s="83"/>
      <c r="H12" s="83"/>
      <c r="I12" s="83"/>
      <c r="J12" s="83"/>
      <c r="K12" s="83"/>
      <c r="L12" s="83"/>
      <c r="M12" s="85">
        <f>L12-K12</f>
        <v>0</v>
      </c>
    </row>
    <row r="13" spans="2:13" ht="24" customHeight="1">
      <c r="B13" s="86" t="s">
        <v>46</v>
      </c>
      <c r="C13" s="31" t="s">
        <v>45</v>
      </c>
      <c r="D13" s="84"/>
      <c r="E13" s="84"/>
      <c r="F13" s="84"/>
      <c r="G13" s="84"/>
      <c r="H13" s="84"/>
      <c r="I13" s="84"/>
      <c r="J13" s="84"/>
      <c r="K13" s="84"/>
      <c r="L13" s="84"/>
      <c r="M13" s="85">
        <f>L13-K13</f>
        <v>0</v>
      </c>
    </row>
    <row r="14" spans="2:13" ht="24" customHeight="1">
      <c r="B14" s="75" t="s">
        <v>47</v>
      </c>
      <c r="C14" s="5" t="s">
        <v>45</v>
      </c>
      <c r="D14" s="83"/>
      <c r="E14" s="83"/>
      <c r="F14" s="83"/>
      <c r="G14" s="83"/>
      <c r="H14" s="83"/>
      <c r="I14" s="83"/>
      <c r="J14" s="83"/>
      <c r="K14" s="83"/>
      <c r="L14" s="83"/>
      <c r="M14" s="85">
        <f>L14-K14</f>
        <v>0</v>
      </c>
    </row>
    <row r="15" spans="2:13" ht="24" customHeight="1">
      <c r="B15" s="86" t="s">
        <v>48</v>
      </c>
      <c r="C15" s="31" t="s">
        <v>45</v>
      </c>
      <c r="D15" s="84"/>
      <c r="E15" s="84"/>
      <c r="F15" s="84"/>
      <c r="G15" s="84"/>
      <c r="H15" s="84"/>
      <c r="I15" s="84"/>
      <c r="J15" s="84"/>
      <c r="K15" s="84"/>
      <c r="L15" s="84"/>
      <c r="M15" s="85">
        <f>L15-K15</f>
        <v>0</v>
      </c>
    </row>
    <row r="16" spans="2:13" ht="24" customHeight="1">
      <c r="B16" s="210" t="s">
        <v>112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2"/>
    </row>
    <row r="17" spans="2:13" ht="24" customHeight="1">
      <c r="B17" s="86" t="s">
        <v>183</v>
      </c>
      <c r="C17" s="31" t="s">
        <v>184</v>
      </c>
      <c r="D17" s="84"/>
      <c r="E17" s="84"/>
      <c r="F17" s="84"/>
      <c r="G17" s="84"/>
      <c r="H17" s="84"/>
      <c r="I17" s="84"/>
      <c r="J17" s="84"/>
      <c r="K17" s="84"/>
      <c r="L17" s="84"/>
      <c r="M17" s="85">
        <f>L17-K17</f>
        <v>0</v>
      </c>
    </row>
    <row r="18" spans="2:13" ht="24" customHeight="1">
      <c r="B18" s="75" t="s">
        <v>98</v>
      </c>
      <c r="C18" s="5" t="s">
        <v>80</v>
      </c>
      <c r="D18" s="83"/>
      <c r="E18" s="83"/>
      <c r="F18" s="83"/>
      <c r="G18" s="83"/>
      <c r="H18" s="83"/>
      <c r="I18" s="83"/>
      <c r="J18" s="83"/>
      <c r="K18" s="83"/>
      <c r="L18" s="83"/>
      <c r="M18" s="85">
        <f>L18-K18</f>
        <v>0</v>
      </c>
    </row>
    <row r="19" spans="2:13" ht="24" customHeight="1">
      <c r="B19" s="210" t="s">
        <v>113</v>
      </c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2"/>
    </row>
    <row r="20" spans="2:13" ht="24" customHeight="1" thickBot="1">
      <c r="B20" s="87" t="s">
        <v>20</v>
      </c>
      <c r="C20" s="88" t="s">
        <v>45</v>
      </c>
      <c r="D20" s="89"/>
      <c r="E20" s="89"/>
      <c r="F20" s="89"/>
      <c r="G20" s="89"/>
      <c r="H20" s="89"/>
      <c r="I20" s="89"/>
      <c r="J20" s="89"/>
      <c r="K20" s="89"/>
      <c r="L20" s="89"/>
      <c r="M20" s="90">
        <f>L20-K20</f>
        <v>0</v>
      </c>
    </row>
    <row r="21" spans="2:13" ht="24" customHeight="1">
      <c r="D21" s="1"/>
    </row>
  </sheetData>
  <mergeCells count="14">
    <mergeCell ref="B7:M7"/>
    <mergeCell ref="B11:M11"/>
    <mergeCell ref="B16:M16"/>
    <mergeCell ref="B19:M19"/>
    <mergeCell ref="B2:M2"/>
    <mergeCell ref="B4:M4"/>
    <mergeCell ref="B5:C5"/>
    <mergeCell ref="K5:K6"/>
    <mergeCell ref="L5:L6"/>
    <mergeCell ref="M5:M6"/>
    <mergeCell ref="B6:C6"/>
    <mergeCell ref="J3:K3"/>
    <mergeCell ref="L3:M3"/>
    <mergeCell ref="B3:I3"/>
  </mergeCells>
  <phoneticPr fontId="1" type="noConversion"/>
  <conditionalFormatting sqref="M8:M10">
    <cfRule type="cellIs" dxfId="18" priority="29" operator="lessThan">
      <formula>0</formula>
    </cfRule>
    <cfRule type="cellIs" dxfId="17" priority="51" operator="equal">
      <formula>0</formula>
    </cfRule>
    <cfRule type="cellIs" dxfId="16" priority="52" operator="lessThan">
      <formula>0</formula>
    </cfRule>
    <cfRule type="cellIs" dxfId="15" priority="53" operator="greaterThan">
      <formula>0</formula>
    </cfRule>
  </conditionalFormatting>
  <conditionalFormatting sqref="M12:M15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lessThan">
      <formula>0</formula>
    </cfRule>
    <cfRule type="cellIs" dxfId="11" priority="16" operator="greaterThan">
      <formula>0</formula>
    </cfRule>
  </conditionalFormatting>
  <conditionalFormatting sqref="M17:M18">
    <cfRule type="cellIs" dxfId="10" priority="5" operator="lessThan">
      <formula>0</formula>
    </cfRule>
    <cfRule type="cellIs" dxfId="9" priority="6" operator="equal">
      <formula>0</formula>
    </cfRule>
    <cfRule type="cellIs" dxfId="8" priority="7" operator="lessThan">
      <formula>0</formula>
    </cfRule>
    <cfRule type="cellIs" dxfId="7" priority="8" operator="greaterThan">
      <formula>0</formula>
    </cfRule>
  </conditionalFormatting>
  <conditionalFormatting sqref="M20">
    <cfRule type="cellIs" dxfId="6" priority="1" operator="lessThan">
      <formula>0</formula>
    </cfRule>
    <cfRule type="cellIs" dxfId="5" priority="2" operator="equal">
      <formula>0</formula>
    </cfRule>
    <cfRule type="cellIs" dxfId="4" priority="3" operator="lessThan">
      <formula>0</formula>
    </cfRule>
    <cfRule type="cellIs" dxfId="3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1:G14"/>
  <sheetViews>
    <sheetView zoomScaleNormal="100" workbookViewId="0">
      <selection activeCell="B14" sqref="B14"/>
    </sheetView>
  </sheetViews>
  <sheetFormatPr defaultColWidth="9" defaultRowHeight="24" customHeight="1"/>
  <cols>
    <col min="1" max="1" width="1.33203125" style="2" customWidth="1"/>
    <col min="2" max="7" width="9.58203125" style="2" customWidth="1"/>
    <col min="8" max="16384" width="9" style="2"/>
  </cols>
  <sheetData>
    <row r="1" spans="2:7" ht="24" customHeight="1" thickBot="1"/>
    <row r="2" spans="2:7" ht="24" customHeight="1">
      <c r="B2" s="190" t="s">
        <v>121</v>
      </c>
      <c r="C2" s="191"/>
      <c r="D2" s="191"/>
      <c r="E2" s="191"/>
      <c r="F2" s="191"/>
      <c r="G2" s="192"/>
    </row>
    <row r="3" spans="2:7" ht="24" customHeight="1">
      <c r="B3" s="181"/>
      <c r="C3" s="182"/>
      <c r="D3" s="244"/>
      <c r="E3" s="244"/>
      <c r="F3" s="244"/>
      <c r="G3" s="248"/>
    </row>
    <row r="4" spans="2:7" ht="24" customHeight="1">
      <c r="B4" s="222" t="s">
        <v>64</v>
      </c>
      <c r="C4" s="223"/>
      <c r="D4" s="223"/>
      <c r="E4" s="223"/>
      <c r="F4" s="223"/>
      <c r="G4" s="224"/>
    </row>
    <row r="5" spans="2:7" ht="24" customHeight="1">
      <c r="B5" s="116" t="s">
        <v>34</v>
      </c>
      <c r="C5" s="117" t="s">
        <v>55</v>
      </c>
      <c r="D5" s="117" t="s">
        <v>56</v>
      </c>
      <c r="E5" s="117" t="s">
        <v>57</v>
      </c>
      <c r="F5" s="117" t="s">
        <v>58</v>
      </c>
      <c r="G5" s="118" t="s">
        <v>60</v>
      </c>
    </row>
    <row r="6" spans="2:7" ht="24" customHeight="1">
      <c r="B6" s="75" t="s">
        <v>35</v>
      </c>
      <c r="C6" s="5" t="s">
        <v>9</v>
      </c>
      <c r="D6" s="5" t="s">
        <v>9</v>
      </c>
      <c r="E6" s="5" t="s">
        <v>11</v>
      </c>
      <c r="F6" s="5" t="s">
        <v>59</v>
      </c>
      <c r="G6" s="16" t="s">
        <v>61</v>
      </c>
    </row>
    <row r="7" spans="2:7" ht="24" customHeight="1">
      <c r="B7" s="75" t="s">
        <v>54</v>
      </c>
      <c r="C7" s="48">
        <v>0.16600000000000001</v>
      </c>
      <c r="D7" s="48">
        <v>0.04</v>
      </c>
      <c r="E7" s="49">
        <f>C7/D7</f>
        <v>4.1500000000000004</v>
      </c>
      <c r="F7" s="48">
        <v>1.17</v>
      </c>
      <c r="G7" s="51" t="s">
        <v>62</v>
      </c>
    </row>
    <row r="8" spans="2:7" ht="24" customHeight="1">
      <c r="B8" s="75" t="s">
        <v>111</v>
      </c>
      <c r="C8" s="119"/>
      <c r="D8" s="120"/>
      <c r="E8" s="120"/>
      <c r="F8" s="120"/>
      <c r="G8" s="121"/>
    </row>
    <row r="9" spans="2:7" ht="24" customHeight="1">
      <c r="B9" s="75" t="s">
        <v>63</v>
      </c>
      <c r="C9" s="122"/>
      <c r="D9" s="123"/>
      <c r="E9" s="123"/>
      <c r="F9" s="123"/>
      <c r="G9" s="124"/>
    </row>
    <row r="10" spans="2:7" ht="24" customHeight="1">
      <c r="B10" s="225" t="s">
        <v>65</v>
      </c>
      <c r="C10" s="226"/>
      <c r="D10" s="226"/>
      <c r="E10" s="226"/>
      <c r="F10" s="227"/>
      <c r="G10" s="228"/>
    </row>
    <row r="11" spans="2:7" ht="24" customHeight="1">
      <c r="B11" s="75" t="s">
        <v>34</v>
      </c>
      <c r="C11" s="125" t="s">
        <v>20</v>
      </c>
      <c r="D11" s="96" t="s">
        <v>67</v>
      </c>
      <c r="E11" s="5" t="s">
        <v>66</v>
      </c>
      <c r="F11" s="126"/>
      <c r="G11" s="127"/>
    </row>
    <row r="12" spans="2:7" ht="24" customHeight="1">
      <c r="B12" s="75" t="s">
        <v>35</v>
      </c>
      <c r="C12" s="5" t="s">
        <v>45</v>
      </c>
      <c r="D12" s="5" t="s">
        <v>59</v>
      </c>
      <c r="E12" s="5" t="s">
        <v>59</v>
      </c>
      <c r="F12" s="126"/>
      <c r="G12" s="127"/>
    </row>
    <row r="13" spans="2:7" ht="24" customHeight="1">
      <c r="B13" s="128" t="s">
        <v>29</v>
      </c>
      <c r="C13" s="129"/>
      <c r="D13" s="120"/>
      <c r="E13" s="130"/>
      <c r="F13" s="131"/>
      <c r="G13" s="132"/>
    </row>
    <row r="14" spans="2:7" ht="24" customHeight="1" thickBot="1">
      <c r="B14" s="133" t="s">
        <v>30</v>
      </c>
      <c r="C14" s="134"/>
      <c r="D14" s="134"/>
      <c r="E14" s="135"/>
      <c r="F14" s="136"/>
      <c r="G14" s="137"/>
    </row>
  </sheetData>
  <mergeCells count="6">
    <mergeCell ref="B2:G2"/>
    <mergeCell ref="B4:G4"/>
    <mergeCell ref="B10:G10"/>
    <mergeCell ref="D3:E3"/>
    <mergeCell ref="F3:G3"/>
    <mergeCell ref="B3:C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1:E13"/>
  <sheetViews>
    <sheetView zoomScaleNormal="100" workbookViewId="0">
      <selection activeCell="B13" sqref="B13"/>
    </sheetView>
  </sheetViews>
  <sheetFormatPr defaultColWidth="9" defaultRowHeight="24" customHeight="1"/>
  <cols>
    <col min="1" max="1" width="2.25" style="1" customWidth="1"/>
    <col min="2" max="5" width="9.58203125" style="1" customWidth="1"/>
    <col min="6" max="6" width="12.58203125" style="1" customWidth="1"/>
    <col min="7" max="16384" width="9" style="1"/>
  </cols>
  <sheetData>
    <row r="1" spans="2:5" ht="24" customHeight="1" thickBot="1"/>
    <row r="2" spans="2:5" ht="24" customHeight="1">
      <c r="B2" s="200" t="s">
        <v>122</v>
      </c>
      <c r="C2" s="201"/>
      <c r="D2" s="201"/>
      <c r="E2" s="202"/>
    </row>
    <row r="3" spans="2:5" ht="24" customHeight="1">
      <c r="B3" s="257"/>
      <c r="C3" s="258"/>
      <c r="D3" s="258"/>
      <c r="E3" s="259"/>
    </row>
    <row r="4" spans="2:5" ht="24" customHeight="1">
      <c r="B4" s="229" t="s">
        <v>77</v>
      </c>
      <c r="C4" s="5" t="s">
        <v>76</v>
      </c>
      <c r="D4" s="5" t="s">
        <v>78</v>
      </c>
      <c r="E4" s="207" t="s">
        <v>79</v>
      </c>
    </row>
    <row r="5" spans="2:5" ht="24" customHeight="1">
      <c r="B5" s="230"/>
      <c r="C5" s="5" t="s">
        <v>75</v>
      </c>
      <c r="D5" s="5" t="s">
        <v>11</v>
      </c>
      <c r="E5" s="207"/>
    </row>
    <row r="6" spans="2:5" ht="24" customHeight="1">
      <c r="B6" s="86" t="s">
        <v>73</v>
      </c>
      <c r="C6" s="138"/>
      <c r="D6" s="139"/>
      <c r="E6" s="57">
        <v>301</v>
      </c>
    </row>
    <row r="7" spans="2:5" ht="24" customHeight="1">
      <c r="B7" s="75" t="s">
        <v>74</v>
      </c>
      <c r="C7" s="140"/>
      <c r="D7" s="141"/>
      <c r="E7" s="142">
        <v>301</v>
      </c>
    </row>
    <row r="8" spans="2:5" ht="24" customHeight="1">
      <c r="B8" s="231"/>
      <c r="C8" s="232"/>
      <c r="D8" s="232"/>
      <c r="E8" s="233"/>
    </row>
    <row r="9" spans="2:5" ht="24" customHeight="1">
      <c r="B9" s="229" t="s">
        <v>69</v>
      </c>
      <c r="C9" s="5" t="s">
        <v>97</v>
      </c>
      <c r="D9" s="5" t="s">
        <v>160</v>
      </c>
      <c r="E9" s="16" t="s">
        <v>161</v>
      </c>
    </row>
    <row r="10" spans="2:5" ht="24" customHeight="1">
      <c r="B10" s="230"/>
      <c r="C10" s="5" t="s">
        <v>45</v>
      </c>
      <c r="D10" s="5" t="s">
        <v>59</v>
      </c>
      <c r="E10" s="16" t="s">
        <v>59</v>
      </c>
    </row>
    <row r="11" spans="2:5" ht="24" customHeight="1">
      <c r="B11" s="86" t="s">
        <v>70</v>
      </c>
      <c r="C11" s="138"/>
      <c r="D11" s="139"/>
      <c r="E11" s="143"/>
    </row>
    <row r="12" spans="2:5" ht="24" customHeight="1">
      <c r="B12" s="75" t="s">
        <v>71</v>
      </c>
      <c r="C12" s="144"/>
      <c r="D12" s="145"/>
      <c r="E12" s="146"/>
    </row>
    <row r="13" spans="2:5" ht="24" customHeight="1" thickBot="1">
      <c r="B13" s="87" t="s">
        <v>72</v>
      </c>
      <c r="C13" s="147">
        <f>C12-C11</f>
        <v>0</v>
      </c>
      <c r="D13" s="148">
        <f t="shared" ref="D13:E13" si="0">D12-D11</f>
        <v>0</v>
      </c>
      <c r="E13" s="149">
        <f t="shared" si="0"/>
        <v>0</v>
      </c>
    </row>
  </sheetData>
  <mergeCells count="7">
    <mergeCell ref="B2:E2"/>
    <mergeCell ref="B4:B5"/>
    <mergeCell ref="E4:E5"/>
    <mergeCell ref="B9:B10"/>
    <mergeCell ref="B8:E8"/>
    <mergeCell ref="B3:C3"/>
    <mergeCell ref="D3:E3"/>
  </mergeCells>
  <phoneticPr fontId="1" type="noConversion"/>
  <conditionalFormatting sqref="C13:E13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1:F9"/>
  <sheetViews>
    <sheetView workbookViewId="0">
      <selection activeCell="B9" sqref="B9"/>
    </sheetView>
  </sheetViews>
  <sheetFormatPr defaultRowHeight="24" customHeight="1"/>
  <cols>
    <col min="1" max="1" width="2.58203125" customWidth="1"/>
    <col min="2" max="6" width="9.58203125" customWidth="1"/>
  </cols>
  <sheetData>
    <row r="1" spans="2:6" ht="24" customHeight="1" thickBot="1"/>
    <row r="2" spans="2:6" ht="24" customHeight="1">
      <c r="B2" s="190" t="s">
        <v>123</v>
      </c>
      <c r="C2" s="191"/>
      <c r="D2" s="191"/>
      <c r="E2" s="191"/>
      <c r="F2" s="192"/>
    </row>
    <row r="3" spans="2:6" ht="24" customHeight="1">
      <c r="B3" s="103"/>
      <c r="C3" s="245"/>
      <c r="D3" s="245"/>
      <c r="E3" s="245"/>
      <c r="F3" s="246"/>
    </row>
    <row r="4" spans="2:6" s="1" customFormat="1" ht="24" customHeight="1">
      <c r="B4" s="54" t="s">
        <v>200</v>
      </c>
      <c r="C4" s="234"/>
      <c r="D4" s="234"/>
      <c r="E4" s="234"/>
      <c r="F4" s="91" t="s">
        <v>45</v>
      </c>
    </row>
    <row r="5" spans="2:6" s="1" customFormat="1" ht="24" customHeight="1">
      <c r="B5" s="92" t="s">
        <v>201</v>
      </c>
      <c r="C5" s="234"/>
      <c r="D5" s="234"/>
      <c r="E5" s="234"/>
      <c r="F5" s="93" t="s">
        <v>68</v>
      </c>
    </row>
    <row r="6" spans="2:6" s="3" customFormat="1" ht="27" customHeight="1">
      <c r="B6" s="110" t="s">
        <v>204</v>
      </c>
      <c r="C6" s="6" t="s">
        <v>205</v>
      </c>
      <c r="D6" s="69" t="s">
        <v>206</v>
      </c>
      <c r="E6" s="6" t="s">
        <v>207</v>
      </c>
      <c r="F6" s="55" t="s">
        <v>202</v>
      </c>
    </row>
    <row r="7" spans="2:6" ht="24" customHeight="1">
      <c r="B7" s="75" t="s">
        <v>41</v>
      </c>
      <c r="C7" s="14"/>
      <c r="D7" s="14"/>
      <c r="E7" s="14"/>
      <c r="F7" s="94"/>
    </row>
    <row r="8" spans="2:6" ht="24" customHeight="1">
      <c r="B8" s="75" t="s">
        <v>29</v>
      </c>
      <c r="C8" s="14"/>
      <c r="D8" s="14"/>
      <c r="E8" s="14"/>
      <c r="F8" s="94"/>
    </row>
    <row r="9" spans="2:6" ht="24" customHeight="1" thickBot="1">
      <c r="B9" s="87" t="s">
        <v>30</v>
      </c>
      <c r="C9" s="89"/>
      <c r="D9" s="89"/>
      <c r="E9" s="89"/>
      <c r="F9" s="95"/>
    </row>
  </sheetData>
  <mergeCells count="5">
    <mergeCell ref="C4:E4"/>
    <mergeCell ref="C5:E5"/>
    <mergeCell ref="B2:F2"/>
    <mergeCell ref="C3:D3"/>
    <mergeCell ref="E3:F3"/>
  </mergeCells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1:L11"/>
  <sheetViews>
    <sheetView zoomScaleNormal="100" workbookViewId="0">
      <selection activeCell="B11" sqref="B11"/>
    </sheetView>
  </sheetViews>
  <sheetFormatPr defaultRowHeight="24" customHeight="1"/>
  <cols>
    <col min="1" max="1" width="2.33203125" customWidth="1"/>
    <col min="2" max="12" width="9.58203125" customWidth="1"/>
  </cols>
  <sheetData>
    <row r="1" spans="2:12" ht="24" customHeight="1" thickBot="1"/>
    <row r="2" spans="2:12" ht="24" customHeight="1">
      <c r="B2" s="238" t="s">
        <v>124</v>
      </c>
      <c r="C2" s="239"/>
      <c r="D2" s="239"/>
      <c r="E2" s="239"/>
      <c r="F2" s="239"/>
      <c r="G2" s="239"/>
      <c r="H2" s="239"/>
      <c r="I2" s="239"/>
      <c r="J2" s="239"/>
      <c r="K2" s="239"/>
      <c r="L2" s="240"/>
    </row>
    <row r="3" spans="2:12" ht="24" customHeight="1">
      <c r="B3" s="241"/>
      <c r="C3" s="242"/>
      <c r="D3" s="242"/>
      <c r="E3" s="242"/>
      <c r="F3" s="242"/>
      <c r="G3" s="242"/>
      <c r="H3" s="242"/>
      <c r="I3" s="242"/>
      <c r="J3" s="242"/>
      <c r="K3" s="242"/>
      <c r="L3" s="243"/>
    </row>
    <row r="4" spans="2:12" ht="24" customHeight="1">
      <c r="B4" s="106"/>
      <c r="C4" s="104"/>
      <c r="D4" s="104"/>
      <c r="E4" s="104"/>
      <c r="F4" s="104"/>
      <c r="G4" s="104"/>
      <c r="H4" s="260"/>
      <c r="I4" s="245"/>
      <c r="J4" s="245"/>
      <c r="K4" s="245"/>
      <c r="L4" s="246"/>
    </row>
    <row r="5" spans="2:12" ht="24" customHeight="1">
      <c r="B5" s="185" t="s">
        <v>15</v>
      </c>
      <c r="C5" s="68" t="s">
        <v>99</v>
      </c>
      <c r="D5" s="69" t="s">
        <v>100</v>
      </c>
      <c r="E5" s="69" t="s">
        <v>101</v>
      </c>
      <c r="F5" s="69" t="s">
        <v>102</v>
      </c>
      <c r="G5" s="69" t="s">
        <v>103</v>
      </c>
      <c r="H5" s="69" t="s">
        <v>104</v>
      </c>
      <c r="I5" s="69" t="s">
        <v>185</v>
      </c>
      <c r="J5" s="69" t="s">
        <v>187</v>
      </c>
      <c r="K5" s="69" t="s">
        <v>106</v>
      </c>
      <c r="L5" s="70" t="s">
        <v>105</v>
      </c>
    </row>
    <row r="6" spans="2:12" ht="24" customHeight="1">
      <c r="B6" s="186"/>
      <c r="C6" s="4" t="s">
        <v>81</v>
      </c>
      <c r="D6" s="4" t="s">
        <v>81</v>
      </c>
      <c r="E6" s="4" t="s">
        <v>82</v>
      </c>
      <c r="F6" s="4" t="s">
        <v>82</v>
      </c>
      <c r="G6" s="4" t="s">
        <v>82</v>
      </c>
      <c r="H6" s="4" t="s">
        <v>82</v>
      </c>
      <c r="I6" s="4" t="s">
        <v>82</v>
      </c>
      <c r="J6" s="4" t="s">
        <v>186</v>
      </c>
      <c r="K6" s="4" t="s">
        <v>82</v>
      </c>
      <c r="L6" s="50" t="s">
        <v>82</v>
      </c>
    </row>
    <row r="7" spans="2:12" s="1" customFormat="1" ht="24" customHeight="1">
      <c r="B7" s="97" t="s">
        <v>42</v>
      </c>
      <c r="C7" s="30">
        <v>1.4630000000000001</v>
      </c>
      <c r="D7" s="30">
        <v>0.25</v>
      </c>
      <c r="E7" s="30">
        <v>0.1</v>
      </c>
      <c r="F7" s="30" t="s">
        <v>11</v>
      </c>
      <c r="G7" s="30" t="s">
        <v>11</v>
      </c>
      <c r="H7" s="30" t="s">
        <v>11</v>
      </c>
      <c r="I7" s="30" t="s">
        <v>11</v>
      </c>
      <c r="J7" s="30" t="s">
        <v>11</v>
      </c>
      <c r="K7" s="30">
        <v>3</v>
      </c>
      <c r="L7" s="150">
        <v>0.57499999999999996</v>
      </c>
    </row>
    <row r="8" spans="2:12" s="1" customFormat="1" ht="24" customHeight="1">
      <c r="B8" s="54" t="s">
        <v>182</v>
      </c>
      <c r="C8" s="26"/>
      <c r="D8" s="26"/>
      <c r="E8" s="26"/>
      <c r="F8" s="26"/>
      <c r="G8" s="26"/>
      <c r="H8" s="26"/>
      <c r="I8" s="26"/>
      <c r="J8" s="26"/>
      <c r="K8" s="27"/>
      <c r="L8" s="107"/>
    </row>
    <row r="9" spans="2:12" s="1" customFormat="1" ht="24" customHeight="1">
      <c r="B9" s="97" t="s">
        <v>73</v>
      </c>
      <c r="C9" s="28"/>
      <c r="D9" s="28"/>
      <c r="E9" s="28"/>
      <c r="F9" s="28"/>
      <c r="G9" s="28"/>
      <c r="H9" s="28"/>
      <c r="I9" s="28"/>
      <c r="J9" s="28"/>
      <c r="K9" s="29"/>
      <c r="L9" s="108"/>
    </row>
    <row r="10" spans="2:12" s="1" customFormat="1" ht="24" customHeight="1">
      <c r="B10" s="54" t="s">
        <v>74</v>
      </c>
      <c r="C10" s="26"/>
      <c r="D10" s="26"/>
      <c r="E10" s="26"/>
      <c r="F10" s="26"/>
      <c r="G10" s="26"/>
      <c r="H10" s="26"/>
      <c r="I10" s="26"/>
      <c r="J10" s="26"/>
      <c r="K10" s="27"/>
      <c r="L10" s="107"/>
    </row>
    <row r="11" spans="2:12" ht="24" customHeight="1" thickBot="1">
      <c r="B11" s="109" t="s">
        <v>50</v>
      </c>
      <c r="C11" s="235" t="s">
        <v>203</v>
      </c>
      <c r="D11" s="236"/>
      <c r="E11" s="236"/>
      <c r="F11" s="236"/>
      <c r="G11" s="236"/>
      <c r="H11" s="236"/>
      <c r="I11" s="236"/>
      <c r="J11" s="236"/>
      <c r="K11" s="236"/>
      <c r="L11" s="237"/>
    </row>
  </sheetData>
  <mergeCells count="5">
    <mergeCell ref="C11:L11"/>
    <mergeCell ref="B2:L3"/>
    <mergeCell ref="B5:B6"/>
    <mergeCell ref="K4:L4"/>
    <mergeCell ref="I4:J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</vt:i4>
      </vt:variant>
    </vt:vector>
  </HeadingPairs>
  <TitlesOfParts>
    <vt:vector size="13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2026-05-14T02:33:02Z</dcterms:modified>
</cp:coreProperties>
</file>