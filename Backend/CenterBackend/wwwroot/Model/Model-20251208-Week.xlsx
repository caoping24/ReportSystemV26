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1.xml" ContentType="application/vnd.openxmlformats-officedocument.drawing+xml"/>
  <Override PartName="/xl/comments9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D22834C6-81E3-4527-8F15-DBACB58674E7}" xr6:coauthVersionLast="47" xr6:coauthVersionMax="47" xr10:uidLastSave="{00000000-0000-0000-0000-000000000000}"/>
  <bookViews>
    <workbookView xWindow="-110" yWindow="-110" windowWidth="25820" windowHeight="15500" tabRatio="967" xr2:uid="{00000000-000D-0000-FFFF-FFFF00000000}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definedNames>
    <definedName name="_xlnm.Print_Area" localSheetId="2">第三页反应液分析数据!$A$1:$H$10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6" i="1" l="1"/>
  <c r="J6" i="1"/>
  <c r="J7" i="1"/>
  <c r="J17" i="1"/>
  <c r="J19" i="1"/>
  <c r="J8" i="1"/>
  <c r="J9" i="1"/>
  <c r="J10" i="1"/>
  <c r="J11" i="1"/>
  <c r="J12" i="1"/>
  <c r="J13" i="1"/>
  <c r="J14" i="1"/>
  <c r="J15" i="1"/>
  <c r="J18" i="1"/>
  <c r="J5" i="1"/>
  <c r="M8" i="15"/>
  <c r="G9" i="5" l="1"/>
  <c r="F9" i="5"/>
  <c r="E9" i="5"/>
  <c r="D9" i="5"/>
  <c r="C9" i="5"/>
  <c r="E8" i="7" l="1"/>
  <c r="E7" i="7"/>
  <c r="E6" i="7"/>
  <c r="M20" i="15"/>
  <c r="M18" i="15"/>
  <c r="M14" i="15"/>
  <c r="M13" i="15"/>
  <c r="M12" i="15"/>
  <c r="M10" i="15"/>
  <c r="M9" i="15"/>
  <c r="E7" i="9"/>
  <c r="M15" i="1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2667A613-E335-4392-8120-3C7CE62C4B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 shapeId="0" xr:uid="{13741C51-AF16-4852-B172-2F686B5CDA8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 shapeId="0" xr:uid="{139C979D-DC17-4808-B944-AA46C2D8713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 shapeId="0" xr:uid="{6639E74B-D12F-4BE3-BED8-B718B5FF890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 shapeId="0" xr:uid="{9A6362F0-FE0D-4093-B5E2-A31AD176475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 shapeId="0" xr:uid="{DE16200E-6BD2-44A0-AF74-0BF747FA75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 shapeId="0" xr:uid="{25F4CBB6-9326-4F40-A450-BB7AB71BFE2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 shapeId="0" xr:uid="{610CA333-F53A-4675-A58B-BEA90C87AEB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 shapeId="0" xr:uid="{5A136C1C-AF71-4A02-9553-77136BF1CC9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58FFCC24-36C3-4FDD-8205-BA442E2524A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7" authorId="0" shapeId="0" xr:uid="{60AE7534-96C9-4B1F-B291-43F9DCC0513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 shapeId="0" xr:uid="{CD97590E-15F1-4CEC-97A8-2EFEAE951B6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8" authorId="0" shapeId="0" xr:uid="{52923C86-08E2-4197-917A-D98B0F2CEFC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9" authorId="0" shapeId="0" xr:uid="{ABCC817F-CDCE-447B-B665-C88C3D349CE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CFAF8463-7619-4F5F-B923-6D3AE8F5E47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 shapeId="0" xr:uid="{EE690940-A647-4AE6-8DE9-E7E2C5DA68C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 shapeId="0" xr:uid="{9044E9FE-7CBA-4CA8-BD7D-B00EF2F7F4E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 shapeId="0" xr:uid="{20B6F88D-84C4-44BE-A311-58FCA63CA0A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 shapeId="0" xr:uid="{05429616-4CE6-4608-AC27-08B4ECA323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 shapeId="0" xr:uid="{1D418F3F-B9A5-41CB-869E-C806BF93334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 shapeId="0" xr:uid="{05F69F3F-51F6-4942-ADC7-2DAED71CD25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 shapeId="0" xr:uid="{5EC0F064-5134-4932-8976-829861F8424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 shapeId="0" xr:uid="{54218CD0-356D-4A18-91A0-22FF615C8E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5C483A9E-A48A-4B15-ABF0-3309FD459B75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E7" authorId="0" shapeId="0" xr:uid="{A37A2B81-86CF-4234-A5F7-5B849AC1071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 shapeId="0" xr:uid="{0A35ED70-7C61-47D5-8232-F9DF4BFC23E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 shapeId="0" xr:uid="{B38A9064-6398-45EE-A2FA-5CA0AB8CD1A0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I7" authorId="0" shapeId="0" xr:uid="{6FF529D2-A73B-4737-946F-ACFF0CFE23F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 shapeId="0" xr:uid="{256E17A7-0674-4E3C-A6B6-85D18BB6172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 shapeId="0" xr:uid="{FA8B7820-F109-4D1E-9692-93AC9D8B30F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 shapeId="0" xr:uid="{05E24430-5BD3-4BB5-88C1-E47CD001A5A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 shapeId="0" xr:uid="{79845427-F212-477C-BC69-20D248AB37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 shapeId="0" xr:uid="{0FFEAE34-FF58-46AA-BE2B-565CA2F1BCB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634C56AA-A919-453D-B486-5176207435F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 shapeId="0" xr:uid="{96269FEB-06AD-4F5B-A8D3-BBFF744BFA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 shapeId="0" xr:uid="{D3BC12FE-F86A-406E-B2CF-DFC194800C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0B3CB284-A078-4E4E-8C12-88C1C425EF6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9" authorId="0" shapeId="0" xr:uid="{57E862EB-5050-4704-971F-D48A82B2D99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 shapeId="0" xr:uid="{CA8101A1-5F59-4114-A3BD-7D9B486363F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 shapeId="0" xr:uid="{E5376C37-28C5-48C5-BE7C-037E02B8F33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 shapeId="0" xr:uid="{CB5E173B-9D43-482A-ADCD-8CD11A96BF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 shapeId="0" xr:uid="{924C04E1-B4FB-4C75-A844-5B2F90F08EF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 shapeId="0" xr:uid="{FF3FD1D9-D23B-4CBA-ADE5-4C6A5B9BEB8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 shapeId="0" xr:uid="{D6E9E0EB-76CB-4973-BEED-8D96BA1C758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 shapeId="0" xr:uid="{3EEFAF79-E129-4249-ACCB-34EADE8BE48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30326DF5-D3BB-4A70-ACCE-4BA8B8DFDB4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 shapeId="0" xr:uid="{075A0126-7751-47A4-BF03-BDA1816C6C1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 shapeId="0" xr:uid="{74F87AD6-6784-4001-93EF-4E980184C6D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 shapeId="0" xr:uid="{9ABFC379-4A49-4E55-A609-6990D9B503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 shapeId="0" xr:uid="{C6965BF3-7056-466C-90FA-05BF095A301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 shapeId="0" xr:uid="{9670136B-8879-4F28-880C-1A95245A651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4" authorId="0" shapeId="0" xr:uid="{27BF4EC3-CCBB-40AC-B256-40D1F920FAC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 shapeId="0" xr:uid="{4F5634FA-21E0-41BF-8582-4AF304DD824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 shapeId="0" xr:uid="{182C6BA2-AD59-4D9D-A6B0-BAAFDF045E8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 shapeId="0" xr:uid="{8D65E87B-5174-413C-A8E8-ED0DDC8D7C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 shapeId="0" xr:uid="{C59B725D-6732-4ABB-9D01-9405C182FF1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<sst xmlns="http://schemas.openxmlformats.org/spreadsheetml/2006/main" count="416" uniqueCount="230">
  <si>
    <t>设计参数</t>
    <phoneticPr fontId="1" type="noConversion"/>
  </si>
  <si>
    <t>时间</t>
    <phoneticPr fontId="1" type="noConversion"/>
  </si>
  <si>
    <t>反应器
入口温度</t>
    <phoneticPr fontId="1" type="noConversion"/>
  </si>
  <si>
    <t>羟基
流量</t>
    <phoneticPr fontId="1" type="noConversion"/>
  </si>
  <si>
    <t>反应器
入口压力</t>
    <phoneticPr fontId="1" type="noConversion"/>
  </si>
  <si>
    <t>反应器
出口温度</t>
    <phoneticPr fontId="1" type="noConversion"/>
  </si>
  <si>
    <t>反应器
温度</t>
    <phoneticPr fontId="1" type="noConversion"/>
  </si>
  <si>
    <t>气氨
流量</t>
    <phoneticPr fontId="1" type="noConversion"/>
  </si>
  <si>
    <t>配比蒸汽
流量</t>
    <phoneticPr fontId="1" type="noConversion"/>
  </si>
  <si>
    <t>平均配比
摩尔比</t>
    <phoneticPr fontId="1" type="noConversion"/>
  </si>
  <si>
    <t>m3/h</t>
    <phoneticPr fontId="1" type="noConversion"/>
  </si>
  <si>
    <t>kg/h</t>
    <phoneticPr fontId="1" type="noConversion"/>
  </si>
  <si>
    <t>/</t>
    <phoneticPr fontId="1" type="noConversion"/>
  </si>
  <si>
    <t>℃</t>
    <phoneticPr fontId="1" type="noConversion"/>
  </si>
  <si>
    <t>Mpa</t>
  </si>
  <si>
    <t>Mpa</t>
    <phoneticPr fontId="1" type="noConversion"/>
  </si>
  <si>
    <t>项目</t>
    <phoneticPr fontId="1" type="noConversion"/>
  </si>
  <si>
    <t>上上周参数</t>
    <phoneticPr fontId="1" type="noConversion"/>
  </si>
  <si>
    <t>上周参数</t>
    <phoneticPr fontId="1" type="noConversion"/>
  </si>
  <si>
    <t>本周参数</t>
    <phoneticPr fontId="1" type="noConversion"/>
  </si>
  <si>
    <t>反应器
出口压力</t>
    <phoneticPr fontId="1" type="noConversion"/>
  </si>
  <si>
    <t>二乙腈含量</t>
    <phoneticPr fontId="1" type="noConversion"/>
  </si>
  <si>
    <t>二乙腈含量
（%）</t>
    <phoneticPr fontId="1" type="noConversion"/>
  </si>
  <si>
    <t>色谱法</t>
    <phoneticPr fontId="1" type="noConversion"/>
  </si>
  <si>
    <t>化分法
（%）</t>
    <phoneticPr fontId="1" type="noConversion"/>
  </si>
  <si>
    <t>色谱法
（%）</t>
    <phoneticPr fontId="1" type="noConversion"/>
  </si>
  <si>
    <t>二乙腈
含 量</t>
    <phoneticPr fontId="1" type="noConversion"/>
  </si>
  <si>
    <t>羟基乙腈
残 余</t>
    <phoneticPr fontId="1" type="noConversion"/>
  </si>
  <si>
    <t>百分比
（%）</t>
    <phoneticPr fontId="1" type="noConversion"/>
  </si>
  <si>
    <t>浓度
（g/L）</t>
    <phoneticPr fontId="1" type="noConversion"/>
  </si>
  <si>
    <t>项 目</t>
    <phoneticPr fontId="1" type="noConversion"/>
  </si>
  <si>
    <t>pH值</t>
    <phoneticPr fontId="1" type="noConversion"/>
  </si>
  <si>
    <t>硫酸用量
（kg/h）</t>
    <phoneticPr fontId="1" type="noConversion"/>
  </si>
  <si>
    <t>本月平均</t>
    <phoneticPr fontId="1" type="noConversion"/>
  </si>
  <si>
    <t>上周平均</t>
    <phoneticPr fontId="1" type="noConversion"/>
  </si>
  <si>
    <t>本周平均</t>
    <phoneticPr fontId="1" type="noConversion"/>
  </si>
  <si>
    <t>差值</t>
    <phoneticPr fontId="1" type="noConversion"/>
  </si>
  <si>
    <t>mg/L</t>
    <phoneticPr fontId="1" type="noConversion"/>
  </si>
  <si>
    <t>COD</t>
    <phoneticPr fontId="1" type="noConversion"/>
  </si>
  <si>
    <t>指标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</si>
  <si>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</si>
  <si>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</si>
  <si>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</si>
  <si>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</si>
  <si>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</si>
  <si>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大生产数据</t>
    <phoneticPr fontId="1" type="noConversion"/>
  </si>
  <si>
    <t>上上周平均</t>
    <phoneticPr fontId="1" type="noConversion"/>
  </si>
  <si>
    <t>农科数据</t>
    <phoneticPr fontId="1" type="noConversion"/>
  </si>
  <si>
    <t>低蒸压力</t>
    <phoneticPr fontId="1" type="noConversion"/>
  </si>
  <si>
    <t>低蒸温度</t>
    <phoneticPr fontId="1" type="noConversion"/>
  </si>
  <si>
    <t>备注：分析密度，每24小时白班送检一次。</t>
    <phoneticPr fontId="1" type="noConversion"/>
  </si>
  <si>
    <r>
      <t>25000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30000</t>
    </r>
    <phoneticPr fontId="1" type="noConversion"/>
  </si>
  <si>
    <r>
      <t>900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1200</t>
    </r>
    <phoneticPr fontId="1" type="noConversion"/>
  </si>
  <si>
    <r>
      <t>2500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</t>
    </r>
    <phoneticPr fontId="1" type="noConversion"/>
  </si>
  <si>
    <r>
      <t>30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50</t>
    </r>
    <phoneticPr fontId="1" type="noConversion"/>
  </si>
  <si>
    <t>月份</t>
    <phoneticPr fontId="1" type="noConversion"/>
  </si>
  <si>
    <t>%</t>
    <phoneticPr fontId="1" type="noConversion"/>
  </si>
  <si>
    <t>水分含量</t>
    <phoneticPr fontId="1" type="noConversion"/>
  </si>
  <si>
    <t>综合含量</t>
    <phoneticPr fontId="1" type="noConversion"/>
  </si>
  <si>
    <t>未知物含量</t>
    <phoneticPr fontId="1" type="noConversion"/>
  </si>
  <si>
    <t>本年度平均</t>
    <phoneticPr fontId="1" type="noConversion"/>
  </si>
  <si>
    <t>化学分析法</t>
    <phoneticPr fontId="1" type="noConversion"/>
  </si>
  <si>
    <t>备注</t>
    <phoneticPr fontId="1" type="noConversion"/>
  </si>
  <si>
    <t>上上周</t>
    <phoneticPr fontId="1" type="noConversion"/>
  </si>
  <si>
    <t>上周</t>
    <phoneticPr fontId="1" type="noConversion"/>
  </si>
  <si>
    <t>本周</t>
    <phoneticPr fontId="1" type="noConversion"/>
  </si>
  <si>
    <t>平
均</t>
    <phoneticPr fontId="1" type="noConversion"/>
  </si>
  <si>
    <t>1月</t>
    <phoneticPr fontId="1" type="noConversion"/>
  </si>
  <si>
    <t>2月</t>
    <phoneticPr fontId="1" type="noConversion"/>
  </si>
  <si>
    <t>3月</t>
    <phoneticPr fontId="1" type="noConversion"/>
  </si>
  <si>
    <t>4月</t>
    <phoneticPr fontId="1" type="noConversion"/>
  </si>
  <si>
    <t>5月</t>
    <phoneticPr fontId="1" type="noConversion"/>
  </si>
  <si>
    <t>6月</t>
    <phoneticPr fontId="1" type="noConversion"/>
  </si>
  <si>
    <t>7月</t>
    <phoneticPr fontId="1" type="noConversion"/>
  </si>
  <si>
    <t>8月</t>
    <phoneticPr fontId="1" type="noConversion"/>
  </si>
  <si>
    <t>9月</t>
    <phoneticPr fontId="1" type="noConversion"/>
  </si>
  <si>
    <t>10月</t>
    <phoneticPr fontId="1" type="noConversion"/>
  </si>
  <si>
    <t>11月</t>
    <phoneticPr fontId="1" type="noConversion"/>
  </si>
  <si>
    <t>12月</t>
    <phoneticPr fontId="1" type="noConversion"/>
  </si>
  <si>
    <t>收
率
（%）</t>
    <phoneticPr fontId="1" type="noConversion"/>
  </si>
  <si>
    <t>班
产
量
（t）</t>
    <phoneticPr fontId="1" type="noConversion"/>
  </si>
  <si>
    <t>设计值</t>
    <phoneticPr fontId="1" type="noConversion"/>
  </si>
  <si>
    <t>进料量</t>
    <phoneticPr fontId="1" type="noConversion"/>
  </si>
  <si>
    <t>出料量</t>
    <phoneticPr fontId="1" type="noConversion"/>
  </si>
  <si>
    <t>浓缩比</t>
    <phoneticPr fontId="1" type="noConversion"/>
  </si>
  <si>
    <t>出料比重</t>
    <phoneticPr fontId="1" type="noConversion"/>
  </si>
  <si>
    <t>g/L</t>
    <phoneticPr fontId="1" type="noConversion"/>
  </si>
  <si>
    <t>蒸汽用量</t>
    <phoneticPr fontId="1" type="noConversion"/>
  </si>
  <si>
    <t>t/h</t>
    <phoneticPr fontId="1" type="noConversion"/>
  </si>
  <si>
    <t>无</t>
    <phoneticPr fontId="1" type="noConversion"/>
  </si>
  <si>
    <t>本周数据</t>
    <phoneticPr fontId="1" type="noConversion"/>
  </si>
  <si>
    <t>低蒸运行参数</t>
    <phoneticPr fontId="1" type="noConversion"/>
  </si>
  <si>
    <t>低蒸母液分析：送检频次，一天一次；管反反应液一天三次</t>
    <phoneticPr fontId="1" type="noConversion"/>
  </si>
  <si>
    <t>硫铵含量</t>
    <phoneticPr fontId="1" type="noConversion"/>
  </si>
  <si>
    <t>羟基乙腈含量</t>
    <phoneticPr fontId="1" type="noConversion"/>
  </si>
  <si>
    <t>硫铵含量
（g/L）</t>
    <phoneticPr fontId="1" type="noConversion"/>
  </si>
  <si>
    <t>羟基乙腈含量
（g/L）</t>
    <phoneticPr fontId="1" type="noConversion"/>
  </si>
  <si>
    <t>外排废液
m3废液/t产品</t>
    <phoneticPr fontId="1" type="noConversion"/>
  </si>
  <si>
    <t>本周固液比控制范围：</t>
    <phoneticPr fontId="1" type="noConversion"/>
  </si>
  <si>
    <t>本周累计外排废液量：</t>
    <phoneticPr fontId="1" type="noConversion"/>
  </si>
  <si>
    <t>m3</t>
    <phoneticPr fontId="1" type="noConversion"/>
  </si>
  <si>
    <t>二次母液
分析数据</t>
    <phoneticPr fontId="1" type="noConversion"/>
  </si>
  <si>
    <t>脱色前</t>
    <phoneticPr fontId="1" type="noConversion"/>
  </si>
  <si>
    <t>脱色后</t>
    <phoneticPr fontId="1" type="noConversion"/>
  </si>
  <si>
    <t>差 值</t>
    <phoneticPr fontId="1" type="noConversion"/>
  </si>
  <si>
    <t>上 周</t>
    <phoneticPr fontId="1" type="noConversion"/>
  </si>
  <si>
    <t>本 周</t>
    <phoneticPr fontId="1" type="noConversion"/>
  </si>
  <si>
    <t>kg/t</t>
    <phoneticPr fontId="1" type="noConversion"/>
  </si>
  <si>
    <t>活性炭单耗</t>
    <phoneticPr fontId="1" type="noConversion"/>
  </si>
  <si>
    <t>脱色
消耗</t>
    <phoneticPr fontId="1" type="noConversion"/>
  </si>
  <si>
    <t>透光率</t>
    <phoneticPr fontId="1" type="noConversion"/>
  </si>
  <si>
    <t>型号</t>
    <phoneticPr fontId="1" type="noConversion"/>
  </si>
  <si>
    <t xml:space="preserve">                指标
对比项目</t>
    <phoneticPr fontId="1" type="noConversion"/>
  </si>
  <si>
    <t>t</t>
    <phoneticPr fontId="1" type="noConversion"/>
  </si>
  <si>
    <t>t/t</t>
    <phoneticPr fontId="1" type="noConversion"/>
  </si>
  <si>
    <t>m3/t</t>
    <phoneticPr fontId="1" type="noConversion"/>
  </si>
  <si>
    <t>吨产品原料/动力及排放单耗</t>
    <phoneticPr fontId="1" type="noConversion"/>
  </si>
  <si>
    <t>日期</t>
    <phoneticPr fontId="1" type="noConversion"/>
  </si>
  <si>
    <t>星期</t>
    <phoneticPr fontId="1" type="noConversion"/>
  </si>
  <si>
    <t>五</t>
    <phoneticPr fontId="1" type="noConversion"/>
  </si>
  <si>
    <t>六</t>
    <phoneticPr fontId="1" type="noConversion"/>
  </si>
  <si>
    <t>日</t>
    <phoneticPr fontId="1" type="noConversion"/>
  </si>
  <si>
    <t>一</t>
    <phoneticPr fontId="1" type="noConversion"/>
  </si>
  <si>
    <t>二</t>
    <phoneticPr fontId="1" type="noConversion"/>
  </si>
  <si>
    <t>三</t>
    <phoneticPr fontId="1" type="noConversion"/>
  </si>
  <si>
    <t>四</t>
    <phoneticPr fontId="1" type="noConversion"/>
  </si>
  <si>
    <t>本周
平均</t>
    <phoneticPr fontId="1" type="noConversion"/>
  </si>
  <si>
    <t>上周
平均</t>
    <phoneticPr fontId="1" type="noConversion"/>
  </si>
  <si>
    <t>两周
差值</t>
    <phoneticPr fontId="1" type="noConversion"/>
  </si>
  <si>
    <t>一、反应液</t>
    <phoneticPr fontId="1" type="noConversion"/>
  </si>
  <si>
    <t>二、产品</t>
    <phoneticPr fontId="1" type="noConversion"/>
  </si>
  <si>
    <t>二乙腈</t>
    <phoneticPr fontId="1" type="noConversion"/>
  </si>
  <si>
    <t>折百产量</t>
    <phoneticPr fontId="1" type="noConversion"/>
  </si>
  <si>
    <t>2025年第（44）周</t>
    <phoneticPr fontId="1" type="noConversion"/>
  </si>
  <si>
    <t>班次</t>
    <phoneticPr fontId="1" type="noConversion"/>
  </si>
  <si>
    <t>1号</t>
    <phoneticPr fontId="1" type="noConversion"/>
  </si>
  <si>
    <t>2号</t>
    <phoneticPr fontId="1" type="noConversion"/>
  </si>
  <si>
    <t>3号</t>
    <phoneticPr fontId="1" type="noConversion"/>
  </si>
  <si>
    <t>4号</t>
    <phoneticPr fontId="1" type="noConversion"/>
  </si>
  <si>
    <t>5号</t>
    <phoneticPr fontId="1" type="noConversion"/>
  </si>
  <si>
    <t>6号</t>
    <phoneticPr fontId="1" type="noConversion"/>
  </si>
  <si>
    <t>7号</t>
    <phoneticPr fontId="1" type="noConversion"/>
  </si>
  <si>
    <t>白</t>
    <phoneticPr fontId="1" type="noConversion"/>
  </si>
  <si>
    <t>夜</t>
    <phoneticPr fontId="1" type="noConversion"/>
  </si>
  <si>
    <t>羟基乙腈
单耗</t>
    <phoneticPr fontId="1" type="noConversion"/>
  </si>
  <si>
    <t>液氨
单耗</t>
    <phoneticPr fontId="1" type="noConversion"/>
  </si>
  <si>
    <t>硫酸
单耗</t>
    <phoneticPr fontId="1" type="noConversion"/>
  </si>
  <si>
    <t>总蒸汽
单耗</t>
    <phoneticPr fontId="1" type="noConversion"/>
  </si>
  <si>
    <t>反应蒸汽
单耗</t>
    <phoneticPr fontId="1" type="noConversion"/>
  </si>
  <si>
    <t>低蒸蒸汽
单耗</t>
    <phoneticPr fontId="1" type="noConversion"/>
  </si>
  <si>
    <t>废液
外排</t>
    <phoneticPr fontId="1" type="noConversion"/>
  </si>
  <si>
    <t>废水
外排</t>
    <phoneticPr fontId="1" type="noConversion"/>
  </si>
  <si>
    <t>0，5150±0.05</t>
    <phoneticPr fontId="1" type="noConversion"/>
  </si>
  <si>
    <t>410±5g/L</t>
    <phoneticPr fontId="1" type="noConversion"/>
  </si>
  <si>
    <t>168±2℃</t>
    <phoneticPr fontId="1" type="noConversion"/>
  </si>
  <si>
    <t>≤20℃</t>
    <phoneticPr fontId="1" type="noConversion"/>
  </si>
  <si>
    <t>氨/腈摩尔比
合格率（%）</t>
    <phoneticPr fontId="1" type="noConversion"/>
  </si>
  <si>
    <t>羟基浓度
合格率（%）</t>
    <phoneticPr fontId="1" type="noConversion"/>
  </si>
  <si>
    <t>氨化反应温度
合格率（%）</t>
    <phoneticPr fontId="1" type="noConversion"/>
  </si>
  <si>
    <t>一次结晶出料
温度合格率（%）</t>
    <phoneticPr fontId="1" type="noConversion"/>
  </si>
  <si>
    <t>核心工艺指标合格率
（%）</t>
    <phoneticPr fontId="1" type="noConversion"/>
  </si>
  <si>
    <t>实际产量</t>
    <phoneticPr fontId="1" type="noConversion"/>
  </si>
  <si>
    <t>kg/班</t>
    <phoneticPr fontId="1" type="noConversion"/>
  </si>
  <si>
    <t>收率</t>
    <phoneticPr fontId="1" type="noConversion"/>
  </si>
  <si>
    <t>本月平均</t>
    <phoneticPr fontId="1" type="noConversion"/>
  </si>
  <si>
    <t>一次结晶</t>
    <phoneticPr fontId="1" type="noConversion"/>
  </si>
  <si>
    <t>二次结晶</t>
    <phoneticPr fontId="1" type="noConversion"/>
  </si>
  <si>
    <t>本周</t>
  </si>
  <si>
    <t>上周数据</t>
    <phoneticPr fontId="1" type="noConversion"/>
  </si>
  <si>
    <t xml:space="preserve">                             指标
 时间</t>
    <phoneticPr fontId="1" type="noConversion"/>
  </si>
  <si>
    <t>三、收率</t>
    <phoneticPr fontId="1" type="noConversion"/>
  </si>
  <si>
    <t>四、废液</t>
    <phoneticPr fontId="1" type="noConversion"/>
  </si>
  <si>
    <t>周报-反应液分析数据表</t>
  </si>
  <si>
    <t>周报-反应工序控制参数表</t>
    <phoneticPr fontId="1" type="noConversion"/>
  </si>
  <si>
    <t>周报-闪蒸废水分析数据表</t>
    <phoneticPr fontId="1" type="noConversion"/>
  </si>
  <si>
    <t>周报-结晶工序数据分析表</t>
    <phoneticPr fontId="1" type="noConversion"/>
  </si>
  <si>
    <t>周报-产品指标分析表</t>
    <phoneticPr fontId="1" type="noConversion"/>
  </si>
  <si>
    <t>周报-产品收率数据分析表</t>
    <phoneticPr fontId="1" type="noConversion"/>
  </si>
  <si>
    <t>周报-汇总数据分析表</t>
    <phoneticPr fontId="1" type="noConversion"/>
  </si>
  <si>
    <t>周报-低蒸数据分析表</t>
    <phoneticPr fontId="1" type="noConversion"/>
  </si>
  <si>
    <t>周报-脱色工序数据分析表</t>
    <phoneticPr fontId="1" type="noConversion"/>
  </si>
  <si>
    <t>周报-二次结晶数据分析表</t>
    <phoneticPr fontId="1" type="noConversion"/>
  </si>
  <si>
    <t>周报-产品原料/动力/排放单耗数据分析表</t>
    <phoneticPr fontId="1" type="noConversion"/>
  </si>
  <si>
    <t>周报-核心指标分析汇总表</t>
    <phoneticPr fontId="1" type="noConversion"/>
  </si>
  <si>
    <t>核心指标完成情况汇总表</t>
    <phoneticPr fontId="1" type="noConversion"/>
  </si>
  <si>
    <t>二乙睛中试车间周报</t>
    <phoneticPr fontId="1" type="noConversion"/>
  </si>
  <si>
    <t>时间: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</si>
  <si>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</si>
  <si>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</si>
  <si>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</si>
  <si>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一、产品</t>
    <phoneticPr fontId="1" type="noConversion"/>
  </si>
  <si>
    <t>二、原料消耗</t>
    <phoneticPr fontId="1" type="noConversion"/>
  </si>
  <si>
    <t>羟基消耗</t>
  </si>
  <si>
    <t>氨消耗</t>
    <phoneticPr fontId="1" type="noConversion"/>
  </si>
  <si>
    <t>硫酸消耗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</si>
  <si>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</si>
  <si>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</si>
  <si>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</si>
  <si>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</si>
  <si>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反应单元</t>
    <phoneticPr fontId="1" type="noConversion"/>
  </si>
  <si>
    <t>氨腈摩尔比</t>
    <phoneticPr fontId="1" type="noConversion"/>
  </si>
  <si>
    <t>反应时间</t>
    <phoneticPr fontId="1" type="noConversion"/>
  </si>
  <si>
    <t>s</t>
    <phoneticPr fontId="1" type="noConversion"/>
  </si>
  <si>
    <t>反应压力</t>
    <phoneticPr fontId="1" type="noConversion"/>
  </si>
  <si>
    <t>羟基加热温度</t>
    <phoneticPr fontId="1" type="noConversion"/>
  </si>
  <si>
    <t>氨汽混合温度</t>
  </si>
  <si>
    <t>管反热点温度</t>
  </si>
  <si>
    <t>结晶单元</t>
    <phoneticPr fontId="1" type="noConversion"/>
  </si>
  <si>
    <t>预冷器结晶温度</t>
  </si>
  <si>
    <t>一次结晶温度</t>
  </si>
  <si>
    <t>降膜蒸发温度</t>
  </si>
  <si>
    <t>二次结晶温度</t>
  </si>
  <si>
    <t>反应液组成</t>
    <phoneticPr fontId="1" type="noConversion"/>
  </si>
  <si>
    <t>--</t>
    <phoneticPr fontId="1" type="noConversion"/>
  </si>
  <si>
    <t>羟基乙腈残余</t>
    <phoneticPr fontId="1" type="noConversion"/>
  </si>
  <si>
    <t>甘氨腈</t>
    <phoneticPr fontId="1" type="noConversion"/>
  </si>
  <si>
    <t>三乙腈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</si>
  <si>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</si>
  <si>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</si>
  <si>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</si>
  <si>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  <phoneticPr fontId="1" type="noConversion"/>
  </si>
  <si>
    <t>废液组成</t>
    <phoneticPr fontId="1" type="noConversion"/>
  </si>
  <si>
    <t>羟基乙腈</t>
    <phoneticPr fontId="1" type="noConversion"/>
  </si>
  <si>
    <t>硫铵</t>
    <phoneticPr fontId="1" type="noConversion"/>
  </si>
  <si>
    <t>其它</t>
    <phoneticPr fontId="1" type="noConversion"/>
  </si>
  <si>
    <t>%</t>
  </si>
  <si>
    <t>水分</t>
    <phoneticPr fontId="1" type="noConversion"/>
  </si>
  <si>
    <t>五、其他</t>
    <phoneticPr fontId="1" type="noConversion"/>
  </si>
  <si>
    <t>下偏差</t>
    <phoneticPr fontId="1" type="noConversion"/>
  </si>
  <si>
    <t>上偏差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</si>
</sst>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;[Red]0.00"/>
    <numFmt numFmtId="177" formatCode="0.0000;[Red]0.0000"/>
    <numFmt numFmtId="178" formatCode="0.0;[Red]0.0"/>
    <numFmt numFmtId="179" formatCode="0.000;[Red]0.000"/>
    <numFmt numFmtId="180" formatCode="0.00_ "/>
    <numFmt numFmtId="181" formatCode="0.000_ "/>
  </numFmts>
  <fonts count="19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4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i/>
      <sz val="10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174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3" fillId="0" borderId="23" xfId="0" applyFont="1" applyBorder="1" applyAlignment="1">
      <alignment wrapText="1"/>
    </xf>
    <xf numFmtId="0" fontId="3" fillId="0" borderId="23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/>
    </xf>
    <xf numFmtId="176" fontId="2" fillId="0" borderId="23" xfId="0" applyNumberFormat="1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176" fontId="3" fillId="0" borderId="23" xfId="0" applyNumberFormat="1" applyFont="1" applyBorder="1" applyAlignment="1">
      <alignment horizontal="center" vertical="center"/>
    </xf>
    <xf numFmtId="0" fontId="0" fillId="0" borderId="23" xfId="0" applyBorder="1"/>
    <xf numFmtId="0" fontId="2" fillId="0" borderId="23" xfId="0" applyFont="1" applyBorder="1" applyAlignment="1">
      <alignment horizontal="center" vertical="center" wrapText="1"/>
    </xf>
    <xf numFmtId="176" fontId="2" fillId="2" borderId="23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16" fillId="5" borderId="38" xfId="0" applyFont="1" applyFill="1" applyBorder="1" applyAlignment="1">
      <alignment vertical="center"/>
    </xf>
    <xf numFmtId="0" fontId="16" fillId="5" borderId="17" xfId="0" applyFont="1" applyFill="1" applyBorder="1" applyAlignment="1">
      <alignment vertical="center"/>
    </xf>
    <xf numFmtId="0" fontId="16" fillId="5" borderId="17" xfId="0" applyFont="1" applyFill="1" applyBorder="1" applyAlignment="1">
      <alignment horizontal="right" vertical="center"/>
    </xf>
    <xf numFmtId="0" fontId="15" fillId="0" borderId="23" xfId="0" applyFont="1" applyBorder="1" applyAlignment="1">
      <alignment horizontal="center" vertical="center"/>
    </xf>
    <xf numFmtId="0" fontId="15" fillId="0" borderId="41" xfId="0" applyFont="1" applyBorder="1" applyAlignment="1">
      <alignment horizontal="center" vertical="center"/>
    </xf>
    <xf numFmtId="0" fontId="17" fillId="0" borderId="42" xfId="0" applyFont="1" applyBorder="1" applyAlignment="1">
      <alignment horizontal="left" vertical="center"/>
    </xf>
    <xf numFmtId="0" fontId="17" fillId="0" borderId="23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180" fontId="3" fillId="0" borderId="23" xfId="0" applyNumberFormat="1" applyFont="1" applyBorder="1" applyAlignment="1">
      <alignment horizontal="center" vertical="center"/>
    </xf>
    <xf numFmtId="180" fontId="3" fillId="0" borderId="21" xfId="0" applyNumberFormat="1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17" fillId="0" borderId="23" xfId="0" quotePrefix="1" applyFont="1" applyBorder="1" applyAlignment="1">
      <alignment horizontal="center" vertical="center"/>
    </xf>
    <xf numFmtId="0" fontId="3" fillId="0" borderId="23" xfId="0" quotePrefix="1" applyFont="1" applyBorder="1" applyAlignment="1">
      <alignment horizontal="center" vertical="center"/>
    </xf>
    <xf numFmtId="0" fontId="3" fillId="0" borderId="46" xfId="0" quotePrefix="1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17" fillId="0" borderId="46" xfId="0" applyFont="1" applyBorder="1" applyAlignment="1">
      <alignment horizontal="center" vertical="center"/>
    </xf>
    <xf numFmtId="181" fontId="18" fillId="0" borderId="23" xfId="0" applyNumberFormat="1" applyFont="1" applyBorder="1" applyAlignment="1">
      <alignment horizontal="center" vertical="center"/>
    </xf>
    <xf numFmtId="181" fontId="17" fillId="0" borderId="23" xfId="0" quotePrefix="1" applyNumberFormat="1" applyFont="1" applyBorder="1" applyAlignment="1">
      <alignment horizontal="center" vertical="center"/>
    </xf>
    <xf numFmtId="181" fontId="3" fillId="0" borderId="23" xfId="0" applyNumberFormat="1" applyFont="1" applyBorder="1" applyAlignment="1">
      <alignment horizontal="center" vertical="center"/>
    </xf>
    <xf numFmtId="181" fontId="3" fillId="0" borderId="46" xfId="0" applyNumberFormat="1" applyFont="1" applyBorder="1" applyAlignment="1">
      <alignment horizontal="center" vertical="center"/>
    </xf>
    <xf numFmtId="181" fontId="18" fillId="0" borderId="46" xfId="0" applyNumberFormat="1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center" vertical="center"/>
    </xf>
    <xf numFmtId="0" fontId="16" fillId="5" borderId="39" xfId="0" applyFont="1" applyFill="1" applyBorder="1" applyAlignment="1">
      <alignment horizontal="center" vertical="center"/>
    </xf>
    <xf numFmtId="0" fontId="15" fillId="0" borderId="40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17" fillId="0" borderId="45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52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53" xfId="0" applyFont="1" applyBorder="1" applyAlignment="1">
      <alignment horizontal="center" vertical="center"/>
    </xf>
    <xf numFmtId="0" fontId="17" fillId="0" borderId="55" xfId="0" applyFont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14" fillId="0" borderId="23" xfId="0" applyFont="1" applyBorder="1" applyAlignment="1">
      <alignment horizontal="left" vertical="center"/>
    </xf>
    <xf numFmtId="0" fontId="2" fillId="2" borderId="23" xfId="0" applyFont="1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7" xfId="0" applyBorder="1"/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2" fillId="0" borderId="23" xfId="0" applyFont="1" applyBorder="1" applyAlignment="1">
      <alignment wrapText="1"/>
    </xf>
    <xf numFmtId="0" fontId="3" fillId="0" borderId="23" xfId="0" applyFont="1" applyBorder="1"/>
    <xf numFmtId="0" fontId="9" fillId="0" borderId="23" xfId="0" applyFont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0" fillId="4" borderId="23" xfId="0" applyFill="1" applyBorder="1" applyAlignment="1">
      <alignment horizontal="center" vertical="center"/>
    </xf>
    <xf numFmtId="57" fontId="2" fillId="0" borderId="23" xfId="0" applyNumberFormat="1" applyFont="1" applyBorder="1" applyAlignment="1">
      <alignment horizontal="center" vertical="center"/>
    </xf>
  </cellXfs>
  <cellStyles count="1">
    <cellStyle name="常规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35"/>
  <sheetViews>
    <sheetView tabSelected="1" zoomScale="85" zoomScaleNormal="85" workbookViewId="0">
      <selection activeCell="O14" sqref="O14"/>
    </sheetView>
  </sheetViews>
  <sheetFormatPr defaultRowHeight="14"/>
  <cols>
    <col min="1" max="1" width="1.83203125" customWidth="1"/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6" width="9.83203125" bestFit="1" customWidth="1"/>
    <col min="7" max="7" width="19.4140625" bestFit="1" customWidth="1"/>
    <col min="8" max="8" width="10.5" bestFit="1" customWidth="1"/>
    <col min="9" max="9" width="19.4140625" bestFit="1" customWidth="1"/>
    <col min="10" max="10" width="7.5" bestFit="1" customWidth="1"/>
    <col min="11" max="11" width="2.25" bestFit="1" customWidth="1"/>
    <col min="12" max="12" width="7.25" bestFit="1" customWidth="1"/>
    <col min="18" max="18" width="11.58203125" customWidth="1"/>
  </cols>
  <sheetData>
    <row r="1" spans="2:12" ht="14.5" thickBot="1"/>
    <row r="2" spans="2:12" ht="21">
      <c r="B2" s="94" t="s">
        <v>185</v>
      </c>
      <c r="C2" s="95"/>
      <c r="D2" s="95"/>
      <c r="E2" s="95"/>
      <c r="F2" s="95"/>
      <c r="G2" s="95"/>
      <c r="H2" s="95"/>
      <c r="I2" s="95"/>
      <c r="J2" s="95"/>
      <c r="K2" s="95"/>
      <c r="L2" s="96"/>
    </row>
    <row r="3" spans="2:12">
      <c r="B3" s="72"/>
      <c r="C3" s="73"/>
      <c r="D3" s="73"/>
      <c r="E3" s="73"/>
      <c r="F3" s="73"/>
      <c r="G3" s="73"/>
      <c r="H3" s="73"/>
      <c r="I3" s="74" t="s">
        <v>186</v>
      </c>
      <c r="J3" s="97"/>
      <c r="K3" s="97"/>
      <c r="L3" s="98"/>
    </row>
    <row r="4" spans="2:12" ht="21">
      <c r="B4" s="99" t="s">
        <v>16</v>
      </c>
      <c r="C4" s="100"/>
      <c r="D4" s="101"/>
      <c r="E4" s="75" t="s">
        <v>40</v>
      </c>
      <c r="F4" s="75" t="s">
        <v>228</v>
      </c>
      <c r="G4" s="75" t="s">
        <v>187</v>
      </c>
      <c r="H4" s="75" t="s">
        <v>229</v>
      </c>
      <c r="I4" s="75" t="s">
        <v>188</v>
      </c>
      <c r="J4" s="102" t="s">
        <v>189</v>
      </c>
      <c r="K4" s="101"/>
      <c r="L4" s="76" t="s">
        <v>62</v>
      </c>
    </row>
    <row r="5" spans="2:12">
      <c r="B5" s="77" t="s">
        <v>190</v>
      </c>
      <c r="C5" s="103" t="s">
        <v>163</v>
      </c>
      <c r="D5" s="103"/>
      <c r="E5" s="78" t="s">
        <v>56</v>
      </c>
      <c r="F5" s="89" t="s">
        <v>12</v>
      </c>
      <c r="G5" s="88">
        <v>90</v>
      </c>
      <c r="H5" s="89" t="s">
        <v>12</v>
      </c>
      <c r="I5" s="90"/>
      <c r="J5" s="80">
        <f>(I5-G5)/G5*100</f>
        <v>-100</v>
      </c>
      <c r="K5" s="81" t="s">
        <v>56</v>
      </c>
      <c r="L5" s="82"/>
    </row>
    <row r="6" spans="2:12">
      <c r="B6" s="104" t="s">
        <v>191</v>
      </c>
      <c r="C6" s="103" t="s">
        <v>192</v>
      </c>
      <c r="D6" s="103"/>
      <c r="E6" s="78" t="s">
        <v>107</v>
      </c>
      <c r="F6" s="78"/>
      <c r="G6" s="88">
        <v>1427</v>
      </c>
      <c r="H6" s="79">
        <v>0</v>
      </c>
      <c r="I6" s="90"/>
      <c r="J6" s="51" t="str">
        <f>IF($I6="","",IF(AND(IF($F6="",TRUE,$I6&gt;=$G6+$F6),IF($H6="",TRUE,$I6&lt;=$G6+$H6)),"合格","不合格"))</f>
        <v/>
      </c>
      <c r="K6" s="83" t="s">
        <v>12</v>
      </c>
      <c r="L6" s="82"/>
    </row>
    <row r="7" spans="2:12">
      <c r="B7" s="105"/>
      <c r="C7" s="103" t="s">
        <v>193</v>
      </c>
      <c r="D7" s="103"/>
      <c r="E7" s="78" t="s">
        <v>107</v>
      </c>
      <c r="F7" s="78">
        <v>-5</v>
      </c>
      <c r="G7" s="88">
        <v>215</v>
      </c>
      <c r="H7" s="79">
        <v>5</v>
      </c>
      <c r="I7" s="90"/>
      <c r="J7" s="51" t="str">
        <f>IF($I7="","",IF(AND($I7&gt;=$G7+$F7,$I7&lt;=$G7+$H7),"合格","不合格"))</f>
        <v/>
      </c>
      <c r="K7" s="83" t="s">
        <v>12</v>
      </c>
      <c r="L7" s="82"/>
    </row>
    <row r="8" spans="2:12">
      <c r="B8" s="106"/>
      <c r="C8" s="103" t="s">
        <v>194</v>
      </c>
      <c r="D8" s="103"/>
      <c r="E8" s="78" t="s">
        <v>107</v>
      </c>
      <c r="F8" s="78">
        <v>-10</v>
      </c>
      <c r="G8" s="88">
        <v>200</v>
      </c>
      <c r="H8" s="79">
        <v>10</v>
      </c>
      <c r="I8" s="90"/>
      <c r="J8" s="51" t="str">
        <f t="shared" ref="J8:J18" si="0">IF($I8="","",IF(AND($I8&gt;=$G8+$F8,$I8&lt;=$G8+$H8),"合格","不合格"))</f>
        <v/>
      </c>
      <c r="K8" s="83" t="s">
        <v>12</v>
      </c>
      <c r="L8" s="82"/>
    </row>
    <row r="9" spans="2:12">
      <c r="B9" s="104" t="s">
        <v>195</v>
      </c>
      <c r="C9" s="78" t="s">
        <v>196</v>
      </c>
      <c r="D9" s="78" t="s">
        <v>197</v>
      </c>
      <c r="E9" s="78" t="s">
        <v>198</v>
      </c>
      <c r="F9" s="78">
        <v>-5</v>
      </c>
      <c r="G9" s="88">
        <v>417</v>
      </c>
      <c r="H9" s="79">
        <v>5</v>
      </c>
      <c r="I9" s="90"/>
      <c r="J9" s="51" t="str">
        <f t="shared" si="0"/>
        <v/>
      </c>
      <c r="K9" s="83" t="s">
        <v>12</v>
      </c>
      <c r="L9" s="82"/>
    </row>
    <row r="10" spans="2:12">
      <c r="B10" s="105"/>
      <c r="C10" s="103" t="s">
        <v>199</v>
      </c>
      <c r="D10" s="78" t="s">
        <v>200</v>
      </c>
      <c r="E10" s="83" t="s">
        <v>12</v>
      </c>
      <c r="F10" s="83">
        <v>-5.0000000000000001E-3</v>
      </c>
      <c r="G10" s="88">
        <v>0.53</v>
      </c>
      <c r="H10" s="83">
        <v>5.0000000000000001E-3</v>
      </c>
      <c r="I10" s="90"/>
      <c r="J10" s="51" t="str">
        <f t="shared" si="0"/>
        <v/>
      </c>
      <c r="K10" s="83" t="s">
        <v>12</v>
      </c>
      <c r="L10" s="82"/>
    </row>
    <row r="11" spans="2:12">
      <c r="B11" s="105"/>
      <c r="C11" s="103"/>
      <c r="D11" s="78" t="s">
        <v>201</v>
      </c>
      <c r="E11" s="78" t="s">
        <v>202</v>
      </c>
      <c r="F11" s="78">
        <v>-5</v>
      </c>
      <c r="G11" s="88">
        <v>46.63</v>
      </c>
      <c r="H11" s="79">
        <v>5</v>
      </c>
      <c r="I11" s="90"/>
      <c r="J11" s="51" t="str">
        <f t="shared" si="0"/>
        <v/>
      </c>
      <c r="K11" s="83" t="s">
        <v>12</v>
      </c>
      <c r="L11" s="82"/>
    </row>
    <row r="12" spans="2:12">
      <c r="B12" s="105"/>
      <c r="C12" s="103"/>
      <c r="D12" s="78" t="s">
        <v>203</v>
      </c>
      <c r="E12" s="78" t="s">
        <v>15</v>
      </c>
      <c r="F12" s="78">
        <v>-0.05</v>
      </c>
      <c r="G12" s="88">
        <v>0.75</v>
      </c>
      <c r="H12" s="79">
        <v>0.05</v>
      </c>
      <c r="I12" s="90"/>
      <c r="J12" s="51" t="str">
        <f t="shared" si="0"/>
        <v/>
      </c>
      <c r="K12" s="83" t="s">
        <v>12</v>
      </c>
      <c r="L12" s="82"/>
    </row>
    <row r="13" spans="2:12">
      <c r="B13" s="105"/>
      <c r="C13" s="103"/>
      <c r="D13" s="78" t="s">
        <v>204</v>
      </c>
      <c r="E13" s="78" t="s">
        <v>13</v>
      </c>
      <c r="F13" s="78">
        <v>-2</v>
      </c>
      <c r="G13" s="88">
        <v>90</v>
      </c>
      <c r="H13" s="79">
        <v>2</v>
      </c>
      <c r="I13" s="90"/>
      <c r="J13" s="51" t="str">
        <f t="shared" si="0"/>
        <v/>
      </c>
      <c r="K13" s="83" t="s">
        <v>12</v>
      </c>
      <c r="L13" s="82"/>
    </row>
    <row r="14" spans="2:12">
      <c r="B14" s="105"/>
      <c r="C14" s="103"/>
      <c r="D14" s="78" t="s">
        <v>205</v>
      </c>
      <c r="E14" s="78" t="s">
        <v>13</v>
      </c>
      <c r="F14" s="78">
        <v>-2</v>
      </c>
      <c r="G14" s="88">
        <v>145</v>
      </c>
      <c r="H14" s="79">
        <v>2</v>
      </c>
      <c r="I14" s="90"/>
      <c r="J14" s="51" t="str">
        <f t="shared" si="0"/>
        <v/>
      </c>
      <c r="K14" s="83" t="s">
        <v>12</v>
      </c>
      <c r="L14" s="82"/>
    </row>
    <row r="15" spans="2:12">
      <c r="B15" s="105"/>
      <c r="C15" s="103"/>
      <c r="D15" s="78" t="s">
        <v>206</v>
      </c>
      <c r="E15" s="78" t="s">
        <v>13</v>
      </c>
      <c r="F15" s="78">
        <v>-2</v>
      </c>
      <c r="G15" s="88">
        <v>168</v>
      </c>
      <c r="H15" s="79">
        <v>2</v>
      </c>
      <c r="I15" s="90"/>
      <c r="J15" s="51" t="str">
        <f t="shared" si="0"/>
        <v/>
      </c>
      <c r="K15" s="83" t="s">
        <v>12</v>
      </c>
      <c r="L15" s="82"/>
    </row>
    <row r="16" spans="2:12">
      <c r="B16" s="105"/>
      <c r="C16" s="103" t="s">
        <v>207</v>
      </c>
      <c r="D16" s="78" t="s">
        <v>208</v>
      </c>
      <c r="E16" s="78" t="s">
        <v>13</v>
      </c>
      <c r="F16" s="78"/>
      <c r="G16" s="88">
        <v>45</v>
      </c>
      <c r="H16" s="79">
        <v>0</v>
      </c>
      <c r="I16" s="90"/>
      <c r="J16" s="51" t="str">
        <f>IF($I16="","",IF(AND(IF($F16="",TRUE,$I16&gt;=$G16+$F16),IF($H16="",TRUE,$I16&lt;=$G16+$H16)),"合格","不合格"))</f>
        <v/>
      </c>
      <c r="K16" s="83" t="s">
        <v>12</v>
      </c>
      <c r="L16" s="82"/>
    </row>
    <row r="17" spans="2:12">
      <c r="B17" s="105"/>
      <c r="C17" s="103"/>
      <c r="D17" s="78" t="s">
        <v>209</v>
      </c>
      <c r="E17" s="78" t="s">
        <v>13</v>
      </c>
      <c r="F17" s="78"/>
      <c r="G17" s="88">
        <v>20</v>
      </c>
      <c r="H17" s="79">
        <v>0</v>
      </c>
      <c r="I17" s="90"/>
      <c r="J17" s="51" t="str">
        <f>IF($I17="","",IF(AND(IF($F17="",TRUE,$I17&gt;=$G17+$F17),IF($H17="",TRUE,$I17&lt;=$G17+$H17)),"合格","不合格"))</f>
        <v/>
      </c>
      <c r="K17" s="83" t="s">
        <v>12</v>
      </c>
      <c r="L17" s="82"/>
    </row>
    <row r="18" spans="2:12">
      <c r="B18" s="105"/>
      <c r="C18" s="103"/>
      <c r="D18" s="78" t="s">
        <v>210</v>
      </c>
      <c r="E18" s="78" t="s">
        <v>13</v>
      </c>
      <c r="F18" s="78">
        <v>-2</v>
      </c>
      <c r="G18" s="88">
        <v>48</v>
      </c>
      <c r="H18" s="79">
        <v>2</v>
      </c>
      <c r="I18" s="90"/>
      <c r="J18" s="51" t="str">
        <f t="shared" si="0"/>
        <v/>
      </c>
      <c r="K18" s="83" t="s">
        <v>12</v>
      </c>
      <c r="L18" s="82"/>
    </row>
    <row r="19" spans="2:12">
      <c r="B19" s="105"/>
      <c r="C19" s="103"/>
      <c r="D19" s="78" t="s">
        <v>211</v>
      </c>
      <c r="E19" s="78" t="s">
        <v>13</v>
      </c>
      <c r="F19" s="78"/>
      <c r="G19" s="88">
        <v>20</v>
      </c>
      <c r="H19" s="79">
        <v>0</v>
      </c>
      <c r="I19" s="90"/>
      <c r="J19" s="51" t="str">
        <f>IF($I19="","",IF(AND(IF($F19="",TRUE,$I19&gt;=$G19+$F19),IF($H19="",TRUE,$I19&lt;=$G19+$H19)),"合格","不合格"))</f>
        <v/>
      </c>
      <c r="K19" s="83" t="s">
        <v>12</v>
      </c>
      <c r="L19" s="82"/>
    </row>
    <row r="20" spans="2:12">
      <c r="B20" s="105"/>
      <c r="C20" s="103" t="s">
        <v>212</v>
      </c>
      <c r="D20" s="78" t="s">
        <v>21</v>
      </c>
      <c r="E20" s="78" t="s">
        <v>56</v>
      </c>
      <c r="F20" s="78"/>
      <c r="G20" s="89" t="s">
        <v>12</v>
      </c>
      <c r="H20" s="83"/>
      <c r="I20" s="90"/>
      <c r="J20" s="84" t="s">
        <v>213</v>
      </c>
      <c r="K20" s="83" t="s">
        <v>12</v>
      </c>
      <c r="L20" s="82"/>
    </row>
    <row r="21" spans="2:12">
      <c r="B21" s="105"/>
      <c r="C21" s="103"/>
      <c r="D21" s="78" t="s">
        <v>214</v>
      </c>
      <c r="E21" s="78" t="s">
        <v>56</v>
      </c>
      <c r="F21" s="78"/>
      <c r="G21" s="89" t="s">
        <v>12</v>
      </c>
      <c r="H21" s="83"/>
      <c r="I21" s="90"/>
      <c r="J21" s="84" t="s">
        <v>213</v>
      </c>
      <c r="K21" s="83" t="s">
        <v>12</v>
      </c>
      <c r="L21" s="82"/>
    </row>
    <row r="22" spans="2:12">
      <c r="B22" s="105"/>
      <c r="C22" s="103"/>
      <c r="D22" s="78" t="s">
        <v>31</v>
      </c>
      <c r="E22" s="83" t="s">
        <v>12</v>
      </c>
      <c r="F22" s="83"/>
      <c r="G22" s="89" t="s">
        <v>12</v>
      </c>
      <c r="H22" s="83"/>
      <c r="I22" s="90"/>
      <c r="J22" s="84" t="s">
        <v>213</v>
      </c>
      <c r="K22" s="83" t="s">
        <v>12</v>
      </c>
      <c r="L22" s="82"/>
    </row>
    <row r="23" spans="2:12">
      <c r="B23" s="105"/>
      <c r="C23" s="103"/>
      <c r="D23" s="78" t="s">
        <v>215</v>
      </c>
      <c r="E23" s="78" t="s">
        <v>198</v>
      </c>
      <c r="F23" s="78"/>
      <c r="G23" s="89" t="s">
        <v>12</v>
      </c>
      <c r="H23" s="83"/>
      <c r="I23" s="90"/>
      <c r="J23" s="84" t="s">
        <v>213</v>
      </c>
      <c r="K23" s="83" t="s">
        <v>12</v>
      </c>
      <c r="L23" s="82"/>
    </row>
    <row r="24" spans="2:12">
      <c r="B24" s="106"/>
      <c r="C24" s="103"/>
      <c r="D24" s="78" t="s">
        <v>216</v>
      </c>
      <c r="E24" s="78" t="s">
        <v>198</v>
      </c>
      <c r="F24" s="78"/>
      <c r="G24" s="89" t="s">
        <v>12</v>
      </c>
      <c r="H24" s="83"/>
      <c r="I24" s="90"/>
      <c r="J24" s="84" t="s">
        <v>213</v>
      </c>
      <c r="K24" s="83" t="s">
        <v>12</v>
      </c>
      <c r="L24" s="82"/>
    </row>
    <row r="25" spans="2:12">
      <c r="B25" s="119" t="s">
        <v>171</v>
      </c>
      <c r="C25" s="78" t="s">
        <v>217</v>
      </c>
      <c r="D25" s="78" t="s">
        <v>218</v>
      </c>
      <c r="E25" s="78" t="s">
        <v>219</v>
      </c>
      <c r="F25" s="78"/>
      <c r="G25" s="88" t="s">
        <v>220</v>
      </c>
      <c r="H25" s="79"/>
      <c r="I25" s="90"/>
      <c r="J25" s="84" t="s">
        <v>213</v>
      </c>
      <c r="K25" s="83" t="s">
        <v>12</v>
      </c>
      <c r="L25" s="82"/>
    </row>
    <row r="26" spans="2:12">
      <c r="B26" s="119"/>
      <c r="C26" s="103" t="s">
        <v>221</v>
      </c>
      <c r="D26" s="78" t="s">
        <v>222</v>
      </c>
      <c r="E26" s="78" t="s">
        <v>56</v>
      </c>
      <c r="F26" s="78"/>
      <c r="G26" s="88">
        <v>7</v>
      </c>
      <c r="H26" s="79"/>
      <c r="I26" s="90"/>
      <c r="J26" s="84" t="s">
        <v>213</v>
      </c>
      <c r="K26" s="83" t="s">
        <v>12</v>
      </c>
      <c r="L26" s="82"/>
    </row>
    <row r="27" spans="2:12">
      <c r="B27" s="119"/>
      <c r="C27" s="103"/>
      <c r="D27" s="78" t="s">
        <v>223</v>
      </c>
      <c r="E27" s="78" t="s">
        <v>56</v>
      </c>
      <c r="F27" s="78"/>
      <c r="G27" s="88">
        <v>15</v>
      </c>
      <c r="H27" s="79"/>
      <c r="I27" s="90"/>
      <c r="J27" s="84" t="s">
        <v>213</v>
      </c>
      <c r="K27" s="83" t="s">
        <v>12</v>
      </c>
      <c r="L27" s="82"/>
    </row>
    <row r="28" spans="2:12">
      <c r="B28" s="119"/>
      <c r="C28" s="103"/>
      <c r="D28" s="78" t="s">
        <v>131</v>
      </c>
      <c r="E28" s="78" t="s">
        <v>56</v>
      </c>
      <c r="F28" s="78"/>
      <c r="G28" s="88">
        <v>4</v>
      </c>
      <c r="H28" s="79"/>
      <c r="I28" s="90"/>
      <c r="J28" s="84" t="s">
        <v>213</v>
      </c>
      <c r="K28" s="83" t="s">
        <v>12</v>
      </c>
      <c r="L28" s="82"/>
    </row>
    <row r="29" spans="2:12">
      <c r="B29" s="119"/>
      <c r="C29" s="103"/>
      <c r="D29" s="78" t="s">
        <v>215</v>
      </c>
      <c r="E29" s="78" t="s">
        <v>56</v>
      </c>
      <c r="F29" s="78"/>
      <c r="G29" s="88">
        <v>7</v>
      </c>
      <c r="H29" s="79"/>
      <c r="I29" s="90"/>
      <c r="J29" s="84" t="s">
        <v>213</v>
      </c>
      <c r="K29" s="83" t="s">
        <v>12</v>
      </c>
      <c r="L29" s="82"/>
    </row>
    <row r="30" spans="2:12">
      <c r="B30" s="119"/>
      <c r="C30" s="103"/>
      <c r="D30" s="78" t="s">
        <v>216</v>
      </c>
      <c r="E30" s="78" t="s">
        <v>56</v>
      </c>
      <c r="F30" s="78"/>
      <c r="G30" s="88">
        <v>7</v>
      </c>
      <c r="H30" s="79"/>
      <c r="I30" s="90"/>
      <c r="J30" s="84" t="s">
        <v>213</v>
      </c>
      <c r="K30" s="83" t="s">
        <v>12</v>
      </c>
      <c r="L30" s="82"/>
    </row>
    <row r="31" spans="2:12">
      <c r="B31" s="119"/>
      <c r="C31" s="103"/>
      <c r="D31" s="78" t="s">
        <v>224</v>
      </c>
      <c r="E31" s="78" t="s">
        <v>225</v>
      </c>
      <c r="F31" s="78"/>
      <c r="G31" s="88">
        <v>10</v>
      </c>
      <c r="H31" s="79"/>
      <c r="I31" s="90"/>
      <c r="J31" s="84" t="s">
        <v>213</v>
      </c>
      <c r="K31" s="83" t="s">
        <v>12</v>
      </c>
      <c r="L31" s="82"/>
    </row>
    <row r="32" spans="2:12" ht="14.5" thickBot="1">
      <c r="B32" s="104"/>
      <c r="C32" s="120"/>
      <c r="D32" s="87" t="s">
        <v>226</v>
      </c>
      <c r="E32" s="87" t="s">
        <v>56</v>
      </c>
      <c r="F32" s="87"/>
      <c r="G32" s="92">
        <v>50</v>
      </c>
      <c r="H32" s="93"/>
      <c r="I32" s="91"/>
      <c r="J32" s="85" t="s">
        <v>213</v>
      </c>
      <c r="K32" s="83" t="s">
        <v>12</v>
      </c>
      <c r="L32" s="86"/>
    </row>
    <row r="33" spans="2:12">
      <c r="B33" s="107" t="s">
        <v>227</v>
      </c>
      <c r="C33" s="110"/>
      <c r="D33" s="111"/>
      <c r="E33" s="111"/>
      <c r="F33" s="111"/>
      <c r="G33" s="111"/>
      <c r="H33" s="111"/>
      <c r="I33" s="111"/>
      <c r="J33" s="111"/>
      <c r="K33" s="111"/>
      <c r="L33" s="112"/>
    </row>
    <row r="34" spans="2:12">
      <c r="B34" s="108"/>
      <c r="C34" s="113"/>
      <c r="D34" s="114"/>
      <c r="E34" s="114"/>
      <c r="F34" s="114"/>
      <c r="G34" s="114"/>
      <c r="H34" s="114"/>
      <c r="I34" s="114"/>
      <c r="J34" s="114"/>
      <c r="K34" s="114"/>
      <c r="L34" s="115"/>
    </row>
    <row r="35" spans="2:12" ht="14.5" thickBot="1">
      <c r="B35" s="109"/>
      <c r="C35" s="116"/>
      <c r="D35" s="117"/>
      <c r="E35" s="117"/>
      <c r="F35" s="117"/>
      <c r="G35" s="117"/>
      <c r="H35" s="117"/>
      <c r="I35" s="117"/>
      <c r="J35" s="117"/>
      <c r="K35" s="117"/>
      <c r="L35" s="118"/>
    </row>
  </sheetData>
  <mergeCells count="17">
    <mergeCell ref="B6:B8"/>
    <mergeCell ref="C6:D6"/>
    <mergeCell ref="C7:D7"/>
    <mergeCell ref="C8:D8"/>
    <mergeCell ref="B33:B35"/>
    <mergeCell ref="C33:L35"/>
    <mergeCell ref="B9:B24"/>
    <mergeCell ref="C10:C15"/>
    <mergeCell ref="C16:C19"/>
    <mergeCell ref="C20:C24"/>
    <mergeCell ref="B25:B32"/>
    <mergeCell ref="C26:C32"/>
    <mergeCell ref="B2:L2"/>
    <mergeCell ref="J3:L3"/>
    <mergeCell ref="B4:D4"/>
    <mergeCell ref="J4:K4"/>
    <mergeCell ref="C5:D5"/>
  </mergeCells>
  <phoneticPr fontId="1" type="noConversion"/>
  <conditionalFormatting sqref="J5">
    <cfRule type="cellIs" dxfId="6" priority="1" operator="equal">
      <formula>0</formula>
    </cfRule>
    <cfRule type="cellIs" dxfId="5" priority="2" operator="lessThan">
      <formula>0</formula>
    </cfRule>
    <cfRule type="cellIs" dxfId="4" priority="3" operator="greaterThan">
      <formula>0</formula>
    </cfRule>
  </conditionalFormatting>
  <conditionalFormatting sqref="J6:J19">
    <cfRule type="cellIs" dxfId="3" priority="6" operator="equal">
      <formula>"合格"</formula>
    </cfRule>
    <cfRule type="cellIs" dxfId="2" priority="7" operator="equal">
      <formula>"不合格"</formula>
    </cfRule>
    <cfRule type="containsText" dxfId="1" priority="8" operator="containsText" text="不合格">
      <formula>NOT(ISERROR(SEARCH("不合格",J6)))</formula>
    </cfRule>
    <cfRule type="cellIs" dxfId="0" priority="9" operator="equal">
      <formula>"合格"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dimension ref="B2:K12"/>
  <sheetViews>
    <sheetView workbookViewId="0">
      <selection activeCell="C6" sqref="C6:K6"/>
    </sheetView>
  </sheetViews>
  <sheetFormatPr defaultColWidth="9" defaultRowHeight="13"/>
  <cols>
    <col min="1" max="1" width="1.58203125" style="2" customWidth="1"/>
    <col min="2" max="16384" width="9" style="2"/>
  </cols>
  <sheetData>
    <row r="2" spans="2:11" ht="27.75" customHeight="1">
      <c r="B2" s="123" t="s">
        <v>173</v>
      </c>
      <c r="C2" s="123"/>
      <c r="D2" s="123"/>
      <c r="E2" s="123"/>
      <c r="F2" s="123"/>
      <c r="G2" s="123"/>
      <c r="H2" s="123"/>
      <c r="I2" s="123"/>
      <c r="J2" s="123"/>
      <c r="K2" s="123"/>
    </row>
    <row r="3" spans="2:11" ht="15" customHeight="1">
      <c r="B3" s="121"/>
      <c r="C3" s="122"/>
      <c r="D3" s="122"/>
      <c r="E3" s="122"/>
      <c r="F3" s="122"/>
      <c r="G3" s="122"/>
      <c r="H3" s="122"/>
      <c r="I3" s="122"/>
      <c r="J3" s="122"/>
      <c r="K3" s="122"/>
    </row>
    <row r="4" spans="2:11" ht="30" customHeight="1">
      <c r="B4" s="10" t="s">
        <v>16</v>
      </c>
      <c r="C4" s="11" t="s">
        <v>7</v>
      </c>
      <c r="D4" s="11" t="s">
        <v>8</v>
      </c>
      <c r="E4" s="11" t="s">
        <v>3</v>
      </c>
      <c r="F4" s="11" t="s">
        <v>9</v>
      </c>
      <c r="G4" s="11" t="s">
        <v>4</v>
      </c>
      <c r="H4" s="11" t="s">
        <v>2</v>
      </c>
      <c r="I4" s="11" t="s">
        <v>6</v>
      </c>
      <c r="J4" s="12" t="s">
        <v>20</v>
      </c>
      <c r="K4" s="12" t="s">
        <v>5</v>
      </c>
    </row>
    <row r="5" spans="2:11" ht="25" customHeight="1">
      <c r="B5" s="56" t="s">
        <v>1</v>
      </c>
      <c r="C5" s="57" t="s">
        <v>11</v>
      </c>
      <c r="D5" s="57" t="s">
        <v>10</v>
      </c>
      <c r="E5" s="57" t="s">
        <v>10</v>
      </c>
      <c r="F5" s="57" t="s">
        <v>12</v>
      </c>
      <c r="G5" s="57" t="s">
        <v>15</v>
      </c>
      <c r="H5" s="57" t="s">
        <v>13</v>
      </c>
      <c r="I5" s="57" t="s">
        <v>13</v>
      </c>
      <c r="J5" s="9" t="s">
        <v>14</v>
      </c>
      <c r="K5" s="9" t="s">
        <v>13</v>
      </c>
    </row>
    <row r="6" spans="2:11" ht="25" customHeight="1">
      <c r="B6" s="13" t="s">
        <v>0</v>
      </c>
      <c r="C6" s="20">
        <v>21.7</v>
      </c>
      <c r="D6" s="20">
        <v>1.93</v>
      </c>
      <c r="E6" s="20">
        <v>0.33</v>
      </c>
      <c r="F6" s="20">
        <v>0.51500000000000001</v>
      </c>
      <c r="G6" s="20">
        <v>1.2</v>
      </c>
      <c r="H6" s="20">
        <v>170</v>
      </c>
      <c r="I6" s="20">
        <v>183</v>
      </c>
      <c r="J6" s="20">
        <v>1</v>
      </c>
      <c r="K6" s="20">
        <v>150</v>
      </c>
    </row>
    <row r="7" spans="2:11" ht="25" customHeight="1">
      <c r="B7" s="4" t="s">
        <v>17</v>
      </c>
      <c r="C7" s="5"/>
      <c r="D7" s="5"/>
      <c r="E7" s="5"/>
      <c r="F7" s="14"/>
      <c r="G7" s="5"/>
      <c r="H7" s="16"/>
      <c r="I7" s="5"/>
      <c r="J7" s="18"/>
      <c r="K7" s="18"/>
    </row>
    <row r="8" spans="2:11" ht="25" customHeight="1">
      <c r="B8" s="4" t="s">
        <v>18</v>
      </c>
      <c r="C8" s="5"/>
      <c r="D8" s="5"/>
      <c r="E8" s="5"/>
      <c r="F8" s="14"/>
      <c r="G8" s="5"/>
      <c r="H8" s="16"/>
      <c r="I8" s="5"/>
      <c r="J8" s="18"/>
      <c r="K8" s="18"/>
    </row>
    <row r="9" spans="2:11" ht="25" customHeight="1">
      <c r="B9" s="7" t="s">
        <v>19</v>
      </c>
      <c r="C9" s="8"/>
      <c r="D9" s="8"/>
      <c r="E9" s="8"/>
      <c r="F9" s="15"/>
      <c r="G9" s="8"/>
      <c r="H9" s="17"/>
      <c r="I9" s="8"/>
      <c r="J9" s="19"/>
      <c r="K9" s="19"/>
    </row>
    <row r="10" spans="2:11" ht="20.149999999999999" customHeight="1"/>
    <row r="11" spans="2:11" ht="20.149999999999999" customHeight="1"/>
    <row r="12" spans="2:11" ht="20.149999999999999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dimension ref="B2:G9"/>
  <sheetViews>
    <sheetView zoomScaleNormal="100" zoomScaleSheetLayoutView="130" workbookViewId="0">
      <selection activeCell="C5" sqref="C5"/>
    </sheetView>
  </sheetViews>
  <sheetFormatPr defaultColWidth="9" defaultRowHeight="13"/>
  <cols>
    <col min="1" max="1" width="3" style="2" customWidth="1"/>
    <col min="2" max="7" width="11.25" style="2" customWidth="1"/>
    <col min="8" max="8" width="3.83203125" style="2" customWidth="1"/>
    <col min="9" max="16384" width="9" style="2"/>
  </cols>
  <sheetData>
    <row r="2" spans="2:7" ht="17.5">
      <c r="B2" s="124" t="s">
        <v>172</v>
      </c>
      <c r="C2" s="125"/>
      <c r="D2" s="125"/>
      <c r="E2" s="125"/>
      <c r="F2" s="125"/>
      <c r="G2" s="126"/>
    </row>
    <row r="3" spans="2:7" ht="25.25" customHeight="1">
      <c r="B3" s="3" t="s">
        <v>30</v>
      </c>
      <c r="C3" s="127" t="s">
        <v>26</v>
      </c>
      <c r="D3" s="128"/>
      <c r="E3" s="129" t="s">
        <v>27</v>
      </c>
      <c r="F3" s="130"/>
      <c r="G3" s="48" t="s">
        <v>31</v>
      </c>
    </row>
    <row r="4" spans="2:7" ht="26">
      <c r="B4" s="53"/>
      <c r="C4" s="54" t="s">
        <v>24</v>
      </c>
      <c r="D4" s="54" t="s">
        <v>25</v>
      </c>
      <c r="E4" s="54" t="s">
        <v>28</v>
      </c>
      <c r="F4" s="54" t="s">
        <v>29</v>
      </c>
      <c r="G4" s="49" t="s">
        <v>32</v>
      </c>
    </row>
    <row r="5" spans="2:7" ht="16.5" customHeight="1">
      <c r="B5" s="55" t="s">
        <v>0</v>
      </c>
      <c r="C5" s="20">
        <v>33.1</v>
      </c>
      <c r="D5" s="20">
        <v>29.1</v>
      </c>
      <c r="E5" s="20">
        <v>1.6</v>
      </c>
      <c r="F5" s="20">
        <v>17.600000000000001</v>
      </c>
      <c r="G5" s="20">
        <v>6.28</v>
      </c>
    </row>
    <row r="6" spans="2:7" ht="16.5" customHeight="1">
      <c r="B6" s="3" t="s">
        <v>34</v>
      </c>
      <c r="C6" s="25"/>
      <c r="D6" s="25"/>
      <c r="E6" s="25"/>
      <c r="F6" s="25"/>
      <c r="G6" s="28"/>
    </row>
    <row r="7" spans="2:7" ht="16.5" customHeight="1">
      <c r="B7" s="3" t="s">
        <v>35</v>
      </c>
      <c r="C7" s="25"/>
      <c r="D7" s="25"/>
      <c r="E7" s="25"/>
      <c r="F7" s="25"/>
      <c r="G7" s="28"/>
    </row>
    <row r="8" spans="2:7" ht="16.5" customHeight="1">
      <c r="B8" s="3" t="s">
        <v>164</v>
      </c>
      <c r="C8" s="25"/>
      <c r="D8" s="25"/>
      <c r="E8" s="25"/>
      <c r="F8" s="25"/>
      <c r="G8" s="28"/>
    </row>
    <row r="9" spans="2:7" ht="16.5" customHeight="1">
      <c r="B9" s="48" t="s">
        <v>36</v>
      </c>
      <c r="C9" s="28">
        <f>C7-C6</f>
        <v>0</v>
      </c>
      <c r="D9" s="28">
        <f>D7-D6</f>
        <v>0</v>
      </c>
      <c r="E9" s="28">
        <f>E7-E6</f>
        <v>0</v>
      </c>
      <c r="F9" s="28">
        <f>F7-F6</f>
        <v>0</v>
      </c>
      <c r="G9" s="28">
        <f>G7-G6</f>
        <v>0</v>
      </c>
    </row>
  </sheetData>
  <mergeCells count="3">
    <mergeCell ref="B2:G2"/>
    <mergeCell ref="C3:D3"/>
    <mergeCell ref="E3:F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dimension ref="B2:I12"/>
  <sheetViews>
    <sheetView workbookViewId="0">
      <selection activeCell="K6" sqref="K6"/>
    </sheetView>
  </sheetViews>
  <sheetFormatPr defaultColWidth="9" defaultRowHeight="17.149999999999999" customHeight="1"/>
  <cols>
    <col min="1" max="1" width="2.33203125" style="2" customWidth="1"/>
    <col min="2" max="2" width="9.1640625" style="2" bestFit="1" customWidth="1"/>
    <col min="3" max="9" width="10.75" style="2" customWidth="1"/>
    <col min="10" max="16384" width="9" style="2"/>
  </cols>
  <sheetData>
    <row r="2" spans="2:9" ht="17.149999999999999" customHeight="1">
      <c r="B2" s="134" t="s">
        <v>174</v>
      </c>
      <c r="C2" s="134"/>
      <c r="D2" s="134"/>
      <c r="E2" s="134"/>
      <c r="F2" s="134"/>
      <c r="G2" s="134"/>
      <c r="H2" s="134"/>
      <c r="I2" s="134"/>
    </row>
    <row r="3" spans="2:9" ht="17.149999999999999" customHeight="1">
      <c r="B3" s="121"/>
      <c r="C3" s="122"/>
      <c r="D3" s="122"/>
      <c r="E3" s="122"/>
      <c r="F3" s="122"/>
      <c r="G3" s="122"/>
      <c r="H3" s="122"/>
      <c r="I3" s="122"/>
    </row>
    <row r="4" spans="2:9" ht="17.149999999999999" customHeight="1">
      <c r="B4" s="29" t="s">
        <v>39</v>
      </c>
      <c r="C4" s="30" t="s">
        <v>38</v>
      </c>
      <c r="D4" s="30" t="s">
        <v>41</v>
      </c>
      <c r="E4" s="30" t="s">
        <v>42</v>
      </c>
      <c r="F4" s="30" t="s">
        <v>43</v>
      </c>
      <c r="G4" s="30" t="s">
        <v>44</v>
      </c>
      <c r="H4" s="30" t="s">
        <v>48</v>
      </c>
      <c r="I4" s="31" t="s">
        <v>49</v>
      </c>
    </row>
    <row r="5" spans="2:9" ht="17.149999999999999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9" ht="17.149999999999999" customHeight="1">
      <c r="B6" s="13" t="s">
        <v>45</v>
      </c>
      <c r="C6" s="20" t="s">
        <v>51</v>
      </c>
      <c r="D6" s="20" t="s">
        <v>52</v>
      </c>
      <c r="E6" s="20" t="s">
        <v>53</v>
      </c>
      <c r="F6" s="20" t="s">
        <v>54</v>
      </c>
      <c r="G6" s="20">
        <v>9.5</v>
      </c>
      <c r="H6" s="20" t="s">
        <v>12</v>
      </c>
      <c r="I6" s="37" t="s">
        <v>12</v>
      </c>
    </row>
    <row r="7" spans="2:9" ht="17.149999999999999" customHeight="1">
      <c r="B7" s="4" t="s">
        <v>46</v>
      </c>
      <c r="C7" s="5"/>
      <c r="D7" s="5"/>
      <c r="E7" s="5"/>
      <c r="F7" s="5"/>
      <c r="G7" s="5"/>
      <c r="H7" s="5"/>
      <c r="I7" s="6"/>
    </row>
    <row r="8" spans="2:9" ht="17.149999999999999" customHeight="1">
      <c r="B8" s="4" t="s">
        <v>34</v>
      </c>
      <c r="C8" s="5"/>
      <c r="D8" s="5"/>
      <c r="E8" s="5"/>
      <c r="F8" s="5"/>
      <c r="G8" s="5"/>
      <c r="H8" s="5"/>
      <c r="I8" s="6"/>
    </row>
    <row r="9" spans="2:9" ht="17.149999999999999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9" ht="17.149999999999999" customHeight="1">
      <c r="B10" s="33" t="s">
        <v>47</v>
      </c>
      <c r="C10" s="34">
        <v>41118</v>
      </c>
      <c r="D10" s="34">
        <v>1104</v>
      </c>
      <c r="E10" s="34">
        <v>3571</v>
      </c>
      <c r="F10" s="34">
        <v>80</v>
      </c>
      <c r="G10" s="34">
        <v>9.36</v>
      </c>
      <c r="H10" s="35" t="s">
        <v>12</v>
      </c>
      <c r="I10" s="36" t="s">
        <v>12</v>
      </c>
    </row>
    <row r="11" spans="2:9" ht="17.149999999999999" customHeight="1">
      <c r="B11" s="131" t="s">
        <v>50</v>
      </c>
      <c r="C11" s="132"/>
      <c r="D11" s="132"/>
      <c r="E11" s="132"/>
      <c r="F11" s="132"/>
      <c r="G11" s="132"/>
      <c r="H11" s="132"/>
      <c r="I11" s="133"/>
    </row>
    <row r="12" spans="2:9" ht="17.149999999999999" customHeight="1">
      <c r="B12" s="1"/>
      <c r="C12" s="1"/>
      <c r="D12" s="1"/>
      <c r="E12" s="1"/>
      <c r="F12" s="1"/>
      <c r="G12" s="1"/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dimension ref="B2:J18"/>
  <sheetViews>
    <sheetView zoomScale="115" zoomScaleNormal="115" workbookViewId="0">
      <selection activeCell="M8" sqref="M8"/>
    </sheetView>
  </sheetViews>
  <sheetFormatPr defaultColWidth="9" defaultRowHeight="13"/>
  <cols>
    <col min="1" max="1" width="2.25" style="2" customWidth="1"/>
    <col min="2" max="3" width="9.4140625" style="2" bestFit="1" customWidth="1"/>
    <col min="4" max="5" width="7.83203125" style="2" bestFit="1" customWidth="1"/>
    <col min="6" max="7" width="9.4140625" style="2" bestFit="1" customWidth="1"/>
    <col min="8" max="9" width="7.83203125" style="2" bestFit="1" customWidth="1"/>
    <col min="10" max="10" width="9.4140625" style="2" bestFit="1" customWidth="1"/>
    <col min="11" max="16384" width="9" style="2"/>
  </cols>
  <sheetData>
    <row r="2" spans="2:10" ht="30" customHeight="1">
      <c r="B2" s="136" t="s">
        <v>175</v>
      </c>
      <c r="C2" s="136"/>
      <c r="D2" s="136"/>
      <c r="E2" s="136"/>
      <c r="F2" s="136"/>
      <c r="G2" s="136"/>
      <c r="H2" s="136"/>
      <c r="I2" s="136"/>
      <c r="J2" s="136"/>
    </row>
    <row r="3" spans="2:10" ht="15" customHeight="1">
      <c r="B3" s="136"/>
      <c r="C3" s="136"/>
      <c r="D3" s="136"/>
      <c r="E3" s="136"/>
      <c r="F3" s="136"/>
      <c r="G3" s="136"/>
      <c r="H3" s="136"/>
      <c r="I3" s="136"/>
      <c r="J3" s="136"/>
    </row>
    <row r="4" spans="2:10" ht="25" customHeight="1">
      <c r="B4" s="135" t="s">
        <v>55</v>
      </c>
      <c r="C4" s="135" t="s">
        <v>165</v>
      </c>
      <c r="D4" s="135"/>
      <c r="E4" s="135"/>
      <c r="F4" s="135"/>
      <c r="G4" s="135" t="s">
        <v>166</v>
      </c>
      <c r="H4" s="135"/>
      <c r="I4" s="135"/>
      <c r="J4" s="135"/>
    </row>
    <row r="5" spans="2:10" ht="25" customHeight="1">
      <c r="B5" s="135"/>
      <c r="C5" s="48" t="s">
        <v>21</v>
      </c>
      <c r="D5" s="48" t="s">
        <v>57</v>
      </c>
      <c r="E5" s="48" t="s">
        <v>58</v>
      </c>
      <c r="F5" s="48" t="s">
        <v>59</v>
      </c>
      <c r="G5" s="48" t="s">
        <v>21</v>
      </c>
      <c r="H5" s="48" t="s">
        <v>57</v>
      </c>
      <c r="I5" s="48" t="s">
        <v>58</v>
      </c>
      <c r="J5" s="48" t="s">
        <v>59</v>
      </c>
    </row>
    <row r="6" spans="2:10" ht="25" customHeight="1">
      <c r="B6" s="135"/>
      <c r="C6" s="48" t="s">
        <v>56</v>
      </c>
      <c r="D6" s="48" t="s">
        <v>56</v>
      </c>
      <c r="E6" s="48" t="s">
        <v>56</v>
      </c>
      <c r="F6" s="48" t="s">
        <v>56</v>
      </c>
      <c r="G6" s="48" t="s">
        <v>56</v>
      </c>
      <c r="H6" s="48" t="s">
        <v>56</v>
      </c>
      <c r="I6" s="48" t="s">
        <v>56</v>
      </c>
      <c r="J6" s="48" t="s">
        <v>56</v>
      </c>
    </row>
    <row r="7" spans="2:10" ht="25" customHeight="1">
      <c r="B7" s="58" t="s">
        <v>60</v>
      </c>
      <c r="C7" s="48"/>
      <c r="D7" s="48"/>
      <c r="E7" s="48"/>
      <c r="F7" s="48"/>
      <c r="G7" s="48"/>
      <c r="H7" s="48"/>
      <c r="I7" s="48"/>
      <c r="J7" s="48"/>
    </row>
    <row r="8" spans="2:10" ht="25" customHeight="1">
      <c r="B8" s="48" t="s">
        <v>64</v>
      </c>
      <c r="C8" s="48"/>
      <c r="D8" s="48"/>
      <c r="E8" s="48"/>
      <c r="F8" s="48"/>
      <c r="G8" s="48"/>
      <c r="H8" s="48"/>
      <c r="I8" s="48"/>
      <c r="J8" s="48"/>
    </row>
    <row r="9" spans="2:10" ht="25" customHeight="1">
      <c r="B9" s="48" t="s">
        <v>167</v>
      </c>
      <c r="C9" s="48"/>
      <c r="D9" s="48"/>
      <c r="E9" s="48"/>
      <c r="F9" s="48"/>
      <c r="G9" s="48"/>
      <c r="H9" s="48"/>
      <c r="I9" s="48"/>
      <c r="J9" s="48"/>
    </row>
    <row r="10" spans="2:10" ht="25" customHeight="1"/>
    <row r="11" spans="2:10" ht="25" customHeight="1"/>
    <row r="17" ht="14.15" customHeight="1"/>
    <row r="18" ht="14.15" customHeight="1"/>
  </sheetData>
  <mergeCells count="4">
    <mergeCell ref="C4:F4"/>
    <mergeCell ref="G4:J4"/>
    <mergeCell ref="B4:B6"/>
    <mergeCell ref="B2:J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dimension ref="B2:F11"/>
  <sheetViews>
    <sheetView zoomScale="70" zoomScaleNormal="70" workbookViewId="0">
      <selection activeCell="J6" sqref="J6"/>
    </sheetView>
  </sheetViews>
  <sheetFormatPr defaultColWidth="9" defaultRowHeight="14"/>
  <cols>
    <col min="1" max="1" width="2.58203125" style="1" customWidth="1"/>
    <col min="2" max="2" width="9" style="1"/>
    <col min="3" max="4" width="40.08203125" style="1" bestFit="1" customWidth="1"/>
    <col min="5" max="5" width="9.58203125" style="1" bestFit="1" customWidth="1"/>
    <col min="6" max="6" width="6.83203125" style="1" bestFit="1" customWidth="1"/>
    <col min="7" max="7" width="12.58203125" style="1" customWidth="1"/>
    <col min="8" max="22" width="9" style="1"/>
    <col min="23" max="23" width="8.6640625" style="1" bestFit="1" customWidth="1"/>
    <col min="24" max="16384" width="9" style="1"/>
  </cols>
  <sheetData>
    <row r="2" spans="2:6" ht="30" customHeight="1">
      <c r="B2" s="139" t="s">
        <v>176</v>
      </c>
      <c r="C2" s="140"/>
      <c r="D2" s="140"/>
      <c r="E2" s="140"/>
      <c r="F2" s="141"/>
    </row>
    <row r="3" spans="2:6" ht="15" customHeight="1">
      <c r="B3" s="142"/>
      <c r="C3" s="143"/>
      <c r="D3" s="143"/>
      <c r="E3" s="143"/>
      <c r="F3" s="144"/>
    </row>
    <row r="4" spans="2:6" ht="25" customHeight="1">
      <c r="B4" s="138" t="s">
        <v>16</v>
      </c>
      <c r="C4" s="59" t="s">
        <v>61</v>
      </c>
      <c r="D4" s="59" t="s">
        <v>23</v>
      </c>
      <c r="E4" s="59" t="s">
        <v>36</v>
      </c>
      <c r="F4" s="138" t="s">
        <v>62</v>
      </c>
    </row>
    <row r="5" spans="2:6" ht="25" customHeight="1">
      <c r="B5" s="138"/>
      <c r="C5" s="59" t="s">
        <v>56</v>
      </c>
      <c r="D5" s="59" t="s">
        <v>56</v>
      </c>
      <c r="E5" s="59" t="s">
        <v>56</v>
      </c>
      <c r="F5" s="138"/>
    </row>
    <row r="6" spans="2:6" ht="25" customHeight="1">
      <c r="B6" s="59" t="s">
        <v>63</v>
      </c>
      <c r="C6" s="59"/>
      <c r="D6" s="59"/>
      <c r="E6" s="59">
        <f>C6-D6</f>
        <v>0</v>
      </c>
      <c r="F6" s="59"/>
    </row>
    <row r="7" spans="2:6" ht="25" customHeight="1">
      <c r="B7" s="59" t="s">
        <v>64</v>
      </c>
      <c r="C7" s="59"/>
      <c r="D7" s="59"/>
      <c r="E7" s="59">
        <f>C7-D7</f>
        <v>0</v>
      </c>
      <c r="F7" s="59"/>
    </row>
    <row r="8" spans="2:6" ht="25" customHeight="1">
      <c r="B8" s="60" t="s">
        <v>65</v>
      </c>
      <c r="C8" s="60"/>
      <c r="D8" s="60"/>
      <c r="E8" s="60">
        <f>C8-D8</f>
        <v>0</v>
      </c>
      <c r="F8" s="60"/>
    </row>
    <row r="11" spans="2:6">
      <c r="D11" s="137"/>
      <c r="E11" s="137"/>
      <c r="F11" s="137"/>
    </row>
  </sheetData>
  <mergeCells count="4">
    <mergeCell ref="D11:F11"/>
    <mergeCell ref="B4:B5"/>
    <mergeCell ref="F4:F5"/>
    <mergeCell ref="B2:F3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54765-2F12-481A-9848-0C6D93ECED61}">
  <dimension ref="B2:P7"/>
  <sheetViews>
    <sheetView workbookViewId="0">
      <selection activeCell="R29" sqref="R29"/>
    </sheetView>
  </sheetViews>
  <sheetFormatPr defaultColWidth="9" defaultRowHeight="13"/>
  <cols>
    <col min="1" max="1" width="2" style="2" customWidth="1"/>
    <col min="2" max="2" width="16.1640625" style="2" customWidth="1"/>
    <col min="3" max="3" width="15.6640625" style="2" bestFit="1" customWidth="1"/>
    <col min="4" max="14" width="6.58203125" style="2" customWidth="1"/>
    <col min="15" max="16" width="7.58203125" style="2" customWidth="1"/>
    <col min="17" max="16384" width="9" style="2"/>
  </cols>
  <sheetData>
    <row r="2" spans="2:16" ht="30" customHeight="1">
      <c r="B2" s="134" t="s">
        <v>177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</row>
    <row r="3" spans="2:16" ht="15" customHeight="1"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</row>
    <row r="4" spans="2:16" ht="60" customHeight="1">
      <c r="B4" s="44" t="s">
        <v>66</v>
      </c>
      <c r="C4" s="22" t="s">
        <v>67</v>
      </c>
      <c r="D4" s="22" t="s">
        <v>68</v>
      </c>
      <c r="E4" s="22" t="s">
        <v>69</v>
      </c>
      <c r="F4" s="22" t="s">
        <v>70</v>
      </c>
      <c r="G4" s="22" t="s">
        <v>71</v>
      </c>
      <c r="H4" s="22" t="s">
        <v>72</v>
      </c>
      <c r="I4" s="22" t="s">
        <v>73</v>
      </c>
      <c r="J4" s="22" t="s">
        <v>74</v>
      </c>
      <c r="K4" s="22" t="s">
        <v>75</v>
      </c>
      <c r="L4" s="22" t="s">
        <v>76</v>
      </c>
      <c r="M4" s="22" t="s">
        <v>77</v>
      </c>
      <c r="N4" s="22" t="s">
        <v>78</v>
      </c>
      <c r="O4" s="22" t="s">
        <v>34</v>
      </c>
      <c r="P4" s="23" t="s">
        <v>35</v>
      </c>
    </row>
    <row r="5" spans="2:16" ht="60" customHeight="1">
      <c r="B5" s="61" t="s">
        <v>79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6"/>
    </row>
    <row r="6" spans="2:16" ht="60" customHeight="1">
      <c r="B6" s="62" t="s">
        <v>80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6"/>
    </row>
    <row r="7" spans="2:16" ht="25" customHeight="1"/>
  </sheetData>
  <mergeCells count="1">
    <mergeCell ref="B2:P3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4D530-4977-4F6A-B6E4-BE4620A0F189}">
  <dimension ref="B2:M25"/>
  <sheetViews>
    <sheetView zoomScale="85" zoomScaleNormal="85" workbookViewId="0">
      <selection activeCell="R29" sqref="R29"/>
    </sheetView>
  </sheetViews>
  <sheetFormatPr defaultColWidth="9" defaultRowHeight="13"/>
  <cols>
    <col min="1" max="1" width="1.83203125" style="2" customWidth="1"/>
    <col min="2" max="2" width="10.58203125" style="2" customWidth="1"/>
    <col min="3" max="3" width="9" style="2"/>
    <col min="4" max="4" width="15.9140625" style="2" bestFit="1" customWidth="1"/>
    <col min="5" max="16384" width="9" style="2"/>
  </cols>
  <sheetData>
    <row r="2" spans="2:13" ht="30" customHeight="1">
      <c r="B2" s="136" t="s">
        <v>178</v>
      </c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</row>
    <row r="3" spans="2:13" ht="30" customHeight="1">
      <c r="B3" s="135" t="s">
        <v>133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</row>
    <row r="4" spans="2:13" ht="10" customHeight="1">
      <c r="B4" s="147"/>
      <c r="C4" s="148"/>
      <c r="D4" s="148"/>
      <c r="E4" s="148"/>
      <c r="F4" s="148"/>
      <c r="G4" s="148"/>
      <c r="H4" s="148"/>
      <c r="I4" s="148"/>
      <c r="J4" s="148"/>
      <c r="K4" s="148"/>
      <c r="L4" s="148"/>
      <c r="M4" s="148"/>
    </row>
    <row r="5" spans="2:13" ht="20.149999999999999" customHeight="1">
      <c r="B5" s="135" t="s">
        <v>117</v>
      </c>
      <c r="C5" s="149"/>
      <c r="D5" s="51"/>
      <c r="E5" s="51"/>
      <c r="F5" s="51"/>
      <c r="G5" s="51"/>
      <c r="H5" s="51"/>
      <c r="I5" s="51"/>
      <c r="J5" s="51"/>
      <c r="K5" s="150" t="s">
        <v>127</v>
      </c>
      <c r="L5" s="150" t="s">
        <v>126</v>
      </c>
      <c r="M5" s="150" t="s">
        <v>128</v>
      </c>
    </row>
    <row r="6" spans="2:13" ht="20.149999999999999" customHeight="1">
      <c r="B6" s="135" t="s">
        <v>118</v>
      </c>
      <c r="C6" s="149"/>
      <c r="D6" s="51" t="s">
        <v>122</v>
      </c>
      <c r="E6" s="51" t="s">
        <v>123</v>
      </c>
      <c r="F6" s="51" t="s">
        <v>124</v>
      </c>
      <c r="G6" s="51" t="s">
        <v>125</v>
      </c>
      <c r="H6" s="51" t="s">
        <v>119</v>
      </c>
      <c r="I6" s="51" t="s">
        <v>120</v>
      </c>
      <c r="J6" s="51" t="s">
        <v>121</v>
      </c>
      <c r="K6" s="149"/>
      <c r="L6" s="149"/>
      <c r="M6" s="149"/>
    </row>
    <row r="7" spans="2:13" ht="20.149999999999999" customHeight="1">
      <c r="B7" s="145" t="s">
        <v>129</v>
      </c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</row>
    <row r="8" spans="2:13" ht="20.149999999999999" customHeight="1">
      <c r="B8" s="51" t="s">
        <v>21</v>
      </c>
      <c r="C8" s="51" t="s">
        <v>56</v>
      </c>
      <c r="D8" s="63"/>
      <c r="E8" s="51"/>
      <c r="F8" s="51"/>
      <c r="G8" s="51"/>
      <c r="H8" s="51"/>
      <c r="I8" s="51"/>
      <c r="J8" s="51"/>
      <c r="K8" s="51"/>
      <c r="L8" s="51"/>
      <c r="M8" s="51">
        <f>K8-L8</f>
        <v>0</v>
      </c>
    </row>
    <row r="9" spans="2:13" ht="20.149999999999999" customHeight="1">
      <c r="B9" s="51" t="s">
        <v>94</v>
      </c>
      <c r="C9" s="51" t="s">
        <v>86</v>
      </c>
      <c r="D9" s="63"/>
      <c r="E9" s="51"/>
      <c r="F9" s="51"/>
      <c r="G9" s="51"/>
      <c r="H9" s="51"/>
      <c r="I9" s="51"/>
      <c r="J9" s="51"/>
      <c r="K9" s="51"/>
      <c r="L9" s="51"/>
      <c r="M9" s="51">
        <f t="shared" ref="M9:M10" si="0">K9-L9</f>
        <v>0</v>
      </c>
    </row>
    <row r="10" spans="2:13" ht="20.149999999999999" customHeight="1">
      <c r="B10" s="51" t="s">
        <v>44</v>
      </c>
      <c r="C10" s="51" t="s">
        <v>12</v>
      </c>
      <c r="D10" s="63"/>
      <c r="E10" s="51"/>
      <c r="F10" s="51"/>
      <c r="G10" s="51"/>
      <c r="H10" s="51"/>
      <c r="I10" s="51"/>
      <c r="J10" s="51"/>
      <c r="K10" s="51"/>
      <c r="L10" s="51"/>
      <c r="M10" s="51">
        <f t="shared" si="0"/>
        <v>0</v>
      </c>
    </row>
    <row r="11" spans="2:13" ht="20.149999999999999" customHeight="1">
      <c r="B11" s="145" t="s">
        <v>130</v>
      </c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</row>
    <row r="12" spans="2:13" ht="20.149999999999999" customHeight="1">
      <c r="B12" s="51" t="s">
        <v>21</v>
      </c>
      <c r="C12" s="51" t="s">
        <v>56</v>
      </c>
      <c r="D12" s="51"/>
      <c r="E12" s="51"/>
      <c r="F12" s="51"/>
      <c r="G12" s="51"/>
      <c r="H12" s="51"/>
      <c r="I12" s="51"/>
      <c r="J12" s="51"/>
      <c r="K12" s="51"/>
      <c r="L12" s="51"/>
      <c r="M12" s="51">
        <f>K12-L12</f>
        <v>0</v>
      </c>
    </row>
    <row r="13" spans="2:13" ht="20.149999999999999" customHeight="1">
      <c r="B13" s="51" t="s">
        <v>57</v>
      </c>
      <c r="C13" s="51" t="s">
        <v>56</v>
      </c>
      <c r="D13" s="51"/>
      <c r="E13" s="51"/>
      <c r="F13" s="51"/>
      <c r="G13" s="51"/>
      <c r="H13" s="51"/>
      <c r="I13" s="51"/>
      <c r="J13" s="51"/>
      <c r="K13" s="51"/>
      <c r="L13" s="51"/>
      <c r="M13" s="51">
        <f t="shared" ref="M13:M15" si="1">K13-L13</f>
        <v>0</v>
      </c>
    </row>
    <row r="14" spans="2:13" ht="20.149999999999999" customHeight="1">
      <c r="B14" s="51" t="s">
        <v>58</v>
      </c>
      <c r="C14" s="51" t="s">
        <v>56</v>
      </c>
      <c r="D14" s="51"/>
      <c r="E14" s="51"/>
      <c r="F14" s="51"/>
      <c r="G14" s="51"/>
      <c r="H14" s="51"/>
      <c r="I14" s="51"/>
      <c r="J14" s="51"/>
      <c r="K14" s="51"/>
      <c r="L14" s="51"/>
      <c r="M14" s="51">
        <f t="shared" si="1"/>
        <v>0</v>
      </c>
    </row>
    <row r="15" spans="2:13" ht="20.149999999999999" customHeight="1">
      <c r="B15" s="51" t="s">
        <v>59</v>
      </c>
      <c r="C15" s="51" t="s">
        <v>56</v>
      </c>
      <c r="D15" s="51"/>
      <c r="E15" s="51"/>
      <c r="F15" s="51"/>
      <c r="G15" s="51"/>
      <c r="H15" s="51"/>
      <c r="I15" s="51"/>
      <c r="J15" s="51"/>
      <c r="K15" s="51"/>
      <c r="L15" s="51"/>
      <c r="M15" s="51">
        <f t="shared" si="1"/>
        <v>0</v>
      </c>
    </row>
    <row r="16" spans="2:13" ht="20.149999999999999" customHeight="1">
      <c r="B16" s="145" t="s">
        <v>170</v>
      </c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</row>
    <row r="17" spans="2:13" ht="20.149999999999999" customHeight="1">
      <c r="B17" s="51" t="s">
        <v>131</v>
      </c>
      <c r="C17" s="51" t="s">
        <v>56</v>
      </c>
      <c r="D17" s="51"/>
      <c r="E17" s="51"/>
      <c r="F17" s="51"/>
      <c r="G17" s="51"/>
      <c r="H17" s="51"/>
      <c r="I17" s="51"/>
      <c r="J17" s="51"/>
      <c r="K17" s="51"/>
      <c r="L17" s="51"/>
      <c r="M17" s="51"/>
    </row>
    <row r="18" spans="2:13" ht="20.149999999999999" customHeight="1">
      <c r="B18" s="51" t="s">
        <v>132</v>
      </c>
      <c r="C18" s="51" t="s">
        <v>113</v>
      </c>
      <c r="D18" s="51"/>
      <c r="E18" s="51"/>
      <c r="F18" s="51"/>
      <c r="G18" s="51"/>
      <c r="H18" s="51"/>
      <c r="I18" s="51"/>
      <c r="J18" s="51"/>
      <c r="K18" s="51"/>
      <c r="L18" s="51"/>
      <c r="M18" s="51">
        <f>K18-L18</f>
        <v>0</v>
      </c>
    </row>
    <row r="19" spans="2:13" ht="20.149999999999999" customHeight="1">
      <c r="B19" s="145" t="s">
        <v>171</v>
      </c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</row>
    <row r="20" spans="2:13" ht="20.149999999999999" customHeight="1">
      <c r="B20" s="51" t="s">
        <v>21</v>
      </c>
      <c r="C20" s="51" t="s">
        <v>56</v>
      </c>
      <c r="D20" s="63"/>
      <c r="E20" s="51"/>
      <c r="F20" s="51"/>
      <c r="G20" s="51"/>
      <c r="H20" s="51"/>
      <c r="I20" s="51"/>
      <c r="J20" s="51"/>
      <c r="K20" s="51"/>
      <c r="L20" s="51"/>
      <c r="M20" s="51">
        <f>K20-L20</f>
        <v>0</v>
      </c>
    </row>
    <row r="21" spans="2:13" ht="20.149999999999999" customHeight="1">
      <c r="D21" s="1"/>
    </row>
    <row r="22" spans="2:13" ht="20.149999999999999" customHeight="1"/>
    <row r="23" spans="2:13" ht="20.149999999999999" customHeight="1"/>
    <row r="24" spans="2:13" ht="20.149999999999999" customHeight="1"/>
    <row r="25" spans="2:13" ht="20.149999999999999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D152C-D8F7-4462-9CE2-42DBA1287E35}">
  <dimension ref="B2:G14"/>
  <sheetViews>
    <sheetView workbookViewId="0">
      <selection activeCell="C13" sqref="C13:D13"/>
    </sheetView>
  </sheetViews>
  <sheetFormatPr defaultColWidth="9" defaultRowHeight="13"/>
  <cols>
    <col min="1" max="1" width="1.33203125" style="2" customWidth="1"/>
    <col min="2" max="2" width="9" style="2"/>
    <col min="3" max="3" width="35.1640625" style="2" bestFit="1" customWidth="1"/>
    <col min="4" max="7" width="12.58203125" style="2" customWidth="1"/>
    <col min="8" max="16384" width="9" style="2"/>
  </cols>
  <sheetData>
    <row r="2" spans="2:7" ht="30" customHeight="1">
      <c r="B2" s="136" t="s">
        <v>179</v>
      </c>
      <c r="C2" s="136"/>
      <c r="D2" s="136"/>
      <c r="E2" s="136"/>
      <c r="F2" s="136"/>
      <c r="G2" s="136"/>
    </row>
    <row r="3" spans="2:7" ht="15" customHeight="1">
      <c r="B3" s="135"/>
      <c r="C3" s="135"/>
      <c r="D3" s="135"/>
      <c r="E3" s="135"/>
      <c r="F3" s="135"/>
      <c r="G3" s="135"/>
    </row>
    <row r="4" spans="2:7" ht="15.75" customHeight="1">
      <c r="B4" s="135" t="s">
        <v>91</v>
      </c>
      <c r="C4" s="135"/>
      <c r="D4" s="135"/>
      <c r="E4" s="135"/>
      <c r="F4" s="135"/>
      <c r="G4" s="135"/>
    </row>
    <row r="5" spans="2:7" ht="25" customHeight="1">
      <c r="B5" s="48" t="s">
        <v>39</v>
      </c>
      <c r="C5" s="48" t="s">
        <v>82</v>
      </c>
      <c r="D5" s="48" t="s">
        <v>83</v>
      </c>
      <c r="E5" s="48" t="s">
        <v>84</v>
      </c>
      <c r="F5" s="48" t="s">
        <v>85</v>
      </c>
      <c r="G5" s="48" t="s">
        <v>87</v>
      </c>
    </row>
    <row r="6" spans="2:7" ht="25" customHeight="1">
      <c r="B6" s="48" t="s">
        <v>40</v>
      </c>
      <c r="C6" s="48" t="s">
        <v>10</v>
      </c>
      <c r="D6" s="48" t="s">
        <v>10</v>
      </c>
      <c r="E6" s="48" t="s">
        <v>12</v>
      </c>
      <c r="F6" s="48" t="s">
        <v>86</v>
      </c>
      <c r="G6" s="48" t="s">
        <v>88</v>
      </c>
    </row>
    <row r="7" spans="2:7" ht="25" customHeight="1">
      <c r="B7" s="48" t="s">
        <v>81</v>
      </c>
      <c r="C7" s="48">
        <v>0.16600000000000001</v>
      </c>
      <c r="D7" s="48">
        <v>0.04</v>
      </c>
      <c r="E7" s="64">
        <f>C7/D7</f>
        <v>4.1500000000000004</v>
      </c>
      <c r="F7" s="48">
        <v>1.17</v>
      </c>
      <c r="G7" s="48" t="s">
        <v>89</v>
      </c>
    </row>
    <row r="8" spans="2:7" ht="25" customHeight="1">
      <c r="B8" s="48" t="s">
        <v>168</v>
      </c>
      <c r="C8" s="48"/>
      <c r="D8" s="48"/>
      <c r="E8" s="64"/>
      <c r="F8" s="48"/>
      <c r="G8" s="48"/>
    </row>
    <row r="9" spans="2:7" ht="25" customHeight="1">
      <c r="B9" s="48" t="s">
        <v>90</v>
      </c>
      <c r="C9" s="48"/>
      <c r="D9" s="48"/>
      <c r="E9" s="64"/>
      <c r="F9" s="48"/>
      <c r="G9" s="48"/>
    </row>
    <row r="10" spans="2:7" ht="15.75" customHeight="1">
      <c r="B10" s="135" t="s">
        <v>92</v>
      </c>
      <c r="C10" s="135"/>
      <c r="D10" s="135"/>
      <c r="E10" s="135"/>
      <c r="F10" s="135"/>
      <c r="G10" s="135"/>
    </row>
    <row r="11" spans="2:7" ht="25" customHeight="1">
      <c r="B11" s="48" t="s">
        <v>39</v>
      </c>
      <c r="C11" s="135" t="s">
        <v>21</v>
      </c>
      <c r="D11" s="135"/>
      <c r="E11" s="48" t="s">
        <v>94</v>
      </c>
      <c r="F11" s="59"/>
      <c r="G11" s="48" t="s">
        <v>93</v>
      </c>
    </row>
    <row r="12" spans="2:7" ht="25" customHeight="1">
      <c r="B12" s="48" t="s">
        <v>40</v>
      </c>
      <c r="C12" s="135" t="s">
        <v>56</v>
      </c>
      <c r="D12" s="135"/>
      <c r="E12" s="48" t="s">
        <v>86</v>
      </c>
      <c r="F12" s="59"/>
      <c r="G12" s="48" t="s">
        <v>86</v>
      </c>
    </row>
    <row r="13" spans="2:7" ht="25" customHeight="1">
      <c r="B13" s="48" t="s">
        <v>34</v>
      </c>
      <c r="C13" s="135"/>
      <c r="D13" s="135"/>
      <c r="E13" s="48"/>
      <c r="F13" s="59"/>
      <c r="G13" s="48"/>
    </row>
    <row r="14" spans="2:7" ht="25" customHeight="1">
      <c r="B14" s="48" t="s">
        <v>35</v>
      </c>
      <c r="C14" s="135"/>
      <c r="D14" s="135"/>
      <c r="E14" s="48"/>
      <c r="F14" s="59"/>
      <c r="G14" s="48"/>
    </row>
  </sheetData>
  <mergeCells count="8">
    <mergeCell ref="C13:D13"/>
    <mergeCell ref="C14:D14"/>
    <mergeCell ref="B3:G3"/>
    <mergeCell ref="B2:G2"/>
    <mergeCell ref="B4:G4"/>
    <mergeCell ref="B10:G10"/>
    <mergeCell ref="C11:D11"/>
    <mergeCell ref="C12:D12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4DA58-4F83-4F74-B5B9-DB0F33CC26DB}">
  <dimension ref="B2:E18"/>
  <sheetViews>
    <sheetView workbookViewId="0">
      <selection activeCell="C7" sqref="C7"/>
    </sheetView>
  </sheetViews>
  <sheetFormatPr defaultColWidth="9" defaultRowHeight="14"/>
  <cols>
    <col min="1" max="1" width="2.25" style="1" customWidth="1"/>
    <col min="2" max="5" width="19.58203125" style="1" customWidth="1"/>
    <col min="6" max="6" width="12.58203125" style="1" customWidth="1"/>
    <col min="7" max="16384" width="9" style="1"/>
  </cols>
  <sheetData>
    <row r="2" spans="2:5" ht="30" customHeight="1">
      <c r="B2" s="134" t="s">
        <v>180</v>
      </c>
      <c r="C2" s="134"/>
      <c r="D2" s="134"/>
      <c r="E2" s="134"/>
    </row>
    <row r="3" spans="2:5" ht="15" customHeight="1">
      <c r="B3" s="137"/>
      <c r="C3" s="137"/>
      <c r="D3" s="137"/>
      <c r="E3" s="137"/>
    </row>
    <row r="4" spans="2:5" ht="25" customHeight="1">
      <c r="B4" s="151" t="s">
        <v>109</v>
      </c>
      <c r="C4" s="21" t="s">
        <v>108</v>
      </c>
      <c r="D4" s="21" t="s">
        <v>110</v>
      </c>
      <c r="E4" s="153" t="s">
        <v>111</v>
      </c>
    </row>
    <row r="5" spans="2:5" ht="25" customHeight="1">
      <c r="B5" s="152"/>
      <c r="C5" s="39" t="s">
        <v>107</v>
      </c>
      <c r="D5" s="39" t="s">
        <v>12</v>
      </c>
      <c r="E5" s="154"/>
    </row>
    <row r="6" spans="2:5" ht="25" customHeight="1">
      <c r="B6" s="27" t="s">
        <v>105</v>
      </c>
      <c r="C6" s="39"/>
      <c r="D6" s="39"/>
      <c r="E6" s="40">
        <v>301</v>
      </c>
    </row>
    <row r="7" spans="2:5" ht="25" customHeight="1">
      <c r="B7" s="41" t="s">
        <v>106</v>
      </c>
      <c r="C7" s="42"/>
      <c r="D7" s="42"/>
      <c r="E7" s="43">
        <v>301</v>
      </c>
    </row>
    <row r="8" spans="2:5" ht="15" customHeight="1">
      <c r="B8" s="155"/>
      <c r="C8" s="156"/>
      <c r="D8" s="156"/>
      <c r="E8" s="157"/>
    </row>
    <row r="9" spans="2:5" ht="25" customHeight="1">
      <c r="B9" s="151" t="s">
        <v>101</v>
      </c>
      <c r="C9" s="21" t="s">
        <v>21</v>
      </c>
      <c r="D9" s="21" t="s">
        <v>94</v>
      </c>
      <c r="E9" s="38" t="s">
        <v>93</v>
      </c>
    </row>
    <row r="10" spans="2:5" ht="25" customHeight="1">
      <c r="B10" s="152"/>
      <c r="C10" s="39" t="s">
        <v>56</v>
      </c>
      <c r="D10" s="39" t="s">
        <v>86</v>
      </c>
      <c r="E10" s="40" t="s">
        <v>86</v>
      </c>
    </row>
    <row r="11" spans="2:5" ht="25" customHeight="1">
      <c r="B11" s="27" t="s">
        <v>102</v>
      </c>
      <c r="C11" s="39"/>
      <c r="D11" s="39"/>
      <c r="E11" s="40"/>
    </row>
    <row r="12" spans="2:5" ht="25" customHeight="1">
      <c r="B12" s="27" t="s">
        <v>103</v>
      </c>
      <c r="C12" s="39"/>
      <c r="D12" s="39"/>
      <c r="E12" s="40"/>
    </row>
    <row r="13" spans="2:5" ht="25" customHeight="1">
      <c r="B13" s="41" t="s">
        <v>104</v>
      </c>
      <c r="C13" s="42"/>
      <c r="D13" s="42"/>
      <c r="E13" s="43"/>
    </row>
    <row r="18" ht="14.15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66614-9DD4-4B41-ADB1-C885FD017702}">
  <dimension ref="B2:F10"/>
  <sheetViews>
    <sheetView workbookViewId="0">
      <selection activeCell="R29" sqref="R29"/>
    </sheetView>
  </sheetViews>
  <sheetFormatPr defaultRowHeight="14"/>
  <cols>
    <col min="1" max="1" width="2.58203125" customWidth="1"/>
    <col min="2" max="2" width="20.25" customWidth="1"/>
    <col min="3" max="5" width="15.58203125" customWidth="1"/>
    <col min="6" max="6" width="12.9140625" bestFit="1" customWidth="1"/>
  </cols>
  <sheetData>
    <row r="2" spans="2:6" ht="30" customHeight="1">
      <c r="B2" s="134" t="s">
        <v>181</v>
      </c>
      <c r="C2" s="134"/>
      <c r="D2" s="134"/>
      <c r="E2" s="134"/>
    </row>
    <row r="3" spans="2:6" ht="15" customHeight="1">
      <c r="B3" s="158"/>
      <c r="C3" s="158"/>
      <c r="D3" s="158"/>
      <c r="E3" s="158"/>
    </row>
    <row r="4" spans="2:6" s="1" customFormat="1" ht="25" customHeight="1">
      <c r="B4" s="3" t="s">
        <v>98</v>
      </c>
      <c r="C4" s="159"/>
      <c r="D4" s="160"/>
      <c r="E4" s="161"/>
      <c r="F4" s="23" t="s">
        <v>56</v>
      </c>
    </row>
    <row r="5" spans="2:6" s="1" customFormat="1" ht="25" customHeight="1">
      <c r="B5" s="24" t="s">
        <v>99</v>
      </c>
      <c r="C5" s="162"/>
      <c r="D5" s="163"/>
      <c r="E5" s="164"/>
      <c r="F5" s="47" t="s">
        <v>100</v>
      </c>
    </row>
    <row r="6" spans="2:6" s="32" customFormat="1" ht="40.25" customHeight="1">
      <c r="B6" s="50" t="s">
        <v>169</v>
      </c>
      <c r="C6" s="65" t="s">
        <v>22</v>
      </c>
      <c r="D6" s="65" t="s">
        <v>96</v>
      </c>
      <c r="E6" s="65" t="s">
        <v>95</v>
      </c>
      <c r="F6" s="65" t="s">
        <v>97</v>
      </c>
    </row>
    <row r="7" spans="2:6" ht="40.25" customHeight="1">
      <c r="B7" s="48" t="s">
        <v>33</v>
      </c>
      <c r="C7" s="66"/>
      <c r="D7" s="66"/>
      <c r="E7" s="66"/>
      <c r="F7" s="66"/>
    </row>
    <row r="8" spans="2:6" ht="40.25" customHeight="1">
      <c r="B8" s="51" t="s">
        <v>34</v>
      </c>
      <c r="C8" s="66"/>
      <c r="D8" s="66"/>
      <c r="E8" s="66"/>
      <c r="F8" s="66"/>
    </row>
    <row r="9" spans="2:6" ht="40.25" customHeight="1">
      <c r="B9" s="51" t="s">
        <v>35</v>
      </c>
      <c r="C9" s="66"/>
      <c r="D9" s="66"/>
      <c r="E9" s="66"/>
      <c r="F9" s="66"/>
    </row>
    <row r="10" spans="2:6">
      <c r="B10" s="52"/>
      <c r="C10" s="165"/>
      <c r="D10" s="165"/>
      <c r="E10" s="165"/>
      <c r="F10" s="165"/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A01F1-14F4-4544-A36A-0BE8C70BEFC6}">
  <dimension ref="B2:J10"/>
  <sheetViews>
    <sheetView topLeftCell="D1" zoomScale="70" zoomScaleNormal="70" workbookViewId="0">
      <selection activeCell="R29" sqref="R29"/>
    </sheetView>
  </sheetViews>
  <sheetFormatPr defaultRowHeight="14"/>
  <cols>
    <col min="1" max="1" width="2.33203125" customWidth="1"/>
    <col min="2" max="2" width="12.58203125" customWidth="1"/>
    <col min="3" max="10" width="10.58203125" customWidth="1"/>
  </cols>
  <sheetData>
    <row r="2" spans="2:10" ht="30" customHeight="1">
      <c r="B2" s="136" t="s">
        <v>182</v>
      </c>
      <c r="C2" s="136"/>
      <c r="D2" s="136"/>
      <c r="E2" s="136"/>
      <c r="F2" s="136"/>
      <c r="G2" s="136"/>
      <c r="H2" s="136"/>
      <c r="I2" s="136"/>
      <c r="J2" s="136"/>
    </row>
    <row r="3" spans="2:10" ht="25" customHeight="1">
      <c r="B3" s="168" t="s">
        <v>116</v>
      </c>
      <c r="C3" s="168"/>
      <c r="D3" s="168"/>
      <c r="E3" s="168"/>
      <c r="F3" s="168"/>
      <c r="G3" s="168"/>
      <c r="H3" s="168"/>
      <c r="I3" s="168"/>
      <c r="J3" s="168"/>
    </row>
    <row r="4" spans="2:10" ht="15" customHeight="1">
      <c r="B4" s="67"/>
      <c r="C4" s="67"/>
      <c r="D4" s="67"/>
      <c r="E4" s="67"/>
      <c r="F4" s="67"/>
      <c r="G4" s="67"/>
      <c r="H4" s="67"/>
      <c r="I4" s="67"/>
      <c r="J4" s="67"/>
    </row>
    <row r="5" spans="2:10" ht="30" customHeight="1">
      <c r="B5" s="166" t="s">
        <v>112</v>
      </c>
      <c r="C5" s="68" t="s">
        <v>144</v>
      </c>
      <c r="D5" s="68" t="s">
        <v>145</v>
      </c>
      <c r="E5" s="68" t="s">
        <v>146</v>
      </c>
      <c r="F5" s="68" t="s">
        <v>147</v>
      </c>
      <c r="G5" s="68" t="s">
        <v>148</v>
      </c>
      <c r="H5" s="68" t="s">
        <v>149</v>
      </c>
      <c r="I5" s="68" t="s">
        <v>151</v>
      </c>
      <c r="J5" s="68" t="s">
        <v>150</v>
      </c>
    </row>
    <row r="6" spans="2:10" ht="25" customHeight="1">
      <c r="B6" s="167"/>
      <c r="C6" s="48" t="s">
        <v>114</v>
      </c>
      <c r="D6" s="48" t="s">
        <v>114</v>
      </c>
      <c r="E6" s="48" t="s">
        <v>115</v>
      </c>
      <c r="F6" s="48" t="s">
        <v>115</v>
      </c>
      <c r="G6" s="48" t="s">
        <v>115</v>
      </c>
      <c r="H6" s="48" t="s">
        <v>115</v>
      </c>
      <c r="I6" s="48" t="s">
        <v>115</v>
      </c>
      <c r="J6" s="48" t="s">
        <v>115</v>
      </c>
    </row>
    <row r="7" spans="2:10" s="1" customFormat="1" ht="25" customHeight="1">
      <c r="B7" s="58" t="s">
        <v>47</v>
      </c>
      <c r="C7" s="69">
        <v>1.4630000000000001</v>
      </c>
      <c r="D7" s="69">
        <v>0.25</v>
      </c>
      <c r="E7" s="69">
        <v>0.1</v>
      </c>
      <c r="F7" s="69" t="s">
        <v>12</v>
      </c>
      <c r="G7" s="69" t="s">
        <v>12</v>
      </c>
      <c r="H7" s="69" t="s">
        <v>12</v>
      </c>
      <c r="I7" s="70">
        <v>3</v>
      </c>
      <c r="J7" s="70">
        <v>0.57499999999999996</v>
      </c>
    </row>
    <row r="8" spans="2:10" s="1" customFormat="1" ht="25" customHeight="1">
      <c r="B8" s="48" t="s">
        <v>33</v>
      </c>
      <c r="C8" s="48"/>
      <c r="D8" s="48"/>
      <c r="E8" s="48"/>
      <c r="F8" s="48"/>
      <c r="G8" s="48"/>
      <c r="H8" s="48"/>
      <c r="I8" s="59"/>
      <c r="J8" s="59"/>
    </row>
    <row r="9" spans="2:10" s="1" customFormat="1" ht="25" customHeight="1">
      <c r="B9" s="58" t="s">
        <v>105</v>
      </c>
      <c r="C9" s="58"/>
      <c r="D9" s="58"/>
      <c r="E9" s="58"/>
      <c r="F9" s="58"/>
      <c r="G9" s="58"/>
      <c r="H9" s="58"/>
      <c r="I9" s="60"/>
      <c r="J9" s="60"/>
    </row>
    <row r="10" spans="2:10" s="1" customFormat="1" ht="25" customHeight="1">
      <c r="B10" s="48" t="s">
        <v>106</v>
      </c>
      <c r="C10" s="48"/>
      <c r="D10" s="48"/>
      <c r="E10" s="48"/>
      <c r="F10" s="48"/>
      <c r="G10" s="48"/>
      <c r="H10" s="48"/>
      <c r="I10" s="59"/>
      <c r="J10" s="59"/>
    </row>
  </sheetData>
  <mergeCells count="3">
    <mergeCell ref="B5:B6"/>
    <mergeCell ref="B3:J3"/>
    <mergeCell ref="B2:J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BC7F2-2724-49D2-A6C0-9BC7BDCF2E1B}">
  <dimension ref="B2:R30"/>
  <sheetViews>
    <sheetView zoomScale="85" zoomScaleNormal="85" workbookViewId="0">
      <selection activeCell="R29" sqref="R29"/>
    </sheetView>
  </sheetViews>
  <sheetFormatPr defaultColWidth="9" defaultRowHeight="13"/>
  <cols>
    <col min="1" max="1" width="2.25" style="2" customWidth="1"/>
    <col min="2" max="2" width="10" style="2" bestFit="1" customWidth="1"/>
    <col min="3" max="9" width="5.58203125" style="2" customWidth="1"/>
    <col min="10" max="11" width="8.58203125" style="2" customWidth="1"/>
    <col min="12" max="12" width="16" style="2" bestFit="1" customWidth="1"/>
    <col min="13" max="13" width="10.58203125" style="2" customWidth="1"/>
    <col min="14" max="15" width="6.58203125" style="2" customWidth="1"/>
    <col min="16" max="17" width="5.58203125" style="2" customWidth="1"/>
    <col min="18" max="18" width="21.75" style="2" customWidth="1"/>
    <col min="19" max="16384" width="9" style="2"/>
  </cols>
  <sheetData>
    <row r="2" spans="2:18" ht="30" customHeight="1">
      <c r="B2" s="136" t="s">
        <v>183</v>
      </c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</row>
    <row r="3" spans="2:18" ht="30" customHeight="1">
      <c r="B3" s="170" t="s">
        <v>184</v>
      </c>
      <c r="C3" s="170"/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</row>
    <row r="4" spans="2:18" ht="10" customHeight="1">
      <c r="B4" s="147"/>
      <c r="C4" s="148"/>
      <c r="D4" s="148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48"/>
      <c r="P4" s="148"/>
      <c r="Q4" s="148"/>
      <c r="R4" s="148"/>
    </row>
    <row r="5" spans="2:18" ht="15.65" customHeight="1">
      <c r="B5" s="48" t="s">
        <v>117</v>
      </c>
      <c r="C5" s="135" t="s">
        <v>134</v>
      </c>
      <c r="D5" s="171" t="s">
        <v>156</v>
      </c>
      <c r="E5" s="135"/>
      <c r="F5" s="171" t="s">
        <v>157</v>
      </c>
      <c r="G5" s="135"/>
      <c r="H5" s="171" t="s">
        <v>158</v>
      </c>
      <c r="I5" s="135"/>
      <c r="J5" s="171" t="s">
        <v>159</v>
      </c>
      <c r="K5" s="135"/>
      <c r="L5" s="171" t="s">
        <v>160</v>
      </c>
      <c r="M5" s="135" t="s">
        <v>161</v>
      </c>
      <c r="N5" s="135" t="s">
        <v>132</v>
      </c>
      <c r="O5" s="135"/>
      <c r="P5" s="135" t="s">
        <v>163</v>
      </c>
      <c r="Q5" s="135"/>
      <c r="R5" s="135" t="s">
        <v>62</v>
      </c>
    </row>
    <row r="6" spans="2:18" ht="15.65" customHeight="1">
      <c r="B6" s="173">
        <v>45992</v>
      </c>
      <c r="C6" s="135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</row>
    <row r="7" spans="2:18" ht="14">
      <c r="B7" s="138"/>
      <c r="C7" s="138"/>
      <c r="D7" s="135" t="s">
        <v>152</v>
      </c>
      <c r="E7" s="138"/>
      <c r="F7" s="135" t="s">
        <v>153</v>
      </c>
      <c r="G7" s="138"/>
      <c r="H7" s="135" t="s">
        <v>154</v>
      </c>
      <c r="I7" s="138"/>
      <c r="J7" s="135" t="s">
        <v>155</v>
      </c>
      <c r="K7" s="138"/>
      <c r="L7" s="138"/>
      <c r="M7" s="48" t="s">
        <v>162</v>
      </c>
      <c r="N7" s="135" t="s">
        <v>162</v>
      </c>
      <c r="O7" s="138"/>
      <c r="P7" s="135" t="s">
        <v>56</v>
      </c>
      <c r="Q7" s="138"/>
      <c r="R7" s="138"/>
    </row>
    <row r="8" spans="2:18" ht="15.65" customHeight="1">
      <c r="B8" s="169" t="s">
        <v>135</v>
      </c>
      <c r="C8" s="71" t="s">
        <v>142</v>
      </c>
      <c r="D8" s="71"/>
      <c r="E8" s="169"/>
      <c r="F8" s="71"/>
      <c r="G8" s="169"/>
      <c r="H8" s="71"/>
      <c r="I8" s="169"/>
      <c r="J8" s="71"/>
      <c r="K8" s="169"/>
      <c r="L8" s="169"/>
      <c r="M8" s="48"/>
      <c r="N8" s="48"/>
      <c r="O8" s="135"/>
      <c r="P8" s="48"/>
      <c r="Q8" s="135"/>
      <c r="R8" s="135"/>
    </row>
    <row r="9" spans="2:18" ht="15.65" customHeight="1">
      <c r="B9" s="172"/>
      <c r="C9" s="71" t="s">
        <v>143</v>
      </c>
      <c r="D9" s="71"/>
      <c r="E9" s="172"/>
      <c r="F9" s="71"/>
      <c r="G9" s="172"/>
      <c r="H9" s="71"/>
      <c r="I9" s="138"/>
      <c r="J9" s="71"/>
      <c r="K9" s="138"/>
      <c r="L9" s="138"/>
      <c r="M9" s="48"/>
      <c r="N9" s="48"/>
      <c r="O9" s="138"/>
      <c r="P9" s="48"/>
      <c r="Q9" s="138"/>
      <c r="R9" s="138"/>
    </row>
    <row r="10" spans="2:18" ht="15.65" customHeight="1">
      <c r="B10" s="135" t="s">
        <v>136</v>
      </c>
      <c r="C10" s="48" t="s">
        <v>142</v>
      </c>
      <c r="D10" s="48"/>
      <c r="E10" s="135"/>
      <c r="F10" s="48"/>
      <c r="G10" s="135"/>
      <c r="H10" s="48"/>
      <c r="I10" s="135"/>
      <c r="J10" s="48"/>
      <c r="K10" s="135"/>
      <c r="L10" s="135"/>
      <c r="M10" s="48"/>
      <c r="N10" s="48"/>
      <c r="O10" s="135"/>
      <c r="P10" s="48"/>
      <c r="Q10" s="135"/>
      <c r="R10" s="135"/>
    </row>
    <row r="11" spans="2:18" ht="15.65" customHeight="1">
      <c r="B11" s="138"/>
      <c r="C11" s="48" t="s">
        <v>143</v>
      </c>
      <c r="D11" s="48"/>
      <c r="E11" s="138"/>
      <c r="F11" s="48"/>
      <c r="G11" s="138"/>
      <c r="H11" s="48"/>
      <c r="I11" s="138"/>
      <c r="J11" s="48"/>
      <c r="K11" s="138"/>
      <c r="L11" s="138"/>
      <c r="M11" s="48"/>
      <c r="N11" s="48"/>
      <c r="O11" s="138"/>
      <c r="P11" s="48"/>
      <c r="Q11" s="138"/>
      <c r="R11" s="138"/>
    </row>
    <row r="12" spans="2:18" ht="15.65" customHeight="1">
      <c r="B12" s="169" t="s">
        <v>137</v>
      </c>
      <c r="C12" s="71" t="s">
        <v>142</v>
      </c>
      <c r="D12" s="71"/>
      <c r="E12" s="169"/>
      <c r="F12" s="71"/>
      <c r="G12" s="169"/>
      <c r="H12" s="71"/>
      <c r="I12" s="169"/>
      <c r="J12" s="71"/>
      <c r="K12" s="169"/>
      <c r="L12" s="169"/>
      <c r="M12" s="48"/>
      <c r="N12" s="48"/>
      <c r="O12" s="135"/>
      <c r="P12" s="48"/>
      <c r="Q12" s="135"/>
      <c r="R12" s="135"/>
    </row>
    <row r="13" spans="2:18" ht="15.65" customHeight="1">
      <c r="B13" s="172"/>
      <c r="C13" s="71" t="s">
        <v>143</v>
      </c>
      <c r="D13" s="71"/>
      <c r="E13" s="172"/>
      <c r="F13" s="71"/>
      <c r="G13" s="172"/>
      <c r="H13" s="71"/>
      <c r="I13" s="138"/>
      <c r="J13" s="71"/>
      <c r="K13" s="138"/>
      <c r="L13" s="138"/>
      <c r="M13" s="48"/>
      <c r="N13" s="48"/>
      <c r="O13" s="138"/>
      <c r="P13" s="48"/>
      <c r="Q13" s="138"/>
      <c r="R13" s="138"/>
    </row>
    <row r="14" spans="2:18" ht="15.65" customHeight="1">
      <c r="B14" s="135" t="s">
        <v>138</v>
      </c>
      <c r="C14" s="48" t="s">
        <v>142</v>
      </c>
      <c r="D14" s="48"/>
      <c r="E14" s="135"/>
      <c r="F14" s="48"/>
      <c r="G14" s="135"/>
      <c r="H14" s="48"/>
      <c r="I14" s="135"/>
      <c r="J14" s="48"/>
      <c r="K14" s="135"/>
      <c r="L14" s="135"/>
      <c r="M14" s="48"/>
      <c r="N14" s="48"/>
      <c r="O14" s="135"/>
      <c r="P14" s="48"/>
      <c r="Q14" s="135"/>
      <c r="R14" s="135"/>
    </row>
    <row r="15" spans="2:18" ht="15.65" customHeight="1">
      <c r="B15" s="138"/>
      <c r="C15" s="48" t="s">
        <v>143</v>
      </c>
      <c r="D15" s="48"/>
      <c r="E15" s="138"/>
      <c r="F15" s="48"/>
      <c r="G15" s="138"/>
      <c r="H15" s="48"/>
      <c r="I15" s="138"/>
      <c r="J15" s="48"/>
      <c r="K15" s="138"/>
      <c r="L15" s="138"/>
      <c r="M15" s="48"/>
      <c r="N15" s="48"/>
      <c r="O15" s="138"/>
      <c r="P15" s="48"/>
      <c r="Q15" s="138"/>
      <c r="R15" s="138"/>
    </row>
    <row r="16" spans="2:18" ht="15.65" customHeight="1">
      <c r="B16" s="169" t="s">
        <v>139</v>
      </c>
      <c r="C16" s="71" t="s">
        <v>142</v>
      </c>
      <c r="D16" s="71"/>
      <c r="E16" s="169"/>
      <c r="F16" s="71"/>
      <c r="G16" s="169"/>
      <c r="H16" s="71"/>
      <c r="I16" s="169"/>
      <c r="J16" s="71"/>
      <c r="K16" s="169"/>
      <c r="L16" s="169"/>
      <c r="M16" s="48"/>
      <c r="N16" s="48"/>
      <c r="O16" s="135"/>
      <c r="P16" s="48"/>
      <c r="Q16" s="48"/>
      <c r="R16" s="135"/>
    </row>
    <row r="17" spans="2:18" ht="15.65" customHeight="1">
      <c r="B17" s="172"/>
      <c r="C17" s="71" t="s">
        <v>143</v>
      </c>
      <c r="D17" s="71"/>
      <c r="E17" s="172"/>
      <c r="F17" s="71"/>
      <c r="G17" s="172"/>
      <c r="H17" s="71"/>
      <c r="I17" s="138"/>
      <c r="J17" s="71"/>
      <c r="K17" s="138"/>
      <c r="L17" s="138"/>
      <c r="M17" s="48"/>
      <c r="N17" s="48"/>
      <c r="O17" s="138"/>
      <c r="P17" s="48"/>
      <c r="Q17" s="48"/>
      <c r="R17" s="138"/>
    </row>
    <row r="18" spans="2:18" ht="15.65" customHeight="1">
      <c r="B18" s="135" t="s">
        <v>140</v>
      </c>
      <c r="C18" s="48" t="s">
        <v>142</v>
      </c>
      <c r="D18" s="48"/>
      <c r="E18" s="135"/>
      <c r="F18" s="48"/>
      <c r="G18" s="135"/>
      <c r="H18" s="48"/>
      <c r="I18" s="135"/>
      <c r="J18" s="48"/>
      <c r="K18" s="135"/>
      <c r="L18" s="135"/>
      <c r="M18" s="48"/>
      <c r="N18" s="48"/>
      <c r="O18" s="135"/>
      <c r="P18" s="48"/>
      <c r="Q18" s="135"/>
      <c r="R18" s="135"/>
    </row>
    <row r="19" spans="2:18" ht="15.65" customHeight="1">
      <c r="B19" s="138"/>
      <c r="C19" s="48" t="s">
        <v>143</v>
      </c>
      <c r="D19" s="48"/>
      <c r="E19" s="138"/>
      <c r="F19" s="48"/>
      <c r="G19" s="138"/>
      <c r="H19" s="48"/>
      <c r="I19" s="138"/>
      <c r="J19" s="48"/>
      <c r="K19" s="138"/>
      <c r="L19" s="138"/>
      <c r="M19" s="48"/>
      <c r="N19" s="48"/>
      <c r="O19" s="138"/>
      <c r="P19" s="48"/>
      <c r="Q19" s="138"/>
      <c r="R19" s="138"/>
    </row>
    <row r="20" spans="2:18" ht="15.65" customHeight="1">
      <c r="B20" s="169" t="s">
        <v>141</v>
      </c>
      <c r="C20" s="71" t="s">
        <v>142</v>
      </c>
      <c r="D20" s="71"/>
      <c r="E20" s="169"/>
      <c r="F20" s="71"/>
      <c r="G20" s="169"/>
      <c r="H20" s="71"/>
      <c r="I20" s="169"/>
      <c r="J20" s="71"/>
      <c r="K20" s="169"/>
      <c r="L20" s="169"/>
      <c r="M20" s="48"/>
      <c r="N20" s="48"/>
      <c r="O20" s="135"/>
      <c r="P20" s="48"/>
      <c r="Q20" s="135"/>
      <c r="R20" s="135"/>
    </row>
    <row r="21" spans="2:18" ht="15.65" customHeight="1">
      <c r="B21" s="172"/>
      <c r="C21" s="71" t="s">
        <v>143</v>
      </c>
      <c r="D21" s="71"/>
      <c r="E21" s="172"/>
      <c r="F21" s="71"/>
      <c r="G21" s="172"/>
      <c r="H21" s="71"/>
      <c r="I21" s="138"/>
      <c r="J21" s="71"/>
      <c r="K21" s="138"/>
      <c r="L21" s="138"/>
      <c r="M21" s="48"/>
      <c r="N21" s="48"/>
      <c r="O21" s="138"/>
      <c r="P21" s="48"/>
      <c r="Q21" s="138"/>
      <c r="R21" s="138"/>
    </row>
    <row r="22" spans="2:18" ht="15.65" customHeight="1"/>
    <row r="23" spans="2:18" ht="15.65" customHeight="1"/>
    <row r="24" spans="2:18" ht="15.65" customHeight="1"/>
    <row r="25" spans="2:18" ht="15.65" customHeight="1"/>
    <row r="26" spans="2:18" ht="15.65" customHeight="1"/>
    <row r="27" spans="2:18" ht="15.65" customHeight="1"/>
    <row r="28" spans="2:18" ht="15.65" customHeight="1"/>
    <row r="29" spans="2:18" ht="15.65" customHeight="1"/>
    <row r="30" spans="2:18" ht="15.65" customHeight="1"/>
  </sheetData>
  <mergeCells count="82">
    <mergeCell ref="H7:I7"/>
    <mergeCell ref="B14:B15"/>
    <mergeCell ref="B16:B17"/>
    <mergeCell ref="B18:B19"/>
    <mergeCell ref="I10:I11"/>
    <mergeCell ref="I12:I13"/>
    <mergeCell ref="E18:E19"/>
    <mergeCell ref="B20:B21"/>
    <mergeCell ref="B6:B7"/>
    <mergeCell ref="B8:B9"/>
    <mergeCell ref="B10:B11"/>
    <mergeCell ref="B12:B13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K10:K11"/>
    <mergeCell ref="L10:L11"/>
    <mergeCell ref="O10:O11"/>
    <mergeCell ref="O12:O13"/>
    <mergeCell ref="L12:L13"/>
    <mergeCell ref="K12:K13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20:K21"/>
    <mergeCell ref="I20:I21"/>
    <mergeCell ref="I14:I15"/>
    <mergeCell ref="I18:I19"/>
    <mergeCell ref="I16:I17"/>
    <mergeCell ref="K16:K17"/>
    <mergeCell ref="K14:K15"/>
    <mergeCell ref="K18:K1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命名范围</vt:lpstr>
      </vt:variant>
      <vt:variant>
        <vt:i4>1</vt:i4>
      </vt:variant>
    </vt:vector>
  </HeadingPairs>
  <TitlesOfParts>
    <vt:vector size="14" baseType="lpstr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  <vt:lpstr>第三页反应液分析数据!Print_Area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平 曹</cp:lastModifiedBy>
  <dcterms:created xsi:type="dcterms:W3CDTF">2015-06-05T18:19:34Z</dcterms:created>
  <dcterms:modified xsi:type="dcterms:W3CDTF">2026-05-11T09:27:18Z</dcterms:modified>
</cp:coreProperties>
</file>