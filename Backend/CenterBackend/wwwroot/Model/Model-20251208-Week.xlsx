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rj\V26\Backend\CenterBackend\wwwroot\Model\"/>
    </mc:Choice>
  </mc:AlternateContent>
  <xr:revisionPtr revIDLastSave="0" documentId="13_ncr:1_{F3454B8A-99EA-4683-BA93-0E87CFAE12C7}" xr6:coauthVersionLast="47" xr6:coauthVersionMax="47" xr10:uidLastSave="{00000000-0000-0000-0000-000000000000}"/>
  <bookViews>
    <workbookView xWindow="-98" yWindow="-98" windowWidth="24196" windowHeight="14476" tabRatio="967" activeTab="7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 shapeId="0" xr:uid="{8A425780-4E79-474E-A20E-B71FAA85052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 shapeId="0" xr:uid="{1492B2A8-D1AD-4626-BF4E-541101D7F8C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 shapeId="0" xr:uid="{0552AD42-76A0-415F-B4B8-EBC0FA9342E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 shapeId="0" xr:uid="{8484E233-9B0D-4396-9A59-A6646453AB0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 shapeId="0" xr:uid="{DE5B5C3F-D78F-44A9-942D-37C4DF7BBED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 shapeId="0" xr:uid="{F7EC4115-CD44-4665-BB95-A5ADE014C60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 shapeId="0" xr:uid="{94A9DFCB-7740-4B3A-9923-BA40AABE830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 shapeId="0" xr:uid="{DC15C925-ACCF-4DB6-A094-5EA9E42A725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 shapeId="0" xr:uid="{6A0F2A10-CD92-42D9-978C-759AE5D20DA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 shapeId="0" xr:uid="{A70235DB-5CF3-4217-BED5-72205B4639A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 shapeId="0" xr:uid="{6A83E1F4-F6DD-4FA9-87BB-A029769D13D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 shapeId="0" xr:uid="{F3F09AF8-BEE2-4972-9520-FDAAA2BB021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 shapeId="0" xr:uid="{FAB97DF6-3CEC-4071-A836-F7623A571A4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 shapeId="0" xr:uid="{4ACE1542-9981-4585-B388-478915938C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 shapeId="0" xr:uid="{05A47FDD-76C9-45BC-BF39-67C877585AD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 shapeId="0" xr:uid="{86F55928-F879-435E-863D-5F8C50DAAD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 shapeId="0" xr:uid="{EC7F6318-829E-48DD-87B8-F36DFA1DA30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E15" authorId="0" shapeId="0" xr:uid="{0BA0B53B-0169-4C79-90BB-65BE59F59BF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 shapeId="0" xr:uid="{9DB2C261-86EB-4BB1-8E8D-624FED2A776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 shapeId="0" xr:uid="{F12DC2EF-29BE-4B2B-B3B5-C709FB46912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 shapeId="0" xr:uid="{62A9AE49-6256-4C67-AB4B-E89DA6C0DEA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 shapeId="0" xr:uid="{8FCB3284-CDA0-4166-B64B-304173B98BA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 shapeId="0" xr:uid="{FBDB9B63-69B4-4CCA-A96B-C314C517FF5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 shapeId="0" xr:uid="{B36CADEE-E432-42A1-8517-C8C143328E2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 shapeId="0" xr:uid="{E02502CF-684E-4D7F-9509-509DD515BA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 shapeId="0" xr:uid="{59F15B39-2403-4DB0-AC42-95E457291F4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 shapeId="0" xr:uid="{AC315762-CE02-47EA-950A-718047F59E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 shapeId="0" xr:uid="{48441358-8FAF-4F70-8AF3-15656EC2B0B8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=“班组日生产过程运行质量考评表”中，白班折百产量汇总</t>
        </r>
      </text>
    </comment>
    <comment ref="E18" authorId="0" shapeId="0" xr:uid="{D4114F17-2F23-4A41-BE99-96D39F1A0AB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 shapeId="0" xr:uid="{32378609-40C4-4635-9160-A19EBBA4340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 shapeId="0" xr:uid="{C327BEDE-920C-4DA1-92B7-EEC619F57B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 shapeId="0" xr:uid="{29A53DB8-950D-4598-B58D-2B4C413F218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 shapeId="0" xr:uid="{0D88CCEB-47FA-4C48-BA6D-09768E33EDA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 shapeId="0" xr:uid="{EDB1773D-D730-4973-AE59-ABE742D9D9B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 shapeId="0" xr:uid="{D03CA176-0290-44CC-AB39-D3FFFB5312F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 shapeId="0" xr:uid="{E526CA66-CBB9-4086-952C-5A4AD9247FB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 shapeId="0" xr:uid="{1932E547-FEE6-4E86-BE7D-B1425438DFC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 shapeId="0" xr:uid="{EF96ACBE-E415-4956-A5EC-9897C33F4D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 shapeId="0" xr:uid="{FF713F5E-1B28-46E4-B556-0C811ECA0D79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<sst xmlns="http://schemas.openxmlformats.org/spreadsheetml/2006/main" count="548" uniqueCount="292">
  <si>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</si>
  <si>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</si>
  <si>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</si>
  <si>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</si>
  <si>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</si>
  <si>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</si>
  <si>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</si>
  <si>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</si>
  <si>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</si>
  <si>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</si>
  <si>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</si>
  <si>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</si>
  <si>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</si>
  <si>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</si>
  <si>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</si>
  <si>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</si>
  <si>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</si>
  <si>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</si>
  <si>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</si>
  <si>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</si>
  <si>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</si>
  <si>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</si>
  <si>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</si>
  <si>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</si>
  <si>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</si>
  <si>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</si>
  <si>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</si>
  <si>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</si>
  <si>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</si>
  <si>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</si>
  <si>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</si>
  <si>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</si>
  <si>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</si>
  <si>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</si>
  <si>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</si>
  <si>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</si>
  <si>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</si>
  <si>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</si>
  <si>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</si>
  <si>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</si>
  <si>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</si>
  <si>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</si>
  <si>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</si>
  <si>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</si>
  <si>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</si>
  <si>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</si>
  <si>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</si>
  <si>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</si>
  <si>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</si>
  <si>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</si>
  <si>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</si>
  <si>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</si>
  <si>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</si>
  <si>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</si>
  <si>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</si>
  <si>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</si>
  <si>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</si>
  <si>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</si>
  <si>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</si>
  <si>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</si>
  <si>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</si>
  <si>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</si>
  <si>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</si>
  <si>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</si>
  <si>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</si>
  <si>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</si>
  <si>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</si>
  <si>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</si>
  <si>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</si>
  <si>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</si>
  <si>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</si>
  <si>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</si>
  <si>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</si>
  <si>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</si>
  <si>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</si>
  <si>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</si>
  <si>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</si>
  <si>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</si>
  <si>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</si>
  <si>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</si>
  <si>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</si>
  <si>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</si>
  <si>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</si>
  <si>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</si>
  <si>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</si>
  <si>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</si>
  <si>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</si>
  <si>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</si>
  <si>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</si>
  <si>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</si>
  <si>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</si>
  <si>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</si>
  <si>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</si>
  <si>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</si>
  <si>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</si>
  <si>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</si>
  <si>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</si>
  <si>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</si>
  <si>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</si>
  <si>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</si>
  <si>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</si>
  <si>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</si>
  <si>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</si>
  <si>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</si>
  <si>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</si>
  <si>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</si>
  <si>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</si>
  <si>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</si>
  <si>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</si>
  <si>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</si>
  <si>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</si>
  <si>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</si>
  <si>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</si>
  <si>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</si>
  <si>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</si>
  <si>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</si>
  <si>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</si>
  <si>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</si>
  <si>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</si>
  <si>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</si>
  <si>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</si>
  <si>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</si>
  <si>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</si>
  <si>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</si>
  <si>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</si>
  <si>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</si>
  <si>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</si>
  <si>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</si>
  <si>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</si>
  <si>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</si>
  <si>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</si>
  <si>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羟基乙腈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</si>
  <si>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</si>
  <si>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</si>
  <si>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</si>
  <si>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</si>
  <si>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</si>
  <si>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</si>
  <si>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</si>
  <si>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</si>
  <si>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</si>
  <si>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</si>
  <si>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</si>
  <si>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</si>
  <si>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</si>
  <si>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第（44周）核心指标完成情况汇总表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</si>
  <si>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</si>
  <si>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</si>
  <si>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</si>
  <si>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</si>
  <si>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</si>
  <si>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</si>
  <si>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</si>
  <si>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</si>
  <si>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</si>
  <si>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</si>
  <si>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</si>
  <si>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</si>
  <si>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</si>
  <si>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</si>
  <si>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</si>
  <si>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</si>
  <si>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</si>
  <si>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</si>
  <si>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</si>
  <si>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</si>
  <si>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第21周 周报---脱色工序数据分析表</t>
    <phoneticPr fontId="1" type="noConversion"/>
  </si>
  <si>
    <t>第21周 周报---二次结晶数据分析表</t>
    <phoneticPr fontId="1" type="noConversion"/>
  </si>
  <si>
    <t>第21周 周报---产品原料/动力/排放单耗数据分析表</t>
    <phoneticPr fontId="1" type="noConversion"/>
  </si>
  <si>
    <t>第21周 周报---核心指标分析汇总表</t>
    <phoneticPr fontId="1" type="noConversion"/>
  </si>
  <si>
    <t>第21周 周报---反应工序控制参数表</t>
    <phoneticPr fontId="1" type="noConversion"/>
  </si>
  <si>
    <t>第21周 周报---闪蒸废水分析数据表</t>
    <phoneticPr fontId="1" type="noConversion"/>
  </si>
  <si>
    <t>第21周 周报---反应液分析数据表</t>
    <phoneticPr fontId="1" type="noConversion"/>
  </si>
  <si>
    <t>第21周 周报---结晶工序数据分析表</t>
    <phoneticPr fontId="1" type="noConversion"/>
  </si>
  <si>
    <t>第21周 周报---产品指标分析表</t>
    <phoneticPr fontId="1" type="noConversion"/>
  </si>
  <si>
    <t>第21周 周报---产品收率数据分析表</t>
    <phoneticPr fontId="1" type="noConversion"/>
  </si>
  <si>
    <t>第21周 周报---汇总数据分析表</t>
    <phoneticPr fontId="1" type="noConversion"/>
  </si>
  <si>
    <t>第21周 周报---低蒸数据分析表</t>
    <phoneticPr fontId="1" type="noConversion"/>
  </si>
  <si>
    <t>Cell13</t>
    <phoneticPr fontId="1" type="noConversion"/>
  </si>
  <si>
    <t>Cell15</t>
  </si>
  <si>
    <t>Cell19</t>
  </si>
  <si>
    <t>Cell22</t>
    <phoneticPr fontId="1" type="noConversion"/>
  </si>
  <si>
    <t>Cell24</t>
    <phoneticPr fontId="1" type="noConversion"/>
  </si>
  <si>
    <t>Cell25</t>
  </si>
  <si>
    <t>Cell26</t>
  </si>
  <si>
    <t>Cell27</t>
  </si>
  <si>
    <t>Cell28</t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</si>
  <si>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</si>
  <si>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</si>
  <si>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</si>
  <si>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</si>
  <si>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二乙腈
含量</t>
    <phoneticPr fontId="1" type="noConversion"/>
  </si>
  <si>
    <t>水分
含量</t>
    <phoneticPr fontId="1" type="noConversion"/>
  </si>
  <si>
    <t>二乙腈+水</t>
    <phoneticPr fontId="1" type="noConversion"/>
  </si>
  <si>
    <t>未知物
含量</t>
    <phoneticPr fontId="1" type="noConversion"/>
  </si>
  <si>
    <t>产量</t>
    <phoneticPr fontId="1" type="noConversion"/>
  </si>
  <si>
    <t>折百
产量</t>
    <phoneticPr fontId="1" type="noConversion"/>
  </si>
  <si>
    <t>二乙腈+水</t>
  </si>
  <si>
    <t>产量</t>
  </si>
  <si>
    <t>化分
%</t>
    <phoneticPr fontId="1" type="noConversion"/>
  </si>
  <si>
    <t>色谱
%</t>
    <phoneticPr fontId="1" type="noConversion"/>
  </si>
  <si>
    <t>kg</t>
    <phoneticPr fontId="1" type="noConversion"/>
  </si>
  <si>
    <t>%</t>
  </si>
  <si>
    <t>kg</t>
  </si>
  <si>
    <t>检测数据</t>
    <phoneticPr fontId="1" type="noConversion"/>
  </si>
  <si>
    <t>一次结晶物/一次产品</t>
    <phoneticPr fontId="1" type="noConversion"/>
  </si>
  <si>
    <t>二次结晶物/二次产品</t>
    <phoneticPr fontId="1" type="noConversion"/>
  </si>
  <si>
    <t>班合计（一次产品+二次产品）</t>
    <phoneticPr fontId="1" type="noConversion"/>
  </si>
  <si>
    <t>班产
与日平均产量的差额</t>
    <phoneticPr fontId="1" type="noConversion"/>
  </si>
  <si>
    <t>上周数据</t>
    <phoneticPr fontId="1" type="noConversion"/>
  </si>
  <si>
    <t>主要原料消耗/单耗</t>
    <phoneticPr fontId="1" type="noConversion"/>
  </si>
  <si>
    <t>序号</t>
    <phoneticPr fontId="1" type="noConversion"/>
  </si>
  <si>
    <t>液氨</t>
    <phoneticPr fontId="1" type="noConversion"/>
  </si>
  <si>
    <t>稀硫酸</t>
    <phoneticPr fontId="1" type="noConversion"/>
  </si>
  <si>
    <t>蒸汽
总消耗</t>
    <phoneticPr fontId="1" type="noConversion"/>
  </si>
  <si>
    <t>反应蒸汽
消耗</t>
    <phoneticPr fontId="1" type="noConversion"/>
  </si>
  <si>
    <t>低蒸蒸汽
消耗</t>
    <phoneticPr fontId="1" type="noConversion"/>
  </si>
  <si>
    <t>脱盐水
消耗</t>
    <phoneticPr fontId="1" type="noConversion"/>
  </si>
  <si>
    <t>电
消耗</t>
    <phoneticPr fontId="1" type="noConversion"/>
  </si>
  <si>
    <t>废水
排放</t>
    <phoneticPr fontId="1" type="noConversion"/>
  </si>
  <si>
    <t>废液
排放</t>
    <phoneticPr fontId="1" type="noConversion"/>
  </si>
  <si>
    <t>用量</t>
    <phoneticPr fontId="1" type="noConversion"/>
  </si>
  <si>
    <t>用量</t>
  </si>
  <si>
    <t>单位</t>
  </si>
  <si>
    <t xml:space="preserve"> 排放量</t>
    <phoneticPr fontId="1" type="noConversion"/>
  </si>
  <si>
    <t xml:space="preserve"> 排放量</t>
  </si>
  <si>
    <t>白班</t>
    <phoneticPr fontId="1" type="noConversion"/>
  </si>
  <si>
    <t>KWh</t>
    <phoneticPr fontId="1" type="noConversion"/>
  </si>
  <si>
    <t>折百产量(t)</t>
    <phoneticPr fontId="1" type="noConversion"/>
  </si>
  <si>
    <t>t</t>
  </si>
  <si>
    <t>单耗</t>
    <phoneticPr fontId="1" type="noConversion"/>
  </si>
  <si>
    <t>KWh/t</t>
    <phoneticPr fontId="1" type="noConversion"/>
  </si>
  <si>
    <t>m3/t</t>
  </si>
  <si>
    <t>夜班</t>
    <phoneticPr fontId="1" type="noConversion"/>
  </si>
  <si>
    <t>日消耗/排放汇总</t>
    <phoneticPr fontId="1" type="noConversion"/>
  </si>
  <si>
    <t>m3</t>
  </si>
  <si>
    <t>KWh</t>
  </si>
  <si>
    <t>日折百产量汇总</t>
    <phoneticPr fontId="1" type="noConversion"/>
  </si>
  <si>
    <t>日平均单耗/排放</t>
    <phoneticPr fontId="1" type="noConversion"/>
  </si>
  <si>
    <t>t/t</t>
  </si>
  <si>
    <t>KWh/t</t>
  </si>
  <si>
    <t>如何判断这一周再运行</t>
    <phoneticPr fontId="1" type="noConversion"/>
  </si>
  <si>
    <t>差值</t>
    <phoneticPr fontId="1" type="noConversion"/>
  </si>
  <si>
    <t>平均值</t>
    <phoneticPr fontId="1" type="noConversion"/>
  </si>
  <si>
    <t>sourcedata</t>
    <phoneticPr fontId="1" type="noConversion"/>
  </si>
  <si>
    <t>operatorInputData</t>
  </si>
  <si>
    <t>Cell11</t>
    <phoneticPr fontId="1" type="noConversion"/>
  </si>
  <si>
    <t>Cell12</t>
  </si>
  <si>
    <t>Cell13</t>
  </si>
  <si>
    <t>Cell14</t>
  </si>
  <si>
    <t>Cell17</t>
  </si>
  <si>
    <t>Cell17</t>
    <phoneticPr fontId="1" type="noConversion"/>
  </si>
  <si>
    <t>Cell1</t>
    <phoneticPr fontId="1" type="noConversion"/>
  </si>
  <si>
    <t>Cell2</t>
  </si>
  <si>
    <t>Cell3</t>
  </si>
  <si>
    <t>Cell4</t>
  </si>
  <si>
    <t>Cell5</t>
  </si>
  <si>
    <t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</si>
  <si>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</si>
  <si>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</si>
  <si>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>这两个可以从手写数据中采集么</t>
    <phoneticPr fontId="1" type="noConversion"/>
  </si>
  <si>
    <t>(Cell21*Cell26+Cell31*Cell36)/(Cell26+Cell36)</t>
    <phoneticPr fontId="1" type="noConversion"/>
  </si>
  <si>
    <t>(Cell22*Cell26+Cell32*Cell36)/(Cell26+Cell36)</t>
    <phoneticPr fontId="1" type="noConversion"/>
  </si>
  <si>
    <t>operatadata</t>
    <phoneticPr fontId="1" type="noConversion"/>
  </si>
  <si>
    <t>Cell11</t>
    <phoneticPr fontId="1" type="noConversion"/>
  </si>
  <si>
    <t>表3-需要计算</t>
    <phoneticPr fontId="1" type="noConversion"/>
  </si>
  <si>
    <t>Cell</t>
    <phoneticPr fontId="1" type="noConversion"/>
  </si>
  <si>
    <t>低温母液是单独的还是使用某个表中的数据代替</t>
    <phoneticPr fontId="1" type="noConversion"/>
  </si>
  <si>
    <t>operatedata Cell63/sourcedata Cell105</t>
    <phoneticPr fontId="1" type="noConversion"/>
  </si>
  <si>
    <t>operatedata Cell62</t>
    <phoneticPr fontId="1" type="noConversion"/>
  </si>
  <si>
    <t>operatedata Cell51</t>
    <phoneticPr fontId="1" type="noConversion"/>
  </si>
  <si>
    <t>operatedata Cell57</t>
    <phoneticPr fontId="1" type="noConversion"/>
  </si>
  <si>
    <t>operatedata Cell52</t>
    <phoneticPr fontId="1" type="noConversion"/>
  </si>
  <si>
    <t>operatedata Cell59</t>
    <phoneticPr fontId="1" type="noConversion"/>
  </si>
  <si>
    <t>operatedata Cell55</t>
    <phoneticPr fontId="1" type="noConversion"/>
  </si>
  <si>
    <t>operatedata Cell61</t>
    <phoneticPr fontId="1" type="noConversion"/>
  </si>
  <si>
    <t xml:space="preserve">                             指标
 时间</t>
    <phoneticPr fontId="1" type="noConversion"/>
  </si>
  <si>
    <t>sourcedata Cell</t>
    <phoneticPr fontId="1" type="noConversion"/>
  </si>
  <si>
    <t>operatedata</t>
    <phoneticPr fontId="1" type="noConversion"/>
  </si>
  <si>
    <t>折干=折百</t>
    <phoneticPr fontId="1" type="noConversion"/>
  </si>
  <si>
    <t>水+二乙睛</t>
    <phoneticPr fontId="1" type="noConversion"/>
  </si>
  <si>
    <t>表5 新增列</t>
    <phoneticPr fontId="1" type="noConversion"/>
  </si>
  <si>
    <t>表4</t>
    <phoneticPr fontId="1" type="noConversion"/>
  </si>
  <si>
    <t>公式算前面的平均值</t>
    <phoneticPr fontId="1" type="noConversion"/>
  </si>
  <si>
    <t>表3 采集</t>
    <phoneticPr fontId="1" type="noConversion"/>
  </si>
  <si>
    <t>液脱色前 表5</t>
    <phoneticPr fontId="1" type="noConversion"/>
  </si>
  <si>
    <t>三、收率</t>
    <phoneticPr fontId="1" type="noConversion"/>
  </si>
  <si>
    <t>四、废液</t>
    <phoneticPr fontId="1" type="noConversion"/>
  </si>
  <si>
    <t>Cell114</t>
    <phoneticPr fontId="1" type="noConversion"/>
  </si>
  <si>
    <t>Cell112</t>
    <phoneticPr fontId="1" type="noConversion"/>
  </si>
  <si>
    <t>Cell110</t>
    <phoneticPr fontId="1" type="noConversion"/>
  </si>
  <si>
    <t>累计除以产量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</si>
</sst>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6384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/>
      <c r="D7" s="5"/>
      <c r="E7" s="5"/>
      <c r="F7" s="20"/>
      <c r="G7" s="5"/>
      <c r="H7" s="23"/>
      <c r="I7" s="5"/>
      <c r="J7" s="27"/>
      <c r="K7" s="29"/>
    </row>
    <row r="8" spans="2:11" ht="25.05" customHeight="1">
      <c r="B8" s="4" t="s">
        <v>18</v>
      </c>
      <c r="C8" s="5"/>
      <c r="D8" s="5"/>
      <c r="E8" s="5"/>
      <c r="F8" s="20"/>
      <c r="G8" s="5"/>
      <c r="H8" s="23"/>
      <c r="I8" s="5"/>
      <c r="J8" s="27"/>
      <c r="K8" s="29"/>
    </row>
    <row r="9" spans="2:11" ht="25.05" customHeight="1">
      <c r="B9" s="7" t="s">
        <v>19</v>
      </c>
      <c r="C9" s="8"/>
      <c r="D9" s="8"/>
      <c r="E9" s="8"/>
      <c r="F9" s="21"/>
      <c r="G9" s="8"/>
      <c r="H9" s="24"/>
      <c r="I9" s="8"/>
      <c r="J9" s="28"/>
      <c r="K9" s="30"/>
    </row>
    <row r="10" spans="2:11" ht="20.10000000000000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0000000000000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0000000000000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H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  <col min="9" max="16384" width="9" style="2"/>
  </cols>
  <sheetData>
    <row r="2" spans="2:8" ht="17.649999999999999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/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33.1</v>
      </c>
      <c r="D6" s="51">
        <v>29.1</v>
      </c>
      <c r="E6" s="51">
        <v>1.6</v>
      </c>
      <c r="F6" s="51">
        <v>17.600000000000001</v>
      </c>
      <c r="G6" s="94">
        <v>6.28</v>
      </c>
    </row>
    <row r="7" spans="2:8" ht="16.5" customHeight="1">
      <c r="B7" s="3" t="s">
        <v>34</v>
      </c>
      <c r="C7" s="38"/>
      <c r="D7" s="38"/>
      <c r="E7" s="38"/>
      <c r="F7" s="38"/>
      <c r="G7" s="41"/>
    </row>
    <row r="8" spans="2:8" ht="16.5" customHeight="1">
      <c r="B8" s="3" t="s">
        <v>35</v>
      </c>
      <c r="C8" s="38"/>
      <c r="D8" s="38"/>
      <c r="E8" s="38"/>
      <c r="F8" s="38"/>
      <c r="G8" s="41"/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J13"/>
  <sheetViews>
    <sheetView workbookViewId="0">
      <selection activeCell="B12" sqref="B12"/>
    </sheetView>
  </sheetViews>
  <sheetFormatPr defaultColWidth="9" defaultRowHeight="17.100000000000001" customHeight="1"/>
  <cols>
    <col min="1" max="1" width="2.33203125" style="2" customWidth="1"/>
    <col min="2" max="2" width="9.1328125" style="2" bestFit="1" customWidth="1"/>
    <col min="3" max="9" width="10.73046875" style="2" customWidth="1"/>
    <col min="10" max="16384" width="9" style="2"/>
  </cols>
  <sheetData>
    <row r="2" spans="2:10" ht="17.10000000000000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00000000000001" customHeight="1">
      <c r="B3" s="174"/>
      <c r="C3" s="175"/>
      <c r="D3" s="175"/>
      <c r="E3" s="175"/>
      <c r="F3" s="175"/>
      <c r="G3" s="175"/>
      <c r="H3" s="175"/>
      <c r="I3" s="175"/>
    </row>
    <row r="4" spans="2:10" ht="17.10000000000000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0000000000000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0000000000000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00000000000001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10" ht="17.100000000000001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10" ht="17.10000000000000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10" ht="17.10000000000000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0000000000000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0000000000000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0000000000000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  <col min="11" max="16384" width="9" style="2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 t="s">
        <v>56</v>
      </c>
      <c r="D6" s="100" t="s">
        <v>56</v>
      </c>
      <c r="E6" s="100" t="s">
        <v>56</v>
      </c>
      <c r="F6" s="100" t="s">
        <v>56</v>
      </c>
      <c r="G6" s="100" t="s">
        <v>56</v>
      </c>
      <c r="H6" s="100" t="s">
        <v>56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1</v>
      </c>
      <c r="D7" s="103">
        <v>1</v>
      </c>
      <c r="E7" s="165">
        <f>C7+D7</f>
        <v>2</v>
      </c>
      <c r="F7" s="165">
        <f>100-E7</f>
        <v>98</v>
      </c>
      <c r="G7" s="103">
        <v>2</v>
      </c>
      <c r="H7" s="103">
        <v>1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1</v>
      </c>
      <c r="D8" s="100">
        <v>2</v>
      </c>
      <c r="E8" s="100">
        <f>C8+D8</f>
        <v>3</v>
      </c>
      <c r="F8" s="100">
        <f>100-E8</f>
        <v>97</v>
      </c>
      <c r="G8" s="105"/>
      <c r="H8" s="105"/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W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  <col min="24" max="16384" width="9" style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1</v>
      </c>
      <c r="D6" s="53">
        <v>1</v>
      </c>
      <c r="E6" s="53">
        <f>C6-D6</f>
        <v>0</v>
      </c>
      <c r="F6" s="54"/>
    </row>
    <row r="7" spans="2:23" ht="25.05" customHeight="1">
      <c r="B7" s="40" t="s">
        <v>64</v>
      </c>
      <c r="C7" s="53"/>
      <c r="D7" s="53"/>
      <c r="E7" s="53">
        <f>C7-D7</f>
        <v>0</v>
      </c>
      <c r="F7" s="54"/>
    </row>
    <row r="8" spans="2:23" ht="25.05" customHeight="1">
      <c r="B8" s="58" t="s">
        <v>65</v>
      </c>
      <c r="C8" s="59"/>
      <c r="D8" s="59"/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49999999999999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sheetPr>
    <tabColor rgb="FF00B050"/>
  </sheetPr>
  <dimension ref="B2:P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  <col min="17" max="16384" width="9" style="2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9"/>
    </row>
    <row r="6" spans="2:16" ht="60" customHeight="1">
      <c r="B6" s="156" t="s">
        <v>80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3"/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sheetPr>
    <tabColor rgb="FF00B050"/>
  </sheetPr>
  <dimension ref="B2:M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6384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0000000000001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00000000000001" customHeight="1">
      <c r="B5" s="215" t="s">
        <v>117</v>
      </c>
      <c r="C5" s="216"/>
      <c r="D5" s="5"/>
      <c r="E5" s="5"/>
      <c r="F5" s="5"/>
      <c r="G5" s="5"/>
      <c r="H5" s="5"/>
      <c r="I5" s="5"/>
      <c r="J5" s="5"/>
      <c r="K5" s="217" t="s">
        <v>127</v>
      </c>
      <c r="L5" s="217" t="s">
        <v>126</v>
      </c>
      <c r="M5" s="218" t="s">
        <v>128</v>
      </c>
    </row>
    <row r="6" spans="2:13" ht="20.10000000000000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0000000000000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00000000000001" customHeight="1">
      <c r="B8" s="4" t="s">
        <v>21</v>
      </c>
      <c r="C8" s="5" t="s">
        <v>56</v>
      </c>
      <c r="D8" s="147" t="s">
        <v>264</v>
      </c>
      <c r="E8" s="5"/>
      <c r="F8" s="5"/>
      <c r="G8" s="5"/>
      <c r="H8" s="5"/>
      <c r="I8" s="5"/>
      <c r="J8" s="5"/>
      <c r="K8" s="5"/>
      <c r="L8" s="5"/>
      <c r="M8" s="6">
        <f>K8-L8</f>
        <v>0</v>
      </c>
    </row>
    <row r="9" spans="2:13" ht="20.100000000000001" customHeight="1">
      <c r="B9" s="4" t="s">
        <v>94</v>
      </c>
      <c r="C9" s="5" t="s">
        <v>86</v>
      </c>
      <c r="D9" s="147" t="s">
        <v>248</v>
      </c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00000000000001" customHeight="1">
      <c r="B10" s="4" t="s">
        <v>44</v>
      </c>
      <c r="C10" s="5" t="s">
        <v>12</v>
      </c>
      <c r="D10" s="147" t="s">
        <v>250</v>
      </c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0000000000000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00000000000001" customHeight="1">
      <c r="B12" s="4" t="s">
        <v>21</v>
      </c>
      <c r="C12" s="5" t="s">
        <v>56</v>
      </c>
      <c r="D12" s="88" t="s">
        <v>265</v>
      </c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00000000000001" customHeight="1">
      <c r="B13" s="4" t="s">
        <v>57</v>
      </c>
      <c r="C13" s="5" t="s">
        <v>56</v>
      </c>
      <c r="D13" s="88" t="s">
        <v>265</v>
      </c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00000000000001" customHeight="1">
      <c r="B14" s="157" t="s">
        <v>58</v>
      </c>
      <c r="C14" s="5" t="s">
        <v>56</v>
      </c>
      <c r="D14" s="158" t="s">
        <v>280</v>
      </c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00000000000001" customHeight="1">
      <c r="B15" s="4" t="s">
        <v>59</v>
      </c>
      <c r="C15" s="5" t="s">
        <v>56</v>
      </c>
      <c r="D15" s="5" t="e">
        <f>100-D14</f>
        <v>#VALUE!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0000000000000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00000000000001" customHeight="1">
      <c r="B17" s="169" t="s">
        <v>132</v>
      </c>
      <c r="C17" s="170" t="s">
        <v>56</v>
      </c>
      <c r="D17" s="170" t="s">
        <v>265</v>
      </c>
      <c r="E17" s="170"/>
      <c r="F17" s="170"/>
      <c r="G17" s="170"/>
      <c r="H17" s="170"/>
      <c r="I17" s="170"/>
      <c r="J17" s="170"/>
      <c r="K17" s="170"/>
      <c r="L17" s="170"/>
      <c r="M17" s="171"/>
    </row>
    <row r="18" spans="2:13" ht="20.100000000000001" customHeight="1">
      <c r="B18" s="169" t="s">
        <v>133</v>
      </c>
      <c r="C18" s="170" t="s">
        <v>113</v>
      </c>
      <c r="D18" s="170" t="s">
        <v>265</v>
      </c>
      <c r="E18" s="170"/>
      <c r="F18" s="170"/>
      <c r="G18" s="170"/>
      <c r="H18" s="170"/>
      <c r="I18" s="170"/>
      <c r="J18" s="170"/>
      <c r="K18" s="170"/>
      <c r="L18" s="170"/>
      <c r="M18" s="171">
        <f>K18-L18</f>
        <v>0</v>
      </c>
    </row>
    <row r="19" spans="2:13" ht="20.10000000000000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0000000000000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/>
      <c r="L20" s="8"/>
      <c r="M20" s="9">
        <f>K20-L20</f>
        <v>0</v>
      </c>
    </row>
    <row r="21" spans="2:13" ht="20.100000000000001" customHeight="1">
      <c r="D21" s="1" t="s">
        <v>281</v>
      </c>
    </row>
    <row r="22" spans="2:13" ht="20.100000000000001" customHeight="1"/>
    <row r="23" spans="2:13" ht="20.100000000000001" customHeight="1"/>
    <row r="24" spans="2:13" ht="20.100000000000001" customHeight="1"/>
    <row r="25" spans="2:13" ht="20.10000000000000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2:I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16384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/>
      <c r="D8" s="71"/>
      <c r="E8" s="78" t="e">
        <f>C8/D8</f>
        <v>#DIV/0!</v>
      </c>
      <c r="F8" s="71"/>
      <c r="G8" s="74"/>
    </row>
    <row r="9" spans="2:9" ht="25.05" customHeight="1">
      <c r="B9" s="77" t="s">
        <v>90</v>
      </c>
      <c r="C9" s="71" t="s">
        <v>288</v>
      </c>
      <c r="D9" s="71" t="s">
        <v>288</v>
      </c>
      <c r="E9" s="78" t="e">
        <f>C9/D9</f>
        <v>#VALUE!</v>
      </c>
      <c r="F9" s="71" t="s">
        <v>289</v>
      </c>
      <c r="G9" s="74" t="s">
        <v>290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 t="s">
        <v>282</v>
      </c>
      <c r="D13" s="228"/>
      <c r="E13" s="95"/>
      <c r="F13" s="97"/>
      <c r="G13" s="88"/>
    </row>
    <row r="14" spans="2:9" ht="25.05" customHeight="1">
      <c r="B14" s="7" t="s">
        <v>35</v>
      </c>
      <c r="C14" s="229"/>
      <c r="D14" s="230"/>
      <c r="E14" s="96"/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  <col min="7" max="16384" width="9" style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 t="s">
        <v>268</v>
      </c>
      <c r="D6" s="53" t="s">
        <v>269</v>
      </c>
      <c r="E6" s="54">
        <v>301</v>
      </c>
    </row>
    <row r="7" spans="2:5" ht="25.05" customHeight="1">
      <c r="B7" s="55" t="s">
        <v>106</v>
      </c>
      <c r="C7" s="56"/>
      <c r="D7" s="56"/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 t="s">
        <v>270</v>
      </c>
      <c r="D11" s="90" t="s">
        <v>272</v>
      </c>
      <c r="E11" s="91" t="s">
        <v>274</v>
      </c>
    </row>
    <row r="12" spans="2:5" ht="25.05" customHeight="1">
      <c r="B12" s="40" t="s">
        <v>103</v>
      </c>
      <c r="C12" s="53" t="s">
        <v>271</v>
      </c>
      <c r="D12" s="53" t="s">
        <v>273</v>
      </c>
      <c r="E12" s="91" t="s">
        <v>275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sheetPr>
    <tabColor rgb="FF00B050"/>
  </sheetPr>
  <dimension ref="B2:F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 t="s">
        <v>277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1</v>
      </c>
      <c r="D7" s="162"/>
      <c r="E7" s="162">
        <v>1</v>
      </c>
      <c r="F7" s="173"/>
    </row>
    <row r="8" spans="2:6" ht="40.25" customHeight="1">
      <c r="B8" s="163" t="s">
        <v>34</v>
      </c>
      <c r="C8" s="162">
        <v>1</v>
      </c>
      <c r="D8" s="162"/>
      <c r="E8" s="162">
        <v>2</v>
      </c>
      <c r="F8" s="173"/>
    </row>
    <row r="9" spans="2:6" ht="40.25" customHeight="1">
      <c r="B9" s="163" t="s">
        <v>35</v>
      </c>
      <c r="C9" s="162"/>
      <c r="D9" s="162">
        <v>1</v>
      </c>
      <c r="E9" s="162"/>
      <c r="F9" s="173"/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sheetPr>
    <tabColor rgb="FFFFFF00"/>
  </sheetPr>
  <dimension ref="B2:X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/>
      <c r="D8" s="5"/>
      <c r="E8" s="5"/>
      <c r="F8" s="5"/>
      <c r="G8" s="5"/>
      <c r="H8" s="5"/>
      <c r="I8" s="53"/>
      <c r="J8" s="54"/>
    </row>
    <row r="9" spans="2:24" s="1" customFormat="1" ht="25.05" customHeight="1">
      <c r="B9" s="16" t="s">
        <v>105</v>
      </c>
      <c r="C9" s="17"/>
      <c r="D9" s="17"/>
      <c r="E9" s="17"/>
      <c r="F9" s="17"/>
      <c r="G9" s="17"/>
      <c r="H9" s="17"/>
      <c r="I9" s="69"/>
      <c r="J9" s="70"/>
    </row>
    <row r="10" spans="2:24" s="1" customFormat="1" ht="25.05" customHeight="1" thickBot="1">
      <c r="B10" s="7" t="s">
        <v>106</v>
      </c>
      <c r="C10" s="8"/>
      <c r="D10" s="8"/>
      <c r="E10" s="8"/>
      <c r="F10" s="8"/>
      <c r="G10" s="8"/>
      <c r="H10" s="8"/>
      <c r="I10" s="56"/>
      <c r="J10" s="57"/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sheetPr>
    <tabColor rgb="FF00B050"/>
  </sheetPr>
  <dimension ref="B2:R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  <col min="19" max="16384" width="9" style="2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0000000000001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/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136</v>
      </c>
      <c r="C8" s="72" t="s">
        <v>143</v>
      </c>
      <c r="D8" s="72"/>
      <c r="E8" s="285"/>
      <c r="F8" s="72"/>
      <c r="G8" s="285"/>
      <c r="H8" s="72"/>
      <c r="I8" s="285"/>
      <c r="J8" s="72"/>
      <c r="K8" s="285"/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/>
      <c r="E9" s="286"/>
      <c r="F9" s="73"/>
      <c r="G9" s="286"/>
      <c r="H9" s="73"/>
      <c r="I9" s="288"/>
      <c r="J9" s="73"/>
      <c r="K9" s="288"/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137</v>
      </c>
      <c r="C10" s="35" t="s">
        <v>143</v>
      </c>
      <c r="D10" s="35"/>
      <c r="E10" s="287"/>
      <c r="F10" s="35"/>
      <c r="G10" s="287"/>
      <c r="H10" s="35"/>
      <c r="I10" s="279"/>
      <c r="J10" s="35"/>
      <c r="K10" s="279"/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/>
      <c r="E11" s="288"/>
      <c r="F11" s="8"/>
      <c r="G11" s="288"/>
      <c r="H11" s="8"/>
      <c r="I11" s="280"/>
      <c r="J11" s="8"/>
      <c r="K11" s="280"/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138</v>
      </c>
      <c r="C12" s="72" t="s">
        <v>143</v>
      </c>
      <c r="D12" s="72"/>
      <c r="E12" s="285"/>
      <c r="F12" s="72"/>
      <c r="G12" s="285"/>
      <c r="H12" s="72"/>
      <c r="I12" s="281"/>
      <c r="J12" s="72"/>
      <c r="K12" s="281"/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/>
      <c r="E13" s="286"/>
      <c r="F13" s="73"/>
      <c r="G13" s="286"/>
      <c r="H13" s="73"/>
      <c r="I13" s="280"/>
      <c r="J13" s="73"/>
      <c r="K13" s="280"/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139</v>
      </c>
      <c r="C14" s="11" t="s">
        <v>143</v>
      </c>
      <c r="D14" s="11"/>
      <c r="E14" s="282"/>
      <c r="F14" s="11"/>
      <c r="G14" s="282"/>
      <c r="H14" s="11"/>
      <c r="I14" s="279"/>
      <c r="J14" s="11"/>
      <c r="K14" s="279"/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/>
      <c r="E15" s="265"/>
      <c r="F15" s="71"/>
      <c r="G15" s="265"/>
      <c r="H15" s="71"/>
      <c r="I15" s="299"/>
      <c r="J15" s="71"/>
      <c r="K15" s="299"/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140</v>
      </c>
      <c r="C16" s="72" t="s">
        <v>143</v>
      </c>
      <c r="D16" s="72"/>
      <c r="E16" s="285"/>
      <c r="F16" s="72"/>
      <c r="G16" s="285"/>
      <c r="H16" s="72"/>
      <c r="I16" s="285"/>
      <c r="J16" s="72"/>
      <c r="K16" s="285"/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/>
      <c r="E17" s="286"/>
      <c r="F17" s="73"/>
      <c r="G17" s="286"/>
      <c r="H17" s="73"/>
      <c r="I17" s="288"/>
      <c r="J17" s="73"/>
      <c r="K17" s="288"/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141</v>
      </c>
      <c r="C18" s="11" t="s">
        <v>143</v>
      </c>
      <c r="D18" s="11"/>
      <c r="E18" s="282"/>
      <c r="F18" s="11"/>
      <c r="G18" s="282"/>
      <c r="H18" s="11"/>
      <c r="I18" s="314"/>
      <c r="J18" s="11"/>
      <c r="K18" s="314"/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/>
      <c r="E19" s="265"/>
      <c r="F19" s="71"/>
      <c r="G19" s="265"/>
      <c r="H19" s="71"/>
      <c r="I19" s="299"/>
      <c r="J19" s="71"/>
      <c r="K19" s="299"/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142</v>
      </c>
      <c r="C20" s="72" t="s">
        <v>143</v>
      </c>
      <c r="D20" s="72"/>
      <c r="E20" s="285"/>
      <c r="F20" s="72"/>
      <c r="G20" s="285"/>
      <c r="H20" s="72"/>
      <c r="I20" s="285"/>
      <c r="J20" s="72"/>
      <c r="K20" s="285"/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/>
      <c r="E21" s="286"/>
      <c r="F21" s="73"/>
      <c r="G21" s="286"/>
      <c r="H21" s="73"/>
      <c r="I21" s="288"/>
      <c r="J21" s="73"/>
      <c r="K21" s="288"/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宏宇 汪</cp:lastModifiedBy>
  <dcterms:created xsi:type="dcterms:W3CDTF">2015-06-05T18:19:34Z</dcterms:created>
  <dcterms:modified xsi:type="dcterms:W3CDTF">2026-03-18T02:25:36Z</dcterms:modified>
</cp:coreProperties>
</file>