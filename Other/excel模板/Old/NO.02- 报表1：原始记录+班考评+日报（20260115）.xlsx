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B69CCE24-1203-4D41-8C28-7FD985C71E18}" xr6:coauthVersionLast="45" xr6:coauthVersionMax="47" xr10:uidLastSave="{00000000-0000-0000-0000-000000000000}"/>
  <bookViews>
    <workbookView xWindow="57480" yWindow="-120" windowWidth="29040" windowHeight="15840" activeTab="2" xr2:uid="{00000000-000D-0000-FFFF-FFFF00000000}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11" l="1"/>
  <c r="M17" i="11"/>
  <c r="P17" i="11"/>
  <c r="U17" i="11"/>
  <c r="AE17" i="11"/>
  <c r="AH17" i="11"/>
  <c r="F22" i="11"/>
  <c r="I22" i="11"/>
  <c r="L22" i="11"/>
  <c r="O22" i="11"/>
  <c r="Z7" i="11" l="1"/>
  <c r="S12" i="11"/>
  <c r="Y12" i="11"/>
  <c r="AC12" i="11"/>
  <c r="D28" i="11"/>
  <c r="E28" i="11"/>
  <c r="Z28" i="11"/>
  <c r="S33" i="11"/>
  <c r="Y33" i="11"/>
  <c r="AC33" i="11"/>
  <c r="H38" i="11"/>
  <c r="M38" i="11"/>
  <c r="P38" i="11"/>
  <c r="U38" i="1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A9A84C14-28C1-4DE7-B8E9-F59C3C7F87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308442AD-CF00-4A0F-BEF7-59DA0EABFE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 shapeId="0" xr:uid="{A56CCC72-971B-40CA-B444-1B80F6132FC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E6CFAD59-AC96-4FE2-9E98-2D8308917C2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115E47-2824-41CE-9978-5C32A1E8AC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7FC6C82F-827F-4AA8-8403-762F41BE765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877197E2-96E1-4C17-9DBB-5A0A6B1FD32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92129967-F845-43FE-8F5A-C25BDBEAF3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 shapeId="0" xr:uid="{E76EBC0D-5E30-4F24-92C8-3B07F0258D8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8B41A775-4705-4AD5-804B-2F1C9142AFC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06CBEB-4D72-474B-BA25-C641E9AD115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28A1A1ED-E2EC-42D7-BCAB-DD8D5A67B90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A4" authorId="0" shapeId="0" xr:uid="{FAEBF1E6-83FE-4FE0-99F8-5117BDB0A46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=日常手写记录表6，白班羟基乙腈单耗，直接读取</t>
        </r>
      </text>
    </comment>
    <comment ref="AB4" authorId="0" shapeId="0" xr:uid="{0DD47B22-3E1F-40E6-B169-9A896CE39AB7}">
      <text>
        <r>
          <rPr>
            <b/>
            <sz val="6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=日常手写记录表6，白班液氨单耗，直接读取</t>
        </r>
      </text>
    </comment>
    <comment ref="AC4" authorId="0" shapeId="0" xr:uid="{9B084F89-6899-4546-A820-26BD9196140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=日常手写记录表6，白班稀硫酸单耗，直接读取</t>
        </r>
      </text>
    </comment>
    <comment ref="AD4" authorId="0" shapeId="0" xr:uid="{A5D511AE-4B87-481C-BE84-FE89BB924F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=日常手写记录表6，白班蒸汽单耗，直接读取</t>
        </r>
      </text>
    </comment>
    <comment ref="AE4" authorId="0" shapeId="0" xr:uid="{232E9A2D-F34E-411C-9419-8F40175FE23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=日常手写记录表6，白班反应蒸汽单耗，直接读取</t>
        </r>
      </text>
    </comment>
    <comment ref="AF4" authorId="0" shapeId="0" xr:uid="{33890905-B6F4-4C29-A269-A4286100D80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=日常手写记录表6，白班低蒸蒸汽单耗，直接读取</t>
        </r>
      </text>
    </comment>
    <comment ref="AG4" authorId="0" shapeId="0" xr:uid="{9860CB12-3EE7-4661-9F17-6447B9D76F0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=日常手写记录表6，白班脱盐水单耗，直接读取</t>
        </r>
      </text>
    </comment>
    <comment ref="AH4" authorId="0" shapeId="0" xr:uid="{B3BA41BC-5474-4A3F-8C38-7DC2B0BE33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=日常手写记录表6，白班电单耗，直接读取</t>
        </r>
      </text>
    </comment>
    <comment ref="AI4" authorId="0" shapeId="0" xr:uid="{C7278A5A-AE31-467C-8A23-D608E892B80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=日常手写记录表6，白班废水单位排放，直接读取</t>
        </r>
      </text>
    </comment>
    <comment ref="AJ4" authorId="0" shapeId="0" xr:uid="{17EE65DC-8E5E-4F7D-AB2E-C4A3FB8993F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=日常手写记录表6，白班废液单位排放，直接读取</t>
        </r>
      </text>
    </comment>
    <comment ref="D5" authorId="0" shapeId="0" xr:uid="{F5D016F0-8006-4DB9-AE2A-1CECAB842EF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一次产品产量+二次产品产量</t>
        </r>
      </text>
    </comment>
    <comment ref="E5" authorId="0" shapeId="0" xr:uid="{98C7043E-39CD-4536-916D-A9D2B572DB8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一次产品折百产量+二次产品折百产量</t>
        </r>
      </text>
    </comment>
    <comment ref="F5" authorId="0" shapeId="0" xr:uid="{B7F5948F-E0CA-4726-826D-D048FEFD58F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以当天两班的平均产量为基准，高则上箭头，低则下箭头，上箭头为红色，下箭头为绿色</t>
        </r>
      </text>
    </comment>
    <comment ref="G5" authorId="0" shapeId="0" xr:uid="{0BEF3A5B-F1A3-42DF-BFA6-5E997096744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=日常手写记录表表3，白班班产与日平均产量的差额数值，直接读取</t>
        </r>
      </text>
    </comment>
    <comment ref="H5" authorId="0" shapeId="0" xr:uid="{EBD2FB4C-6A73-4CD0-85EB-58C517C3430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=日常手写记录表3中，白班合计中水分含量的平均值，直接读取</t>
        </r>
      </text>
    </comment>
    <comment ref="I5" authorId="0" shapeId="0" xr:uid="{06327477-3736-44DA-A38A-BD6506CACAF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=日常手写记录表3中，白班合计中未知物含量的平均值，直接读取</t>
        </r>
      </text>
    </comment>
    <comment ref="J5" authorId="0" shapeId="0" xr:uid="{0B390C16-F89A-43EC-BCC7-73D82798C62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=日常手写记录表3中，白班一次结晶物中产量班汇总数据，直接读取</t>
        </r>
      </text>
    </comment>
    <comment ref="K5" authorId="0" shapeId="0" xr:uid="{8612725D-7E3A-40B4-8B4F-8ACA9B7FD41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=日常手写记录表3中，白班一次结晶物中折百产量班汇总数据，直接读取</t>
        </r>
      </text>
    </comment>
    <comment ref="L5" authorId="0" shapeId="0" xr:uid="{5E88A7F5-D41A-4715-8E5B-28C6D256597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=日常手写记录表3中，白班一次结晶物中二乙腈班平均数据，直接读取</t>
        </r>
      </text>
    </comment>
    <comment ref="M5" authorId="0" shapeId="0" xr:uid="{0B958F69-4AC2-47C0-9B43-F1CBECE7564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=日常手写记录表3，白班一次结晶物中第一袋二乙腈含量，直接读取</t>
        </r>
      </text>
    </comment>
    <comment ref="N5" authorId="0" shapeId="0" xr:uid="{42FC6A7D-B457-4AD6-A068-DBCA197C963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=日常手写记录表3，白班一次结晶物中第二袋二乙腈含量，直接读取</t>
        </r>
      </text>
    </comment>
    <comment ref="O5" authorId="0" shapeId="0" xr:uid="{FA5D426B-E1AD-49B9-A4B9-F73FF5CF779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=日常手写记录表3，白班一次结晶物中平均水分含量，直接读取</t>
        </r>
      </text>
    </comment>
    <comment ref="P5" authorId="0" shapeId="0" xr:uid="{050B2342-9689-48BA-AE59-9BA242AC045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=日常手写记录表3，白班一次结晶物中第一袋含水率，直接读取</t>
        </r>
      </text>
    </comment>
    <comment ref="Q5" authorId="0" shapeId="0" xr:uid="{B165023B-66F5-401A-A6C3-65136D4743D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=日常手写记录表3，白班一次结晶物中第一袋含水率，直接读取</t>
        </r>
      </text>
    </comment>
    <comment ref="R5" authorId="0" shapeId="0" xr:uid="{E7E515D6-40BF-4839-BD04-A695A236542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=日常手写记录表3，白班一次结晶物中未知物平均含量，直接读取</t>
        </r>
      </text>
    </comment>
    <comment ref="S5" authorId="0" shapeId="0" xr:uid="{3ECC529E-C70D-4612-B59F-9B034B70CF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=日常手写记录表3，白班一次结晶物中第一袋未知物含量，直接读取</t>
        </r>
      </text>
    </comment>
    <comment ref="T5" authorId="0" shapeId="0" xr:uid="{3A5D60BB-F49D-4E94-B71B-C2785869587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=日常手写记录表3，白班一次结晶物中第二袋未知物含量，直接读取</t>
        </r>
      </text>
    </comment>
    <comment ref="U5" authorId="0" shapeId="0" xr:uid="{61071EF3-9359-478D-9754-0F18876E6B8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=日常手写记录表3中，白班二次结晶物中产量班汇总数据，直接读取</t>
        </r>
      </text>
    </comment>
    <comment ref="V5" authorId="0" shapeId="0" xr:uid="{49F5EDEE-D780-4D05-8EB0-DB6658E763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=日常手写记录表3，白班二次结晶物中折百产量班汇总数据，直接读取</t>
        </r>
      </text>
    </comment>
    <comment ref="W5" authorId="0" shapeId="0" xr:uid="{2955C5C4-9D9C-49B7-8688-5DCC62D6E24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=日常手写记录表3中，白班二次结晶物中二乙腈班平均数据，直接读取
</t>
        </r>
      </text>
    </comment>
    <comment ref="X5" authorId="0" shapeId="0" xr:uid="{2C1CA0D8-EFD7-4BDF-A2C2-5517B74C4F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=日常手写记录表3，白班二次结晶物中平均水分含量，直接读取</t>
        </r>
      </text>
    </comment>
    <comment ref="Y5" authorId="0" shapeId="0" xr:uid="{DAAAC423-F69C-4080-83C6-894018EE72B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=日常手写记录表3，白班二次结晶物中未知物平均含量，直接读取</t>
        </r>
      </text>
    </comment>
    <comment ref="Z5" authorId="0" shapeId="0" xr:uid="{605B81B1-D79E-4D33-98D9-C7F9D2D760D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白班二次产品总量/白班总产量×100%</t>
        </r>
      </text>
    </comment>
    <comment ref="D9" authorId="0" shapeId="0" xr:uid="{C1789228-AF0F-4A03-B42C-6BA7DF98214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手工填写，设计的摩尔比理论值</t>
        </r>
      </text>
    </comment>
    <comment ref="E9" authorId="0" shapeId="0" xr:uid="{0C140FBA-5759-4EF0-91C7-BE79B3CA9A8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3.3498×白班气氨质量用量（kg）/白班羟基乙腈有效成分质量消耗</t>
        </r>
      </text>
    </comment>
    <comment ref="F9" authorId="0" shapeId="0" xr:uid="{86060BCF-7203-4E7B-8EDB-65326C3692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以理论摩尔比为基准，正负波动2%内为持平，超则上箭头，低则下箭头</t>
        </r>
      </text>
    </comment>
    <comment ref="I9" authorId="0" shapeId="0" xr:uid="{D201CF90-97E7-4B81-B0E5-16C2731157D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=FT-05141,班累计值除以当班时间</t>
        </r>
      </text>
    </comment>
    <comment ref="J9" authorId="0" shapeId="0" xr:uid="{4ED963A4-A642-4A88-8E2D-5E1C9804E20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=FT-05142,班累计值除以当班时间</t>
        </r>
      </text>
    </comment>
    <comment ref="K9" authorId="0" shapeId="0" xr:uid="{B4B8BF7B-A724-4E55-B11B-54732F6086B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=TT-05312,班记录平均值</t>
        </r>
      </text>
    </comment>
    <comment ref="L9" authorId="0" shapeId="0" xr:uid="{82F3C853-3760-4F38-9198-134C58B79A0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=PT-05311,班记录平均值</t>
        </r>
      </text>
    </comment>
    <comment ref="M9" authorId="0" shapeId="0" xr:uid="{D64DBE80-8F22-4311-A91B-494E19C7334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=TT-05300，班记录平均值</t>
        </r>
      </text>
    </comment>
    <comment ref="N9" authorId="0" shapeId="0" xr:uid="{2514237B-91FC-4FC5-944B-D233813D8C4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9" authorId="0" shapeId="0" xr:uid="{EB1D785C-80CF-4BEC-B39C-B503C09C9D9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=PT-05317,班记录平均值</t>
        </r>
      </text>
    </comment>
    <comment ref="P9" authorId="0" shapeId="0" xr:uid="{7B9F936C-B59D-4618-ADD5-D61EC757DF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工艺设计的理论值，固定不变</t>
        </r>
      </text>
    </comment>
    <comment ref="U9" authorId="0" shapeId="0" xr:uid="{40ADC562-1185-4C78-A445-5C4CD5A760B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=日常手写记录表2，白班反应液比重的平均值，直接读取</t>
        </r>
      </text>
    </comment>
    <comment ref="V9" authorId="0" shapeId="0" xr:uid="{5E8F0F00-A8B4-4D75-B1E0-18E7A8C014A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工艺设计值，固定不变</t>
        </r>
      </text>
    </comment>
    <comment ref="AA9" authorId="0" shapeId="0" xr:uid="{3A542912-3781-4C69-ADC2-46FF022914A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工艺设计理论值，固定不变</t>
        </r>
      </text>
    </comment>
    <comment ref="AB9" authorId="0" shapeId="0" xr:uid="{85BDBD87-475F-496D-BD13-1AA42E02AFB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9" authorId="0" shapeId="0" xr:uid="{8C76A376-6097-47C8-931C-9A4ED97794B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=稀硫酸实际耗量-稀硫酸设计耗量</t>
        </r>
      </text>
    </comment>
    <comment ref="AD9" authorId="0" shapeId="0" xr:uid="{6B4C4C24-E320-46F1-8EF3-96734C5E97E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10" authorId="0" shapeId="0" xr:uid="{3F1BE39F-D991-47E6-A629-AA7A9990864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=FT-05213,班累计值除以当班时间</t>
        </r>
      </text>
    </comment>
    <comment ref="H10" authorId="0" shapeId="0" xr:uid="{65BEA44B-BADE-4564-B61A-2644D12A360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=AT-04212,班记录数据的平均值</t>
        </r>
      </text>
    </comment>
    <comment ref="R10" authorId="0" shapeId="0" xr:uid="{1F792797-28B5-4B14-A70B-D7E76624EDD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=日常手写记录表2，白班二乙腈含量化分的平均值，直接读取</t>
        </r>
      </text>
    </comment>
    <comment ref="S10" authorId="0" shapeId="0" xr:uid="{A7FEA520-1565-4EA9-863A-57A6F68F0A5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10" authorId="0" shapeId="0" xr:uid="{70EBF73D-8F6D-433A-B79E-EE6D699977E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10" authorId="0" shapeId="0" xr:uid="{B3019134-5C74-4AA6-835D-881A3A21135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=日常手写记录表2，白班羟基乙腈残余化分的平均值，直接读取</t>
        </r>
      </text>
    </comment>
    <comment ref="Y10" authorId="0" shapeId="0" xr:uid="{CE5677F7-249E-40D3-AC2B-9B2D4D094FA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10" authorId="0" shapeId="0" xr:uid="{9B2FD811-D3C4-42E6-AAC5-DD3941B499E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以设计的值为基准，高则上箭头，低则下箭头，相等则横线</t>
        </r>
      </text>
    </comment>
    <comment ref="AE10" authorId="0" shapeId="0" xr:uid="{3964208D-8364-4BA7-A85C-A792EBF2D71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10" authorId="0" shapeId="0" xr:uid="{A8DA1EEE-FE31-4F07-83F2-BE1CACA84CB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10" authorId="0" shapeId="0" xr:uid="{C8E596E0-0F64-4BAE-A969-897E7984693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10" authorId="0" shapeId="0" xr:uid="{CC1A44E8-0698-4C5E-812D-DC973C92407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=日常手写记录表1，白班COD平均值，直接读取</t>
        </r>
      </text>
    </comment>
    <comment ref="AI10" authorId="0" shapeId="0" xr:uid="{F6762778-A7E8-4FB3-9A6A-4BE8D79EBA9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=日常手写记录表1，白班总腈平均值，直接读取</t>
        </r>
      </text>
    </comment>
    <comment ref="AJ10" authorId="0" shapeId="0" xr:uid="{468EBFA2-FD8A-44F1-A76A-477A69064F0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=日常手写记录表1，白班氨氮平均值，直接读取</t>
        </r>
      </text>
    </comment>
    <comment ref="D15" authorId="0" shapeId="0" xr:uid="{36188467-8B5A-4D84-899E-1B307CBE4F6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=日常手写记录表1，白班甲醛平均值，直接读取</t>
        </r>
      </text>
    </comment>
    <comment ref="E15" authorId="0" shapeId="0" xr:uid="{4095E1AF-66A8-4BBF-9058-9A2E4A8A6E4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=日常手写记录表1，白班pH平均值，直接读取</t>
        </r>
      </text>
    </comment>
    <comment ref="F15" authorId="0" shapeId="0" xr:uid="{FE5C3D0C-9AB5-4744-80B7-E805F310B4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=TT-06125或TT-06135班记录的平均值</t>
        </r>
      </text>
    </comment>
    <comment ref="G15" authorId="0" shapeId="0" xr:uid="{D971534F-3079-4A0D-B46E-884FA677037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=TT-06171，班记录平均值</t>
        </r>
      </text>
    </comment>
    <comment ref="H15" authorId="0" shapeId="0" xr:uid="{605FE1ED-E5F7-4885-89CA-77E75C23618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15" authorId="0" shapeId="0" xr:uid="{FA8C0C43-3AFB-48B4-A3A2-2496B6228E5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J15" authorId="0" shapeId="0" xr:uid="{8BEFD6FE-1E2C-4DC9-B972-9A55891A7D0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K15" authorId="0" shapeId="0" xr:uid="{A41E722D-FF9B-4EF6-85B1-087C47B1303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=日常手写记录表3，白班一次结晶物中二乙腈化分含量的平均值，直接读取</t>
        </r>
      </text>
    </comment>
    <comment ref="L15" authorId="0" shapeId="0" xr:uid="{75C875FB-2003-4D5A-A06F-4BCA613A4C1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=日常手写记录表3，白班一次结晶物中水分含量的平均值，直接读取</t>
        </r>
      </text>
    </comment>
    <comment ref="M15" authorId="0" shapeId="0" xr:uid="{B5D2CD1D-74C3-460A-9AC6-5D6FFE3996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=日常手写记录表3，白班一次结晶物中二乙腈+水含量的平均值，直接读取</t>
        </r>
      </text>
    </comment>
    <comment ref="N15" authorId="0" shapeId="0" xr:uid="{C3D17A00-C431-446C-B0D0-27E3CF627DA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15" authorId="0" shapeId="0" xr:uid="{5005DAB8-85D5-4DB6-A5D7-A6291ADA76B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=TT-08171，班记录取平均值</t>
        </r>
      </text>
    </comment>
    <comment ref="P15" authorId="0" shapeId="0" xr:uid="{2C7674B7-9BA4-46D8-BF93-E8C007623A8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=物料温度-冷却水温度</t>
        </r>
      </text>
    </comment>
    <comment ref="Q15" authorId="0" shapeId="0" xr:uid="{8CD5FA1F-0E40-4757-B8A1-1BDE25B3C6D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=LT-08181，班记录取平均值</t>
        </r>
      </text>
    </comment>
    <comment ref="R15" authorId="0" shapeId="0" xr:uid="{D54D52C8-6C26-45AB-A3AE-8F10E99B072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=班记录数据取平均值</t>
        </r>
      </text>
    </comment>
    <comment ref="S15" authorId="0" shapeId="0" xr:uid="{9FAE03B9-0618-43BD-9BC9-5C98F15ADA6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=日常手写记录表3，白班二次结晶物种二乙腈化分含量的平均值，直接读取</t>
        </r>
      </text>
    </comment>
    <comment ref="T15" authorId="0" shapeId="0" xr:uid="{C0524334-BFDB-4E47-A659-A1DF9C6C99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=日常手写记录表3，白班二次结晶物中水分含量的平均值，直接读取</t>
        </r>
      </text>
    </comment>
    <comment ref="U15" authorId="0" shapeId="0" xr:uid="{CE618222-514C-4C02-8D58-99ECDCF31A5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=日常手写记录表3，白班二次结晶物中二乙腈+水含量的平均值，直接读取</t>
        </r>
      </text>
    </comment>
    <comment ref="V15" authorId="0" shapeId="0" xr:uid="{2A2B90A1-659B-43AF-BA86-D61C0BDA1F5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15" authorId="0" shapeId="0" xr:uid="{D1DABE52-C8AA-4AD6-817C-264D343319D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15" authorId="0" shapeId="0" xr:uid="{837ECD96-17F3-491D-AC2F-82B1CC79978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=PT-07145,班记录取平均值</t>
        </r>
      </text>
    </comment>
    <comment ref="Y15" authorId="0" shapeId="0" xr:uid="{FAC37188-3544-4AB1-8402-19A33110BE3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=LT-07171，班记录取平均值</t>
        </r>
      </text>
    </comment>
    <comment ref="Z15" authorId="0" shapeId="0" xr:uid="{E5063E0D-332A-46D3-B202-C11B216A455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15" authorId="0" shapeId="0" xr:uid="{74BFCCDF-89B5-44A5-A3B1-84CB1A323D6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=FT-07111,班累计值/当班时间</t>
        </r>
      </text>
    </comment>
    <comment ref="AB15" authorId="0" shapeId="0" xr:uid="{35E75DBE-C77E-4724-9FEA-7167DAD1C74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</t>
        </r>
      </text>
    </comment>
    <comment ref="AC15" authorId="0" shapeId="0" xr:uid="{4F4B1667-E948-41D0-B733-98AD70AE571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=FT-07122,班累计值/当班时间</t>
        </r>
      </text>
    </comment>
    <comment ref="AD15" authorId="0" shapeId="0" xr:uid="{96614272-0A38-49AC-BAB3-0C6E995884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=FT-07137，班每次出料记录比重取平均值，注意单位转化成g/L</t>
        </r>
      </text>
    </comment>
    <comment ref="AE15" authorId="0" shapeId="0" xr:uid="{069A3C9E-A221-4559-BD3B-AF812D8A4D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=班FT-07111进料总量/班FT-07122出料总量，取小数点后2位</t>
        </r>
      </text>
    </comment>
    <comment ref="AF15" authorId="0" shapeId="0" xr:uid="{7B8ADFC3-0940-473E-811A-6518D7AB880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15" authorId="0" shapeId="0" xr:uid="{40502A8A-DA6C-445D-A4FA-B364BFBE7DD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15" authorId="0" shapeId="0" xr:uid="{062A4DBB-89FF-4345-A618-64139E9620A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15" authorId="0" shapeId="0" xr:uid="{C872434D-3B9E-44AF-9F0E-6593F94A44DC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工艺设计的理论值，固定不变，人工填写</t>
        </r>
      </text>
    </comment>
    <comment ref="AJ15" authorId="0" shapeId="0" xr:uid="{1C1FA8FA-1FE1-4A57-BC8E-5392C6913595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与设计的理论值比，低则下箭头，高则上箭头，相等则横线</t>
        </r>
      </text>
    </comment>
    <comment ref="M19" authorId="0" shapeId="0" xr:uid="{C32B0F91-F6A1-4321-AC1A-4EA83DCAB1C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19" authorId="0" shapeId="0" xr:uid="{B9E0A6B7-8109-4029-AE92-B7E25B93359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19" authorId="0" shapeId="0" xr:uid="{17E15E65-146E-447E-835F-404AF01C7C8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19" authorId="0" shapeId="0" xr:uid="{0867EE9D-5D20-44B4-BA83-A12E685B7CE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19" authorId="0" shapeId="0" xr:uid="{BE61F539-A916-42E7-A789-68BD6941288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20" authorId="0" shapeId="0" xr:uid="{6B7148D5-59F6-494D-9A0B-4D68DB989A8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20" authorId="0" shapeId="0" xr:uid="{4290C5CD-4E4D-4BEF-93DE-24F950EC4E7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20" authorId="0" shapeId="0" xr:uid="{F8474BD5-979C-4DF5-9F1B-B6FAC38AFE9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20" authorId="0" shapeId="0" xr:uid="{878EA20E-C46A-4E80-B6DF-BCA8A369675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20" authorId="0" shapeId="0" xr:uid="{FA7ADE8F-087E-426F-8007-120FCB542B2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20" authorId="0" shapeId="0" xr:uid="{1EDDD76F-8667-4530-BB60-657BC7BA9DA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20" authorId="0" shapeId="0" xr:uid="{04F42AA3-5E86-41DB-8000-D590969A335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20" authorId="0" shapeId="0" xr:uid="{F62025E2-9D3D-4387-BA62-3083D81E25F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20" authorId="0" shapeId="0" xr:uid="{D16348DE-34BD-4F84-A2B0-267FCB3F68E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AA25" authorId="0" shapeId="0" xr:uid="{A9190920-FE95-4AD2-A58C-DACA32DC437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=日常手写记录表6，夜班羟基乙腈单耗，直接读取</t>
        </r>
      </text>
    </comment>
    <comment ref="AB25" authorId="0" shapeId="0" xr:uid="{74A962C8-1743-41EB-B7FE-4C7DA4388497}">
      <text>
        <r>
          <rPr>
            <b/>
            <sz val="6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=日常手写记录表6，夜班液氨单耗，直接读取</t>
        </r>
      </text>
    </comment>
    <comment ref="AC25" authorId="0" shapeId="0" xr:uid="{048C40B6-7EDE-49F9-B6DD-E2E435203FC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=日常手写记录表6，夜班稀硫酸单耗，直接读取</t>
        </r>
      </text>
    </comment>
    <comment ref="AD25" authorId="0" shapeId="0" xr:uid="{E246EF87-88A5-4E7A-83D2-60AB9E5E027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=日常手写记录表6，夜班蒸汽单耗，直接读取</t>
        </r>
      </text>
    </comment>
    <comment ref="AE25" authorId="0" shapeId="0" xr:uid="{80F75B1C-F9C8-4B9A-BBE3-A148AC4ADE0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=日常手写记录表6，夜班反应蒸汽单耗，直接读取</t>
        </r>
      </text>
    </comment>
    <comment ref="AF25" authorId="0" shapeId="0" xr:uid="{B7B50C15-C654-4438-ACD5-AE02B61E0E5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=日常手写记录表6，夜班低蒸蒸汽单耗，直接读取</t>
        </r>
      </text>
    </comment>
    <comment ref="AG25" authorId="0" shapeId="0" xr:uid="{93FA166C-56B1-47C6-875F-9F2E1931706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=日常手写记录表6，夜班脱盐水单耗，直接读取</t>
        </r>
      </text>
    </comment>
    <comment ref="AH25" authorId="0" shapeId="0" xr:uid="{382CF4C3-5DFE-41A6-A7D1-8A4F93CB1F9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=日常手写记录表6，夜班电单耗，直接读取</t>
        </r>
      </text>
    </comment>
    <comment ref="AI25" authorId="0" shapeId="0" xr:uid="{174DC1C8-9F19-4491-A00D-655E928E22C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=日常手写记录表6，夜班废水单位排放，直接读取</t>
        </r>
      </text>
    </comment>
    <comment ref="AJ25" authorId="0" shapeId="0" xr:uid="{3B0D965F-C98E-45EC-8072-5CE92F512E5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=日常手写记录表6，夜班废液单位排放，直接读取</t>
        </r>
      </text>
    </comment>
    <comment ref="D26" authorId="0" shapeId="0" xr:uid="{0FE8E38C-1393-4EFB-8CDF-B360E507162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一次产品产量+二次产品产量</t>
        </r>
      </text>
    </comment>
    <comment ref="E26" authorId="0" shapeId="0" xr:uid="{2D1CF343-7441-4207-B297-D47026D199D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一次产品折百产量+二次产品折百产量</t>
        </r>
      </text>
    </comment>
    <comment ref="F26" authorId="0" shapeId="0" xr:uid="{8BB11C6E-F191-4460-89D6-09C246A9FC6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以当天两班的平均产量为基准，高则上箭头，低则下箭头，上箭头为红色，下箭头为绿色</t>
        </r>
      </text>
    </comment>
    <comment ref="G26" authorId="0" shapeId="0" xr:uid="{6D8204A5-BAF2-4B88-AD6B-7D099207DF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=日常手写记录表表3，夜班班产与日平均产量的差额数值，直接读取</t>
        </r>
      </text>
    </comment>
    <comment ref="H26" authorId="0" shapeId="0" xr:uid="{318B2F0C-21D7-4D1B-9A94-E5DD3D460CF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=日常手写记录表3中，夜班合计中水分含量的平均值，直接读取</t>
        </r>
      </text>
    </comment>
    <comment ref="I26" authorId="0" shapeId="0" xr:uid="{D979A0B2-76EB-4624-BE04-227721B0838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=日常手写记录表3中，夜班合计中未知物含量的平均值，直接读取</t>
        </r>
      </text>
    </comment>
    <comment ref="J26" authorId="0" shapeId="0" xr:uid="{199DC7D8-EB87-4573-BD76-30339957D9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=日常手写记录表3中，夜班一次结晶物中产量班汇总数据，直接读取</t>
        </r>
      </text>
    </comment>
    <comment ref="K26" authorId="0" shapeId="0" xr:uid="{45E0F431-79F6-4FFA-B5B1-B7C5626DBDE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=日常手写记录表3中，夜班一次结晶物中折百产量班汇总数据，直接读取</t>
        </r>
      </text>
    </comment>
    <comment ref="L26" authorId="0" shapeId="0" xr:uid="{381411D0-919B-4A14-BB04-639A479A533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=日常手写记录表3中，夜班一次结晶物中二乙腈班平均数据，直接读取</t>
        </r>
      </text>
    </comment>
    <comment ref="M26" authorId="0" shapeId="0" xr:uid="{1680B4DF-9B26-411C-85AF-2B5B5794C99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=日常手写记录表3，夜班一次结晶物中第一袋二乙腈含量，直接读取</t>
        </r>
      </text>
    </comment>
    <comment ref="N26" authorId="0" shapeId="0" xr:uid="{B3B1A0CE-6169-4804-9B9E-E7B20F33FB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=日常手写记录表3，夜班一次结晶物中第二袋二乙腈含量，直接读取</t>
        </r>
      </text>
    </comment>
    <comment ref="O26" authorId="0" shapeId="0" xr:uid="{36405236-E625-410D-B23C-794105DBE2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=日常手写记录表3，夜班一次结晶物中平均水分含量，直接读取</t>
        </r>
      </text>
    </comment>
    <comment ref="P26" authorId="0" shapeId="0" xr:uid="{509C5639-A311-4FDA-8664-FBB9EBF2C6C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=日常手写记录表3，夜班一次结晶物中第一袋含水率，直接读取</t>
        </r>
      </text>
    </comment>
    <comment ref="Q26" authorId="0" shapeId="0" xr:uid="{22F52E30-C146-463D-BF30-9B750A8FA0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=日常手写记录表3，夜班一次结晶物中第一袋含水率，直接读取</t>
        </r>
      </text>
    </comment>
    <comment ref="R26" authorId="0" shapeId="0" xr:uid="{E7A9FD8A-B168-46B6-AAE8-CDA38761AB5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=日常手写记录表3，夜班一次结晶物中未知物平均含量，直接读取</t>
        </r>
      </text>
    </comment>
    <comment ref="S26" authorId="0" shapeId="0" xr:uid="{51B98A37-CCFA-413C-A1FA-40AA85904F9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=日常手写记录表3，夜班一次结晶物中第一袋未知物含量，直接读取</t>
        </r>
      </text>
    </comment>
    <comment ref="T26" authorId="0" shapeId="0" xr:uid="{E0DB0140-A01B-4282-88B8-F9D7765EF0D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=日常手写记录表3，夜班一次结晶物中第二袋未知物含量，直接读取</t>
        </r>
      </text>
    </comment>
    <comment ref="U26" authorId="0" shapeId="0" xr:uid="{6065E9B3-A89C-45B3-B6B2-478C1DA027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=日常手写记录表3中，夜班二次结晶物中产量班汇总数据，直接读取</t>
        </r>
      </text>
    </comment>
    <comment ref="V26" authorId="0" shapeId="0" xr:uid="{2EE53153-2116-429D-AE8C-AC8B6250ECC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=日常手写记录表3，夜班二次结晶物中折百产量班汇总数据，直接读取</t>
        </r>
      </text>
    </comment>
    <comment ref="W26" authorId="0" shapeId="0" xr:uid="{D83908F6-7A06-4DED-8102-369C45EDD6F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=日常手写记录表3中，夜班二次结晶物中二乙腈班平均数据，直接读取
</t>
        </r>
      </text>
    </comment>
    <comment ref="X26" authorId="0" shapeId="0" xr:uid="{43503D8C-0CF4-4DBF-B439-A073C8D1558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=日常手写记录表3，夜班二次结晶物中平均水分含量，直接读取</t>
        </r>
      </text>
    </comment>
    <comment ref="Y26" authorId="0" shapeId="0" xr:uid="{EC3E402D-0192-4DA0-B0BD-279ECC37AD1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=日常手写记录表3，夜班二次结晶物中未知物平均含量，直接读取</t>
        </r>
      </text>
    </comment>
    <comment ref="Z26" authorId="0" shapeId="0" xr:uid="{15953D70-BAAB-4C30-863E-0FF697D16BB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白班二次产品总量/夜班总产量×100%</t>
        </r>
      </text>
    </comment>
    <comment ref="D30" authorId="0" shapeId="0" xr:uid="{C3E7A19C-7364-4C74-BD9A-07E72633331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手工填写，设计的摩尔比理论值</t>
        </r>
      </text>
    </comment>
    <comment ref="E30" authorId="0" shapeId="0" xr:uid="{50C7BB34-B610-4AD7-9161-0646EC55CC1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3.3498×夜班气氨质量用量（kg）/夜班羟基乙腈有效成分质量消耗</t>
        </r>
      </text>
    </comment>
    <comment ref="F30" authorId="0" shapeId="0" xr:uid="{9A1AB56A-5C63-48E8-B6BA-C8C410CF092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以理论摩尔比为基准，正负波动2%内为持平，超则上箭头，低则下箭头</t>
        </r>
      </text>
    </comment>
    <comment ref="I30" authorId="0" shapeId="0" xr:uid="{0BEA203F-1EB9-471B-BDDE-F866628EB2D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=FT-05141,班累计值除以当班时间</t>
        </r>
      </text>
    </comment>
    <comment ref="J30" authorId="0" shapeId="0" xr:uid="{4F369641-0D5B-4CF7-AA6F-4E40BB532E5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=FT-05142,班累计值除以当班时间</t>
        </r>
      </text>
    </comment>
    <comment ref="K30" authorId="0" shapeId="0" xr:uid="{79E3E66D-C87A-4C67-8DDC-700F77F7C03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=TT-05312,班记录平均值</t>
        </r>
      </text>
    </comment>
    <comment ref="L30" authorId="0" shapeId="0" xr:uid="{3848A9EE-1C6F-4B1A-8AB8-E3CBCD1D885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=PT-05311,班记录平均值</t>
        </r>
      </text>
    </comment>
    <comment ref="M30" authorId="0" shapeId="0" xr:uid="{DBBD9A25-5612-489C-8423-7CDE77684B5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=TT-05300，班记录平均值</t>
        </r>
      </text>
    </comment>
    <comment ref="N30" authorId="0" shapeId="0" xr:uid="{0E1C7B6B-06F9-48F8-B5A6-F95BC347D1E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30" authorId="0" shapeId="0" xr:uid="{7B463CBA-F482-4C46-8921-CB5C1FE6927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=PT-05317,班记录平均值</t>
        </r>
      </text>
    </comment>
    <comment ref="P30" authorId="0" shapeId="0" xr:uid="{48C13C87-FA21-4A0E-A64D-F455ED0CDA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工艺设计的理论值，固定不变</t>
        </r>
      </text>
    </comment>
    <comment ref="U30" authorId="0" shapeId="0" xr:uid="{4A3AC4EC-2C17-4A8B-9D13-FF3961986E2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=日常手写记录表2，夜班反应液比重的平均值，直接读取</t>
        </r>
      </text>
    </comment>
    <comment ref="V30" authorId="0" shapeId="0" xr:uid="{8543B672-B612-4697-AD5A-FA57565B5E7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工艺设计值，固定不变</t>
        </r>
      </text>
    </comment>
    <comment ref="AA30" authorId="0" shapeId="0" xr:uid="{C6AD20E8-C16F-45BC-867F-1606A3ED9D2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工艺设计理论值，固定不变</t>
        </r>
      </text>
    </comment>
    <comment ref="AB30" authorId="0" shapeId="0" xr:uid="{75DFA8EC-14EE-4A33-B34B-EC67622DB13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30" authorId="0" shapeId="0" xr:uid="{088A05CB-1D67-4864-B882-ED38D722906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=稀硫酸实际耗量-稀硫酸设计耗量</t>
        </r>
      </text>
    </comment>
    <comment ref="AD30" authorId="0" shapeId="0" xr:uid="{B70E7B78-20FB-45B2-A645-BD0BDCDB803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31" authorId="0" shapeId="0" xr:uid="{1CE87B1B-F5DB-4241-AFDF-D04BB09C19C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=FT-05213,班累计值除以当班时间</t>
        </r>
      </text>
    </comment>
    <comment ref="H31" authorId="0" shapeId="0" xr:uid="{9EB8B491-D549-4F32-BDCC-63E70F880BB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=AT-04212,班记录数据的平均值</t>
        </r>
      </text>
    </comment>
    <comment ref="R31" authorId="0" shapeId="0" xr:uid="{1D303EEA-3FB4-4A36-8221-37F9BBC75D1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=日常手写记录表2，夜班二乙腈含量化分的平均值，直接读取</t>
        </r>
      </text>
    </comment>
    <comment ref="S31" authorId="0" shapeId="0" xr:uid="{15F4230C-F18D-4740-9C80-3C6F983CB9A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31" authorId="0" shapeId="0" xr:uid="{891ED46B-7A02-4A47-93F2-FCE5E4CB8C4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31" authorId="0" shapeId="0" xr:uid="{4A8BA433-67D4-431B-8D04-B5B836D8207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=日常手写记录表2，夜班羟基乙腈残余化分的平均值，直接读取</t>
        </r>
      </text>
    </comment>
    <comment ref="Y31" authorId="0" shapeId="0" xr:uid="{4170C941-DCD9-4F3F-B31A-65D533B902D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31" authorId="0" shapeId="0" xr:uid="{477A57DC-D323-4735-9CBA-F946F31ACD0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以设计的值为基准，高则上箭头，低则下箭头，相等则横线</t>
        </r>
      </text>
    </comment>
    <comment ref="AE31" authorId="0" shapeId="0" xr:uid="{780DD5EA-814E-4171-922F-1FA9DB425C4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31" authorId="0" shapeId="0" xr:uid="{73789B64-2287-43C5-8AA7-0B3AB924FE7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31" authorId="0" shapeId="0" xr:uid="{20C8B4DC-FD49-42C2-BF51-5019B7DD3B2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31" authorId="0" shapeId="0" xr:uid="{AEC3C720-535A-4FC1-949B-5A09918CA9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=日常手写记录表1，夜班COD平均值，直接读取</t>
        </r>
      </text>
    </comment>
    <comment ref="AI31" authorId="0" shapeId="0" xr:uid="{286912EE-4C52-4ACF-ACAB-99839696838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=日常手写记录表1，夜班总腈平均值，直接读取</t>
        </r>
      </text>
    </comment>
    <comment ref="AJ31" authorId="0" shapeId="0" xr:uid="{BE6ACA47-F0F1-4ABB-A2A6-254B10F228F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=日常手写记录表1，夜班氨氮平均值，直接读取</t>
        </r>
      </text>
    </comment>
    <comment ref="D36" authorId="0" shapeId="0" xr:uid="{853D7602-9BD5-44C4-B2C0-3296D867809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=日常手写记录表1，夜班甲醛平均值，直接读取</t>
        </r>
      </text>
    </comment>
    <comment ref="E36" authorId="0" shapeId="0" xr:uid="{0D7FE257-8D89-47D6-8110-74E3BA979AD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=日常手写记录表1，夜班pH平均值，直接读取</t>
        </r>
      </text>
    </comment>
    <comment ref="F36" authorId="0" shapeId="0" xr:uid="{4A425B5B-4D37-49F9-AB15-A7ACFFE1200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=TT-06125或TT-06135班记录的平均值</t>
        </r>
      </text>
    </comment>
    <comment ref="G36" authorId="0" shapeId="0" xr:uid="{5B9CA2B2-7C34-4283-B236-4280994A7FB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=TT-06171，班记录平均值</t>
        </r>
      </text>
    </comment>
    <comment ref="H36" authorId="0" shapeId="0" xr:uid="{55754EF9-3C65-4A78-A4CE-A53E0941F94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36" authorId="0" shapeId="0" xr:uid="{61CE94F1-6371-4698-B136-4A5F1FCE4B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J36" authorId="0" shapeId="0" xr:uid="{B6208E34-C771-4948-A4E9-33120EBBBF9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K36" authorId="0" shapeId="0" xr:uid="{0097EAA5-6056-475A-8240-D985A81808F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=日常手写记录表3，夜班一次结晶物中二乙腈化分含量的平均值，直接读取</t>
        </r>
      </text>
    </comment>
    <comment ref="L36" authorId="0" shapeId="0" xr:uid="{BB0A5860-6AFE-4C2A-A88C-0A024FBF117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=日常手写记录表3，夜班一次结晶物中水分含量的平均值，直接读取</t>
        </r>
      </text>
    </comment>
    <comment ref="M36" authorId="0" shapeId="0" xr:uid="{B573BAEA-414B-4CE8-951A-D36536C9CC2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=日常手写记录表3，夜班一次结晶物中二乙腈+水含量的平均值，直接读取</t>
        </r>
      </text>
    </comment>
    <comment ref="N36" authorId="0" shapeId="0" xr:uid="{07B471DC-35A4-4890-BDC4-90492886DD9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36" authorId="0" shapeId="0" xr:uid="{B8E9195E-19EE-4396-BFE0-3C72B278DD2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=TT-08171，班记录取平均值</t>
        </r>
      </text>
    </comment>
    <comment ref="P36" authorId="0" shapeId="0" xr:uid="{671289F0-15C5-4605-A72F-1C8902C2BB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=物料温度-冷却水温度</t>
        </r>
      </text>
    </comment>
    <comment ref="Q36" authorId="0" shapeId="0" xr:uid="{2F07540C-B647-4269-A721-B44440867D8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=LT-08181，班记录取平均值</t>
        </r>
      </text>
    </comment>
    <comment ref="R36" authorId="0" shapeId="0" xr:uid="{724FEFED-2CAF-41F6-8DFD-33004D90580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=班记录数据取平均值</t>
        </r>
      </text>
    </comment>
    <comment ref="S36" authorId="0" shapeId="0" xr:uid="{6D78CC66-3D2B-4838-ADB7-2158843254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=日常手写记录表3，夜班二次结晶物种二乙腈化分含量的平均值，直接读取</t>
        </r>
      </text>
    </comment>
    <comment ref="T36" authorId="0" shapeId="0" xr:uid="{F319332D-6F3C-4D26-BED7-F5A89FA4C44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=日常手写记录表3，夜班二次结晶物中水分含量的平均值，直接读取</t>
        </r>
      </text>
    </comment>
    <comment ref="U36" authorId="0" shapeId="0" xr:uid="{141D59AD-F837-46C0-9DAC-AFE145A9A0F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=日常手写记录表3，夜班二次结晶物中二乙腈+水含量的平均值，直接读取</t>
        </r>
      </text>
    </comment>
    <comment ref="V36" authorId="0" shapeId="0" xr:uid="{6ABA38CE-05C7-4DD5-A2DB-DD51AF37C76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36" authorId="0" shapeId="0" xr:uid="{AD3834E4-C8C8-4CCC-A1B4-5CE7803C465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36" authorId="0" shapeId="0" xr:uid="{B53943A9-6602-4321-8B38-4FF65933BF0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=PT-07145,班记录取平均值</t>
        </r>
      </text>
    </comment>
    <comment ref="Y36" authorId="0" shapeId="0" xr:uid="{479CBA47-7605-47E6-BEA0-A093578EA1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=LT-07171，班记录取平均值</t>
        </r>
      </text>
    </comment>
    <comment ref="Z36" authorId="0" shapeId="0" xr:uid="{D0F1337F-588F-4E0F-8DEA-1198A16DF8D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36" authorId="0" shapeId="0" xr:uid="{E4491852-53D3-4249-99C9-346F83ADF93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=FT-07111,班累计值/当班时间</t>
        </r>
      </text>
    </comment>
    <comment ref="AB36" authorId="0" shapeId="0" xr:uid="{03908C0E-E605-4484-9B56-9E672421B1C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</t>
        </r>
      </text>
    </comment>
    <comment ref="AC36" authorId="0" shapeId="0" xr:uid="{ED5092A8-3566-4632-823C-4B15F758654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=FT-07122,班累计值/当班时间</t>
        </r>
      </text>
    </comment>
    <comment ref="AD36" authorId="0" shapeId="0" xr:uid="{843A66CD-3EB3-4002-9871-874C5B85650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=FT-07137，班每次出料记录比重取平均值，注意单位转化成g/L</t>
        </r>
      </text>
    </comment>
    <comment ref="AE36" authorId="0" shapeId="0" xr:uid="{DD1F4388-B8A3-4935-A3AB-890EA28CD41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=班FT-07111进料总量/班FT-07122出料总量，取小数点后2位</t>
        </r>
      </text>
    </comment>
    <comment ref="AF36" authorId="0" shapeId="0" xr:uid="{8381BF42-8D2E-4625-908C-899EB828CE2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36" authorId="0" shapeId="0" xr:uid="{4836E57E-86D1-4E01-9F8D-0AF6CB3CA1D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36" authorId="0" shapeId="0" xr:uid="{EC621A39-B502-4108-99FA-B45082F5878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36" authorId="0" shapeId="0" xr:uid="{CF1BEB01-ABED-4F8F-96CD-5E7797CA9B8B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工艺设计的理论值，固定不变，人工填写</t>
        </r>
      </text>
    </comment>
    <comment ref="AJ36" authorId="0" shapeId="0" xr:uid="{5D9DE22A-B266-480C-B982-65ADCE257916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与设计的理论值比，低则下箭头，高则上箭头，相等则横线</t>
        </r>
      </text>
    </comment>
    <comment ref="M40" authorId="0" shapeId="0" xr:uid="{F87DF26E-7A29-49DA-A524-2A6BC9A870D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40" authorId="0" shapeId="0" xr:uid="{0C62DEF3-8644-4795-8253-F869027A49B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40" authorId="0" shapeId="0" xr:uid="{C78B822F-6637-42FC-A96A-AF7E6FFB637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40" authorId="0" shapeId="0" xr:uid="{F95BEE64-F602-41A1-AF7F-EE8B8EE0E6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40" authorId="0" shapeId="0" xr:uid="{0190DFD9-33CD-427D-A719-F7AEEC79841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41" authorId="0" shapeId="0" xr:uid="{27FA4C31-AD3D-47BE-B8F2-C3BCF7A3F53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41" authorId="0" shapeId="0" xr:uid="{233846EF-B491-4D5C-9D78-F670F8414AF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41" authorId="0" shapeId="0" xr:uid="{BB0F97C2-C3FE-46E3-A447-2E802650BDD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41" authorId="0" shapeId="0" xr:uid="{5A2F1FDC-2B44-481D-B971-013BB551FA1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41" authorId="0" shapeId="0" xr:uid="{3D280CD2-93C7-48E3-ADCA-ADD7D7311D1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41" authorId="0" shapeId="0" xr:uid="{0A391243-F650-48F0-A547-0784EB541F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41" authorId="0" shapeId="0" xr:uid="{75AA3EBB-C029-48D9-8004-852D9302666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41" authorId="0" shapeId="0" xr:uid="{24773EEE-A77A-4312-96DD-7D47B3E24C2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41" authorId="0" shapeId="0" xr:uid="{A174F463-2E45-453B-BCE3-112A9766F6B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5" authorId="0" shapeId="0" xr:uid="{97879361-82A0-4DD1-ACA4-44763DB6975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 shapeId="0" xr:uid="{71DDD34E-929F-4E97-9FC0-9EE115AE4E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 shapeId="0" xr:uid="{5B8025B3-065C-4B70-BFF1-826929E98D2D}">
      <text>
        <r>
          <rPr>
            <b/>
            <sz val="8"/>
            <color indexed="81"/>
            <rFont val="宋体"/>
            <family val="3"/>
            <charset val="134"/>
          </rPr>
          <t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 shapeId="0" xr:uid="{543DC82C-D455-4849-A674-EA546BA1CD2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 shapeId="0" xr:uid="{42388B69-7FAB-45EF-9E77-938FA901B0E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 shapeId="0" xr:uid="{A6C01AB3-FE1C-4C67-BB38-4C9E5556D55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 shapeId="0" xr:uid="{43F82122-CFD9-4635-B5EA-7B535AA5AF8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 shapeId="0" xr:uid="{33A0FCCE-9226-4AA5-B1DC-4A3515EE4C0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 shapeId="0" xr:uid="{043CB83C-1432-471B-BDF5-2DD1A767FB1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 shapeId="0" xr:uid="{4C005045-724F-4B05-9326-05E5296C89D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<sst xmlns="http://schemas.openxmlformats.org/spreadsheetml/2006/main" count="1506" uniqueCount="464">
  <si>
    <t>LT-04441
(%)</t>
    <phoneticPr fontId="1" type="noConversion"/>
  </si>
  <si>
    <t>压力</t>
    <phoneticPr fontId="1" type="noConversion"/>
  </si>
  <si>
    <t>瞬时流量</t>
    <phoneticPr fontId="1" type="noConversion"/>
  </si>
  <si>
    <t>累计量</t>
    <phoneticPr fontId="1" type="noConversion"/>
  </si>
  <si>
    <t>/</t>
    <phoneticPr fontId="1" type="noConversion"/>
  </si>
  <si>
    <t>8:00</t>
    <phoneticPr fontId="1" type="noConversion"/>
  </si>
  <si>
    <t>气化温度</t>
    <phoneticPr fontId="1" type="noConversion"/>
  </si>
  <si>
    <t>气氨流量
FT-05141</t>
    <phoneticPr fontId="1" type="noConversion"/>
  </si>
  <si>
    <t>液氨气化</t>
    <phoneticPr fontId="1" type="noConversion"/>
  </si>
  <si>
    <t>预热后
温度</t>
    <phoneticPr fontId="1" type="noConversion"/>
  </si>
  <si>
    <t>羟基乙腈</t>
    <phoneticPr fontId="1" type="noConversion"/>
  </si>
  <si>
    <t>反应前</t>
    <phoneticPr fontId="1" type="noConversion"/>
  </si>
  <si>
    <t>温度</t>
    <phoneticPr fontId="1" type="noConversion"/>
  </si>
  <si>
    <t>反应中</t>
    <phoneticPr fontId="1" type="noConversion"/>
  </si>
  <si>
    <t>反应后</t>
    <phoneticPr fontId="1" type="noConversion"/>
  </si>
  <si>
    <t>液位</t>
    <phoneticPr fontId="1" type="noConversion"/>
  </si>
  <si>
    <t>闪发器</t>
    <phoneticPr fontId="1" type="noConversion"/>
  </si>
  <si>
    <t>冷凝液罐</t>
    <phoneticPr fontId="1" type="noConversion"/>
  </si>
  <si>
    <t>稀硫酸中和</t>
    <phoneticPr fontId="1" type="noConversion"/>
  </si>
  <si>
    <t>白班</t>
    <phoneticPr fontId="1" type="noConversion"/>
  </si>
  <si>
    <t>特殊
情况
说明</t>
    <phoneticPr fontId="1" type="noConversion"/>
  </si>
  <si>
    <t>AT-06111</t>
    <phoneticPr fontId="1" type="noConversion"/>
  </si>
  <si>
    <t>TT-06125</t>
    <phoneticPr fontId="1" type="noConversion"/>
  </si>
  <si>
    <t>TT-06126</t>
    <phoneticPr fontId="1" type="noConversion"/>
  </si>
  <si>
    <t>一次结晶分离</t>
    <phoneticPr fontId="1" type="noConversion"/>
  </si>
  <si>
    <t>TT-07152</t>
    <phoneticPr fontId="1" type="noConversion"/>
  </si>
  <si>
    <t>气相温度</t>
    <phoneticPr fontId="1" type="noConversion"/>
  </si>
  <si>
    <t>液相温度</t>
    <phoneticPr fontId="1" type="noConversion"/>
  </si>
  <si>
    <t>TT-07151</t>
    <phoneticPr fontId="1" type="noConversion"/>
  </si>
  <si>
    <t>TT-07126</t>
    <phoneticPr fontId="1" type="noConversion"/>
  </si>
  <si>
    <t>循环频率</t>
    <phoneticPr fontId="1" type="noConversion"/>
  </si>
  <si>
    <t>SIC-07P01</t>
    <phoneticPr fontId="1" type="noConversion"/>
  </si>
  <si>
    <t>一次母液进料</t>
    <phoneticPr fontId="1" type="noConversion"/>
  </si>
  <si>
    <t>脱色液进料</t>
    <phoneticPr fontId="1" type="noConversion"/>
  </si>
  <si>
    <t>温度
TT-09171</t>
    <phoneticPr fontId="1" type="noConversion"/>
  </si>
  <si>
    <t>真空水箱
液位</t>
    <phoneticPr fontId="1" type="noConversion"/>
  </si>
  <si>
    <t>真空泵
水温</t>
    <phoneticPr fontId="1" type="noConversion"/>
  </si>
  <si>
    <t>FT-07137</t>
    <phoneticPr fontId="1" type="noConversion"/>
  </si>
  <si>
    <t>低蒸结晶器</t>
    <phoneticPr fontId="1" type="noConversion"/>
  </si>
  <si>
    <t>LT-08181</t>
    <phoneticPr fontId="1" type="noConversion"/>
  </si>
  <si>
    <t>TT-08171</t>
    <phoneticPr fontId="1" type="noConversion"/>
  </si>
  <si>
    <t>SIC-08P01</t>
    <phoneticPr fontId="1" type="noConversion"/>
  </si>
  <si>
    <t>FT-08122</t>
    <phoneticPr fontId="1" type="noConversion"/>
  </si>
  <si>
    <t>FT-08132</t>
    <phoneticPr fontId="1" type="noConversion"/>
  </si>
  <si>
    <t>TT-06135</t>
    <phoneticPr fontId="1" type="noConversion"/>
  </si>
  <si>
    <t>TT-06136</t>
    <phoneticPr fontId="1" type="noConversion"/>
  </si>
  <si>
    <t>废液槽</t>
    <phoneticPr fontId="1" type="noConversion"/>
  </si>
  <si>
    <t>一次清洗水箱</t>
    <phoneticPr fontId="1" type="noConversion"/>
  </si>
  <si>
    <t>二次清洗水箱</t>
    <phoneticPr fontId="1" type="noConversion"/>
  </si>
  <si>
    <t>2025-11-12</t>
    <phoneticPr fontId="1" type="noConversion"/>
  </si>
  <si>
    <t>20:00</t>
    <phoneticPr fontId="1" type="noConversion"/>
  </si>
  <si>
    <t>氨+汽
混合温度</t>
    <phoneticPr fontId="1" type="noConversion"/>
  </si>
  <si>
    <t>配料罐
液位</t>
    <phoneticPr fontId="1" type="noConversion"/>
  </si>
  <si>
    <t>羟基乙腈
温度</t>
    <phoneticPr fontId="1" type="noConversion"/>
  </si>
  <si>
    <r>
      <t>TT-04751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</si>
  <si>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AT-04112
(g/L)</t>
    <phoneticPr fontId="1" type="noConversion"/>
  </si>
  <si>
    <t>原料
浓度</t>
    <phoneticPr fontId="1" type="noConversion"/>
  </si>
  <si>
    <t>原料
累计</t>
    <phoneticPr fontId="1" type="noConversion"/>
  </si>
  <si>
    <t>FQ-04111
(m3)</t>
    <phoneticPr fontId="1" type="noConversion"/>
  </si>
  <si>
    <t>脱盐水
累计</t>
    <phoneticPr fontId="1" type="noConversion"/>
  </si>
  <si>
    <t>FQ-04113
(m3)</t>
    <phoneticPr fontId="1" type="noConversion"/>
  </si>
  <si>
    <t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</si>
  <si>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>FT-05112</t>
    </r>
    <phoneticPr fontId="1" type="noConversion"/>
  </si>
  <si>
    <r>
      <rPr>
        <sz val="6"/>
        <rFont val="宋体"/>
        <family val="1"/>
        <charset val="134"/>
      </rPr>
      <t>瞬时流量（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</si>
  <si>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kg</t>
    </r>
    <r>
      <rPr>
        <sz val="6"/>
        <rFont val="宋体"/>
        <family val="1"/>
        <charset val="134"/>
      </rPr>
      <t>）</t>
    </r>
    <phoneticPr fontId="1" type="noConversion"/>
  </si>
  <si>
    <r>
      <t>TT-05151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</si>
  <si>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气化压力</t>
    <phoneticPr fontId="1" type="noConversion"/>
  </si>
  <si>
    <t>PT-05115
(Mpa)</t>
    <phoneticPr fontId="1" type="noConversion"/>
  </si>
  <si>
    <r>
      <t>TT-05121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</si>
  <si>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TT-05131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</si>
  <si>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</si>
  <si>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配料蒸汽流量
（</t>
    </r>
    <r>
      <rPr>
        <sz val="6"/>
        <rFont val="Times New Roman"/>
        <family val="1"/>
      </rPr>
      <t>FT-05142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</si>
  <si>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</si>
  <si>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</si>
  <si>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r>
      <t>TT-05143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</si>
  <si>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羟基乙腈
进料压力</t>
    <phoneticPr fontId="1" type="noConversion"/>
  </si>
  <si>
    <t>PT-05212
(Mpa)</t>
    <phoneticPr fontId="1" type="noConversion"/>
  </si>
  <si>
    <t>（氨+汽）混合</t>
    <phoneticPr fontId="1" type="noConversion"/>
  </si>
  <si>
    <r>
      <rPr>
        <sz val="6"/>
        <rFont val="宋体"/>
        <family val="1"/>
        <charset val="134"/>
      </rPr>
      <t>羟基乙腈进料流量
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</si>
  <si>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t>TT-05214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</si>
  <si>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摩尔比
（气氨/羟基乙腈）</t>
    <phoneticPr fontId="1" type="noConversion"/>
  </si>
  <si>
    <t>AT-05140</t>
    <phoneticPr fontId="1" type="noConversion"/>
  </si>
  <si>
    <t>/</t>
  </si>
  <si>
    <t>PT-05311
(Mpa)</t>
    <phoneticPr fontId="1" type="noConversion"/>
  </si>
  <si>
    <r>
      <t>TT-05312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</si>
  <si>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TT-05300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</si>
  <si>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PT-05317
(Mpa)</t>
    <phoneticPr fontId="1" type="noConversion"/>
  </si>
  <si>
    <r>
      <t>TT-05316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</si>
  <si>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反应液检测数据</t>
    <phoneticPr fontId="1" type="noConversion"/>
  </si>
  <si>
    <t>二乙腈含量</t>
    <phoneticPr fontId="1" type="noConversion"/>
  </si>
  <si>
    <t>化分
（%）</t>
    <phoneticPr fontId="1" type="noConversion"/>
  </si>
  <si>
    <t>色谱
（%）</t>
    <phoneticPr fontId="1" type="noConversion"/>
  </si>
  <si>
    <t>羟基乙腈残余</t>
    <phoneticPr fontId="1" type="noConversion"/>
  </si>
  <si>
    <t>（%）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</si>
  <si>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g/L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</si>
  <si>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</si>
  <si>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t>TT-05324
(℃)</t>
    <phoneticPr fontId="1" type="noConversion"/>
  </si>
  <si>
    <t>PT-05325
(MPA)</t>
    <phoneticPr fontId="1" type="noConversion"/>
  </si>
  <si>
    <t>瞬时流量
(L/h)</t>
    <phoneticPr fontId="1" type="noConversion"/>
  </si>
  <si>
    <t>LT-05344
(%)</t>
    <phoneticPr fontId="1" type="noConversion"/>
  </si>
  <si>
    <t>采出流量
FT-05343</t>
    <phoneticPr fontId="1" type="noConversion"/>
  </si>
  <si>
    <t>瞬时流量
（L/h）</t>
    <phoneticPr fontId="1" type="noConversion"/>
  </si>
  <si>
    <t>累积量
(m3)</t>
    <phoneticPr fontId="1" type="noConversion"/>
  </si>
  <si>
    <t>COD</t>
    <phoneticPr fontId="1" type="noConversion"/>
  </si>
  <si>
    <t>(mg/L)</t>
    <phoneticPr fontId="1" type="noConversion"/>
  </si>
  <si>
    <t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</si>
  <si>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</si>
  <si>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>甲醛</t>
    </r>
    <phoneticPr fontId="1" type="noConversion"/>
  </si>
  <si>
    <t>闪发器冷凝液检测数据记录</t>
    <phoneticPr fontId="1" type="noConversion"/>
  </si>
  <si>
    <t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</si>
  <si>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>FT-05411</t>
    </r>
    <phoneticPr fontId="1" type="noConversion"/>
  </si>
  <si>
    <t>硫酸桶
液位</t>
  </si>
  <si>
    <t>LT-05417
（%）</t>
  </si>
  <si>
    <t>真空度</t>
  </si>
  <si>
    <t>PT-05332
(Mpa)</t>
  </si>
  <si>
    <t>pH</t>
  </si>
  <si>
    <t>预冷器
液位</t>
    <phoneticPr fontId="1" type="noConversion"/>
  </si>
  <si>
    <t>LT-06945
(%)</t>
    <phoneticPr fontId="1" type="noConversion"/>
  </si>
  <si>
    <t>预冷器
温度</t>
    <phoneticPr fontId="1" type="noConversion"/>
  </si>
  <si>
    <t>TT-06971
(℃)</t>
    <phoneticPr fontId="1" type="noConversion"/>
  </si>
  <si>
    <t>SIC-06P01
(HZ)</t>
    <phoneticPr fontId="1" type="noConversion"/>
  </si>
  <si>
    <t>SIC-06P02
(HZ)</t>
    <phoneticPr fontId="1" type="noConversion"/>
  </si>
  <si>
    <t>料液pH</t>
    <phoneticPr fontId="1" type="noConversion"/>
  </si>
  <si>
    <t>预冷器</t>
    <phoneticPr fontId="1" type="noConversion"/>
  </si>
  <si>
    <t>结晶器
温度</t>
    <phoneticPr fontId="1" type="noConversion"/>
  </si>
  <si>
    <t>TT-06171
(℃)</t>
    <phoneticPr fontId="1" type="noConversion"/>
  </si>
  <si>
    <t>结晶器
液位</t>
    <phoneticPr fontId="1" type="noConversion"/>
  </si>
  <si>
    <t>LT-06181
(%)</t>
    <phoneticPr fontId="1" type="noConversion"/>
  </si>
  <si>
    <t>FT-06122
(m3/h)</t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</si>
  <si>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</si>
  <si>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</si>
  <si>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</si>
  <si>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</si>
  <si>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</si>
  <si>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B</t>
    </r>
    <phoneticPr fontId="1" type="noConversion"/>
  </si>
  <si>
    <t>SIC-06P03
(HZ)</t>
    <phoneticPr fontId="1" type="noConversion"/>
  </si>
  <si>
    <t>FT-06132
(m3/h)</t>
    <phoneticPr fontId="1" type="noConversion"/>
  </si>
  <si>
    <r>
      <t>TT-06135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</si>
  <si>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t>TT-06136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</si>
  <si>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t>结晶液
密度</t>
    <phoneticPr fontId="1" type="noConversion"/>
  </si>
  <si>
    <t>AT-06149
(Kg/m3)</t>
    <phoneticPr fontId="1" type="noConversion"/>
  </si>
  <si>
    <t>冷却循环频率A</t>
    <phoneticPr fontId="1" type="noConversion"/>
  </si>
  <si>
    <t>冷却循环频率B</t>
    <phoneticPr fontId="1" type="noConversion"/>
  </si>
  <si>
    <t>冷却循环流量B</t>
    <phoneticPr fontId="1" type="noConversion"/>
  </si>
  <si>
    <t>冷却循环流量A</t>
    <phoneticPr fontId="1" type="noConversion"/>
  </si>
  <si>
    <t>物料循环
流量</t>
    <phoneticPr fontId="1" type="noConversion"/>
  </si>
  <si>
    <t>AT-06149
(m3/h)</t>
    <phoneticPr fontId="1" type="noConversion"/>
  </si>
  <si>
    <t>一次结晶器</t>
    <phoneticPr fontId="1" type="noConversion"/>
  </si>
  <si>
    <t>排料流量
FT-06149</t>
    <phoneticPr fontId="1" type="noConversion"/>
  </si>
  <si>
    <t>即时流量
（L/h）</t>
    <phoneticPr fontId="1" type="noConversion"/>
  </si>
  <si>
    <t>累计量
（m3）</t>
    <phoneticPr fontId="1" type="noConversion"/>
  </si>
  <si>
    <t>溢流槽
液位</t>
    <phoneticPr fontId="1" type="noConversion"/>
  </si>
  <si>
    <t>LT-06471
(%)</t>
    <phoneticPr fontId="1" type="noConversion"/>
  </si>
  <si>
    <t>母液槽
液位</t>
    <phoneticPr fontId="1" type="noConversion"/>
  </si>
  <si>
    <t>LT-06524
(%)</t>
    <phoneticPr fontId="1" type="noConversion"/>
  </si>
  <si>
    <t>一次分离
产量</t>
    <phoneticPr fontId="1" type="noConversion"/>
  </si>
  <si>
    <t>（Kg）</t>
    <phoneticPr fontId="1" type="noConversion"/>
  </si>
  <si>
    <t>瞬时
配比</t>
    <phoneticPr fontId="1" type="noConversion"/>
  </si>
  <si>
    <t>累计
配比</t>
    <phoneticPr fontId="1" type="noConversion"/>
  </si>
  <si>
    <t>热点
温度</t>
    <phoneticPr fontId="1" type="noConversion"/>
  </si>
  <si>
    <t>累计量
(m3)</t>
  </si>
  <si>
    <t>采出流量
FT-05323</t>
    <phoneticPr fontId="1" type="noConversion"/>
  </si>
  <si>
    <t>配后
浓度</t>
    <phoneticPr fontId="1" type="noConversion"/>
  </si>
  <si>
    <t>羟基乙腈配料</t>
    <phoneticPr fontId="1" type="noConversion"/>
  </si>
  <si>
    <t>一级     加热器
温度</t>
    <phoneticPr fontId="1" type="noConversion"/>
  </si>
  <si>
    <t>二级       加热器
温度</t>
    <phoneticPr fontId="1" type="noConversion"/>
  </si>
  <si>
    <t>甘氨腈</t>
    <phoneticPr fontId="1" type="noConversion"/>
  </si>
  <si>
    <t>三乙腈</t>
    <phoneticPr fontId="1" type="noConversion"/>
  </si>
  <si>
    <t>高效
分离器</t>
  </si>
  <si>
    <t>压力</t>
  </si>
  <si>
    <t>PT-05327
(Mpa)</t>
  </si>
  <si>
    <t>真空
系统</t>
    <phoneticPr fontId="1" type="noConversion"/>
  </si>
  <si>
    <t>硫铵
含量</t>
    <phoneticPr fontId="1" type="noConversion"/>
  </si>
  <si>
    <t>一次母液分析数据</t>
    <phoneticPr fontId="1" type="noConversion"/>
  </si>
  <si>
    <t>TT-06311
(℃)</t>
    <phoneticPr fontId="1" type="noConversion"/>
  </si>
  <si>
    <t>LT-06315
(%)</t>
    <phoneticPr fontId="1" type="noConversion"/>
  </si>
  <si>
    <t>TT-07143
(℃)</t>
    <phoneticPr fontId="1" type="noConversion"/>
  </si>
  <si>
    <t>LT-07144
(%)</t>
    <phoneticPr fontId="1" type="noConversion"/>
  </si>
  <si>
    <t>真空度
PT-07145</t>
    <phoneticPr fontId="1" type="noConversion"/>
  </si>
  <si>
    <t>PT-07145
(Mpa)</t>
    <phoneticPr fontId="1" type="noConversion"/>
  </si>
  <si>
    <t>低蒸真空系统</t>
    <phoneticPr fontId="1" type="noConversion"/>
  </si>
  <si>
    <t>时
间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</si>
  <si>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</si>
  <si>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</si>
  <si>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t>（℃）</t>
  </si>
  <si>
    <t>（℃）</t>
    <phoneticPr fontId="1" type="noConversion"/>
  </si>
  <si>
    <t>瞬时流量
FT-06611</t>
    <phoneticPr fontId="1" type="noConversion"/>
  </si>
  <si>
    <t>累计量
FQ-06611</t>
    <phoneticPr fontId="1" type="noConversion"/>
  </si>
  <si>
    <t>瞬时流量
FT-06524</t>
    <phoneticPr fontId="1" type="noConversion"/>
  </si>
  <si>
    <t>累计量
FQ-06524</t>
    <phoneticPr fontId="1" type="noConversion"/>
  </si>
  <si>
    <t>(HZ)</t>
    <phoneticPr fontId="1" type="noConversion"/>
  </si>
  <si>
    <t>加热温度</t>
    <phoneticPr fontId="1" type="noConversion"/>
  </si>
  <si>
    <t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</si>
  <si>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</si>
  <si>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>FQ-07126</t>
    </r>
    <phoneticPr fontId="1" type="noConversion"/>
  </si>
  <si>
    <t>(m3/h)</t>
    <phoneticPr fontId="1" type="noConversion"/>
  </si>
  <si>
    <t>(m3)</t>
    <phoneticPr fontId="1" type="noConversion"/>
  </si>
  <si>
    <t>浓缩液
密度</t>
    <phoneticPr fontId="1" type="noConversion"/>
  </si>
  <si>
    <t>(kg/m3)</t>
    <phoneticPr fontId="1" type="noConversion"/>
  </si>
  <si>
    <t>低蒸出料
FT-07122</t>
    <phoneticPr fontId="1" type="noConversion"/>
  </si>
  <si>
    <t>（m3/h）</t>
    <phoneticPr fontId="1" type="noConversion"/>
  </si>
  <si>
    <t>冷凝水采出
FT-07174-2</t>
    <phoneticPr fontId="1" type="noConversion"/>
  </si>
  <si>
    <t>冷凝液采出
FT-07174-1</t>
    <phoneticPr fontId="1" type="noConversion"/>
  </si>
  <si>
    <t>(%)</t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</si>
  <si>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</si>
  <si>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</si>
  <si>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A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</si>
  <si>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</si>
  <si>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</rPr>
      <t>B</t>
    </r>
    <phoneticPr fontId="1" type="noConversion"/>
  </si>
  <si>
    <t>SIC-08P03</t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</si>
  <si>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</si>
  <si>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B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</si>
  <si>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</rPr>
      <t>B</t>
    </r>
    <phoneticPr fontId="1" type="noConversion"/>
  </si>
  <si>
    <t>二次
分离</t>
    <phoneticPr fontId="1" type="noConversion"/>
  </si>
  <si>
    <t>累计
产量</t>
    <phoneticPr fontId="1" type="noConversion"/>
  </si>
  <si>
    <t>(kg)</t>
    <phoneticPr fontId="1" type="noConversion"/>
  </si>
  <si>
    <t>二次结晶器/分离</t>
    <phoneticPr fontId="1" type="noConversion"/>
  </si>
  <si>
    <t>液位
LT-08522</t>
    <phoneticPr fontId="1" type="noConversion"/>
  </si>
  <si>
    <t>排放流量
FT-08523</t>
    <phoneticPr fontId="1" type="noConversion"/>
  </si>
  <si>
    <t>排放累计
FQ-08523</t>
    <phoneticPr fontId="1" type="noConversion"/>
  </si>
  <si>
    <t>(℃)</t>
    <phoneticPr fontId="1" type="noConversion"/>
  </si>
  <si>
    <t>LT-08315</t>
    <phoneticPr fontId="1" type="noConversion"/>
  </si>
  <si>
    <t>TT-08311</t>
    <phoneticPr fontId="1" type="noConversion"/>
  </si>
  <si>
    <t>脱色数据记录</t>
    <phoneticPr fontId="1" type="noConversion"/>
  </si>
  <si>
    <t>脱色前
透光率</t>
    <phoneticPr fontId="1" type="noConversion"/>
  </si>
  <si>
    <t>脱色后
透光率</t>
    <phoneticPr fontId="1" type="noConversion"/>
  </si>
  <si>
    <t>甲班：熊茂盛</t>
    <phoneticPr fontId="1" type="noConversion"/>
  </si>
  <si>
    <t>二乙腈中试生产过程记录表</t>
    <phoneticPr fontId="1" type="noConversion"/>
  </si>
  <si>
    <t>循环
频率A</t>
    <phoneticPr fontId="1" type="noConversion"/>
  </si>
  <si>
    <t>循环
频率B</t>
    <phoneticPr fontId="1" type="noConversion"/>
  </si>
  <si>
    <t>二乙腈中试生产过程曲线</t>
    <phoneticPr fontId="1" type="noConversion"/>
  </si>
  <si>
    <r>
      <rPr>
        <sz val="6"/>
        <rFont val="宋体"/>
        <family val="1"/>
        <charset val="134"/>
      </rPr>
      <t>曲线02： 羟基乙腈浓度曲线（</t>
    </r>
    <r>
      <rPr>
        <sz val="6"/>
        <rFont val="Times New Roman"/>
        <family val="1"/>
      </rPr>
      <t>AT-04112 + AT-04212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</si>
  <si>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曲线01： 羟基乙腈配料罐温度曲线（</t>
    </r>
    <r>
      <rPr>
        <sz val="6"/>
        <rFont val="Times New Roman"/>
        <family val="1"/>
      </rPr>
      <t>TT-04751</t>
    </r>
    <r>
      <rPr>
        <sz val="6"/>
        <rFont val="宋体"/>
        <family val="1"/>
        <charset val="134"/>
      </rPr>
      <t>）</t>
    </r>
    <phoneticPr fontId="1" type="noConversion"/>
  </si>
  <si>
    <t>曲线03： 液氨汽化器液位曲线（LT-05113）</t>
    <phoneticPr fontId="1" type="noConversion"/>
  </si>
  <si>
    <r>
      <rPr>
        <sz val="6"/>
        <rFont val="宋体"/>
        <family val="1"/>
        <charset val="134"/>
      </rPr>
      <t>曲线04： 液氨汽化器温度曲线（</t>
    </r>
    <r>
      <rPr>
        <sz val="6"/>
        <rFont val="Times New Roman"/>
        <family val="1"/>
      </rPr>
      <t>TT-05151</t>
    </r>
    <r>
      <rPr>
        <sz val="6"/>
        <rFont val="宋体"/>
        <family val="1"/>
        <charset val="134"/>
      </rPr>
      <t>）</t>
    </r>
    <phoneticPr fontId="1" type="noConversion"/>
  </si>
  <si>
    <t>曲线05： 液氨汽化器压力曲线（PT-05115）</t>
    <phoneticPr fontId="1" type="noConversion"/>
  </si>
  <si>
    <r>
      <rPr>
        <sz val="6"/>
        <rFont val="宋体"/>
        <family val="1"/>
        <charset val="134"/>
      </rPr>
      <t>曲线06： 气氨一级加热器温度曲线（</t>
    </r>
    <r>
      <rPr>
        <sz val="6"/>
        <rFont val="Times New Roman"/>
        <family val="1"/>
      </rPr>
      <t>TT-05121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</si>
  <si>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3"/>
        <charset val="134"/>
      </rPr>
      <t>曲线07： 气氨流量曲线（</t>
    </r>
    <r>
      <rPr>
        <sz val="6"/>
        <rFont val="Times New Roman"/>
        <family val="1"/>
      </rPr>
      <t>FT-05141</t>
    </r>
    <r>
      <rPr>
        <sz val="6"/>
        <rFont val="宋体"/>
        <family val="3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</si>
  <si>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曲线08： 气氨二级加热器温度曲线（</t>
    </r>
    <r>
      <rPr>
        <sz val="6"/>
        <rFont val="Times New Roman"/>
        <family val="1"/>
      </rPr>
      <t>TT-05131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</si>
  <si>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曲线09： 气氨配汽后温度曲线（</t>
    </r>
    <r>
      <rPr>
        <sz val="6"/>
        <rFont val="Times New Roman"/>
        <family val="1"/>
      </rPr>
      <t>TT-05143</t>
    </r>
    <r>
      <rPr>
        <sz val="6"/>
        <rFont val="宋体"/>
        <family val="1"/>
        <charset val="134"/>
      </rPr>
      <t>）</t>
    </r>
    <phoneticPr fontId="1" type="noConversion"/>
  </si>
  <si>
    <t>曲线10： 气氨配汽蒸汽流量曲线（FT-05142）</t>
    <phoneticPr fontId="1" type="noConversion"/>
  </si>
  <si>
    <r>
      <rPr>
        <sz val="6"/>
        <rFont val="宋体"/>
        <family val="1"/>
        <charset val="134"/>
      </rPr>
      <t>曲线11： 羟基乙腈温度曲线（</t>
    </r>
    <r>
      <rPr>
        <sz val="6"/>
        <rFont val="Times New Roman"/>
        <family val="1"/>
      </rPr>
      <t>FT-05214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</si>
  <si>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曲线12： 羟基乙腈流量曲线（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</si>
  <si>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曲线13： 气氨/羟基乙腈摩尔比曲线（</t>
    </r>
    <r>
      <rPr>
        <sz val="6"/>
        <rFont val="Times New Roman"/>
        <family val="1"/>
      </rPr>
      <t>AT-05140</t>
    </r>
    <r>
      <rPr>
        <sz val="6"/>
        <rFont val="宋体"/>
        <family val="1"/>
        <charset val="134"/>
      </rPr>
      <t>）</t>
    </r>
    <phoneticPr fontId="1" type="noConversion"/>
  </si>
  <si>
    <t>曲线14： 反应前压力曲线（PT-05311）</t>
    <phoneticPr fontId="1" type="noConversion"/>
  </si>
  <si>
    <t>曲线15：反应前温度曲线（TT-05312）</t>
    <phoneticPr fontId="1" type="noConversion"/>
  </si>
  <si>
    <r>
      <rPr>
        <sz val="6"/>
        <rFont val="宋体"/>
        <family val="1"/>
        <charset val="134"/>
      </rPr>
      <t>曲线16： 反应温度曲线（</t>
    </r>
    <r>
      <rPr>
        <sz val="6"/>
        <rFont val="Times New Roman"/>
        <family val="1"/>
      </rPr>
      <t>TT-05300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</si>
  <si>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曲线17： 反应后压力曲线（</t>
    </r>
    <r>
      <rPr>
        <sz val="6"/>
        <rFont val="Times New Roman"/>
        <family val="1"/>
      </rPr>
      <t>PT-05317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</si>
  <si>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曲线18： 稀硫酸流量曲线（</t>
    </r>
    <r>
      <rPr>
        <sz val="6"/>
        <rFont val="Times New Roman"/>
        <family val="1"/>
      </rPr>
      <t>FT-05411</t>
    </r>
    <r>
      <rPr>
        <sz val="6"/>
        <rFont val="宋体"/>
        <family val="1"/>
        <charset val="134"/>
      </rPr>
      <t>）</t>
    </r>
    <phoneticPr fontId="1" type="noConversion"/>
  </si>
  <si>
    <t>曲线19： 闪发器pH曲线（AT-05411）</t>
    <phoneticPr fontId="1" type="noConversion"/>
  </si>
  <si>
    <t>曲线20： 闪发器温度曲线（TT-05352）</t>
    <phoneticPr fontId="1" type="noConversion"/>
  </si>
  <si>
    <r>
      <rPr>
        <sz val="6"/>
        <rFont val="宋体"/>
        <family val="1"/>
        <charset val="134"/>
      </rPr>
      <t>曲线21： 闪发器真空度曲线（</t>
    </r>
    <r>
      <rPr>
        <sz val="6"/>
        <rFont val="Times New Roman"/>
        <family val="1"/>
      </rPr>
      <t>PT-05325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</si>
  <si>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曲线22： 预冷器</t>
    </r>
    <r>
      <rPr>
        <sz val="6"/>
        <rFont val="Times New Roman"/>
        <family val="1"/>
      </rPr>
      <t>pH</t>
    </r>
    <r>
      <rPr>
        <sz val="6"/>
        <rFont val="宋体"/>
        <family val="1"/>
        <charset val="134"/>
      </rPr>
      <t>曲线（</t>
    </r>
    <r>
      <rPr>
        <sz val="6"/>
        <rFont val="Times New Roman"/>
        <family val="1"/>
      </rPr>
      <t>AT-06111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</si>
  <si>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曲线23： 预冷器温度曲线（</t>
    </r>
    <r>
      <rPr>
        <sz val="6"/>
        <rFont val="Times New Roman"/>
        <family val="1"/>
      </rPr>
      <t>TT-06971</t>
    </r>
    <r>
      <rPr>
        <sz val="6"/>
        <rFont val="宋体"/>
        <family val="1"/>
        <charset val="134"/>
      </rPr>
      <t>）</t>
    </r>
    <phoneticPr fontId="1" type="noConversion"/>
  </si>
  <si>
    <t>曲线24： 一次结晶器温度曲线（TT-06171）</t>
    <phoneticPr fontId="1" type="noConversion"/>
  </si>
  <si>
    <t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</si>
  <si>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>曲线26： 一次结晶外冷器温差曲线（</t>
    </r>
    <r>
      <rPr>
        <sz val="6"/>
        <rFont val="Times New Roman"/>
        <family val="1"/>
      </rPr>
      <t>TT-06171-06126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TT-06171-TT-06136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</si>
  <si>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曲线27： 一次结晶外循环流量曲线（</t>
    </r>
    <r>
      <rPr>
        <sz val="6"/>
        <rFont val="Times New Roman"/>
        <family val="1"/>
      </rPr>
      <t>FT-06122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FT-06132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</si>
  <si>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曲线28： 一次结晶固液比曲线（密度：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</si>
  <si>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t>曲线29： 一次清洗水箱液位曲线（LT-06315）</t>
    <phoneticPr fontId="1" type="noConversion"/>
  </si>
  <si>
    <t>曲线30： 一次清洗水箱温度曲线（TT-06311）</t>
    <phoneticPr fontId="1" type="noConversion"/>
  </si>
  <si>
    <r>
      <rPr>
        <sz val="6"/>
        <rFont val="宋体"/>
        <family val="1"/>
        <charset val="134"/>
      </rPr>
      <t>曲线31： 低蒸结晶器液位曲线（</t>
    </r>
    <r>
      <rPr>
        <sz val="6"/>
        <rFont val="Times New Roman"/>
        <family val="1"/>
      </rPr>
      <t>LT-07171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</si>
  <si>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曲线32： 低蒸结晶器温度曲线（</t>
    </r>
    <r>
      <rPr>
        <sz val="6"/>
        <rFont val="Times New Roman"/>
        <family val="1"/>
      </rPr>
      <t>TT-07152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</si>
  <si>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曲线33： 低蒸结晶器真空度曲线（</t>
    </r>
    <r>
      <rPr>
        <sz val="6"/>
        <rFont val="Times New Roman"/>
        <family val="1"/>
      </rPr>
      <t>PT-07145</t>
    </r>
    <r>
      <rPr>
        <sz val="6"/>
        <rFont val="宋体"/>
        <family val="1"/>
        <charset val="134"/>
      </rPr>
      <t>）</t>
    </r>
    <phoneticPr fontId="1" type="noConversion"/>
  </si>
  <si>
    <t>曲线34： 低蒸结晶器浓度曲线（密度：AT-07137）</t>
    <phoneticPr fontId="1" type="noConversion"/>
  </si>
  <si>
    <t>曲线35： 二次结晶器温度曲线（TT-08171）</t>
    <phoneticPr fontId="1" type="noConversion"/>
  </si>
  <si>
    <r>
      <rPr>
        <sz val="6"/>
        <rFont val="宋体"/>
        <family val="1"/>
        <charset val="134"/>
      </rPr>
      <t>曲线36： 二次结晶器间壁温差曲线（</t>
    </r>
    <r>
      <rPr>
        <sz val="6"/>
        <rFont val="Times New Roman"/>
        <family val="1"/>
      </rPr>
      <t>TT-08171-TT-08125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</si>
  <si>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曲线37： 二次结晶外冷器温差曲线（</t>
    </r>
    <r>
      <rPr>
        <sz val="6"/>
        <rFont val="Times New Roman"/>
        <family val="1"/>
      </rPr>
      <t>TT-08171-TT-08126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</si>
  <si>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曲线38： 二次结晶器外循环流量曲线（</t>
    </r>
    <r>
      <rPr>
        <sz val="6"/>
        <rFont val="Times New Roman"/>
        <family val="1"/>
      </rPr>
      <t>FT-08122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FT-08132</t>
    </r>
    <r>
      <rPr>
        <sz val="6"/>
        <rFont val="宋体"/>
        <family val="1"/>
        <charset val="134"/>
      </rPr>
      <t>）</t>
    </r>
    <phoneticPr fontId="1" type="noConversion"/>
  </si>
  <si>
    <t>曲线39： 二次清洗水箱液位曲线（LT-08315）</t>
    <phoneticPr fontId="1" type="noConversion"/>
  </si>
  <si>
    <t>曲线40： 二次清洗水箱温度曲线（TT-08311）</t>
    <phoneticPr fontId="1" type="noConversion"/>
  </si>
  <si>
    <t>22:00</t>
    <phoneticPr fontId="1" type="noConversion"/>
  </si>
  <si>
    <t>0:00</t>
    <phoneticPr fontId="1" type="noConversion"/>
  </si>
  <si>
    <t>2:00</t>
    <phoneticPr fontId="1" type="noConversion"/>
  </si>
  <si>
    <t>夜班</t>
    <phoneticPr fontId="1" type="noConversion"/>
  </si>
  <si>
    <t>乙班：曹平</t>
    <phoneticPr fontId="1" type="noConversion"/>
  </si>
  <si>
    <t>低蒸进料</t>
    <phoneticPr fontId="1" type="noConversion"/>
  </si>
  <si>
    <t>瞬时流量
FT-07111</t>
    <phoneticPr fontId="1" type="noConversion"/>
  </si>
  <si>
    <t>累计量
FQ-07111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</si>
  <si>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</si>
  <si>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t>kg/t</t>
    <phoneticPr fontId="1" type="noConversion"/>
  </si>
  <si>
    <t>kg</t>
    <phoneticPr fontId="1" type="noConversion"/>
  </si>
  <si>
    <t>t</t>
    <phoneticPr fontId="1" type="noConversion"/>
  </si>
  <si>
    <t>g/L</t>
    <phoneticPr fontId="1" type="noConversion"/>
  </si>
  <si>
    <t>%</t>
    <phoneticPr fontId="1" type="noConversion"/>
  </si>
  <si>
    <t>脱色前后
差值</t>
    <phoneticPr fontId="1" type="noConversion"/>
  </si>
  <si>
    <t>脱色后
含量</t>
    <phoneticPr fontId="1" type="noConversion"/>
  </si>
  <si>
    <t>脱色前
含量</t>
    <phoneticPr fontId="1" type="noConversion"/>
  </si>
  <si>
    <t>活性炭
型号</t>
    <phoneticPr fontId="1" type="noConversion"/>
  </si>
  <si>
    <t>活性炭
单耗</t>
    <phoneticPr fontId="1" type="noConversion"/>
  </si>
  <si>
    <t>活性炭
消耗</t>
    <phoneticPr fontId="1" type="noConversion"/>
  </si>
  <si>
    <t>脱色液
产量</t>
    <phoneticPr fontId="1" type="noConversion"/>
  </si>
  <si>
    <t>脱色前后硫铵含量变化</t>
    <phoneticPr fontId="1" type="noConversion"/>
  </si>
  <si>
    <t>脱色前后羟基乙腈变化</t>
    <phoneticPr fontId="1" type="noConversion"/>
  </si>
  <si>
    <t>脱色前后二乙腈变化</t>
    <phoneticPr fontId="1" type="noConversion"/>
  </si>
  <si>
    <t>脱色系统</t>
    <phoneticPr fontId="1" type="noConversion"/>
  </si>
  <si>
    <t>0.8</t>
    <phoneticPr fontId="1" type="noConversion"/>
  </si>
  <si>
    <t>9.65</t>
    <phoneticPr fontId="1" type="noConversion"/>
  </si>
  <si>
    <t>87.8</t>
    <phoneticPr fontId="1" type="noConversion"/>
  </si>
  <si>
    <t>17</t>
    <phoneticPr fontId="1" type="noConversion"/>
  </si>
  <si>
    <t>t/t</t>
    <phoneticPr fontId="1" type="noConversion"/>
  </si>
  <si>
    <t>t/h</t>
    <phoneticPr fontId="1" type="noConversion"/>
  </si>
  <si>
    <t>m3/h</t>
    <phoneticPr fontId="1" type="noConversion"/>
  </si>
  <si>
    <t>m3</t>
    <phoneticPr fontId="1" type="noConversion"/>
  </si>
  <si>
    <t>Mpa</t>
    <phoneticPr fontId="1" type="noConversion"/>
  </si>
  <si>
    <t>℃</t>
    <phoneticPr fontId="1" type="noConversion"/>
  </si>
  <si>
    <t>mg/L</t>
    <phoneticPr fontId="1" type="noConversion"/>
  </si>
  <si>
    <t>蒸汽单耗
评价</t>
    <phoneticPr fontId="1" type="noConversion"/>
  </si>
  <si>
    <t>蒸汽单耗
理论值</t>
    <phoneticPr fontId="1" type="noConversion"/>
  </si>
  <si>
    <t>蒸汽
单耗</t>
    <phoneticPr fontId="1" type="noConversion"/>
  </si>
  <si>
    <t>蒸汽
平均流量</t>
    <phoneticPr fontId="1" type="noConversion"/>
  </si>
  <si>
    <t>蒸汽
消耗</t>
    <phoneticPr fontId="1" type="noConversion"/>
  </si>
  <si>
    <t>浓缩比</t>
    <phoneticPr fontId="1" type="noConversion"/>
  </si>
  <si>
    <t>出料
比重</t>
    <phoneticPr fontId="1" type="noConversion"/>
  </si>
  <si>
    <t>出料
平均流量</t>
    <phoneticPr fontId="1" type="noConversion"/>
  </si>
  <si>
    <t>出料
总量</t>
    <phoneticPr fontId="1" type="noConversion"/>
  </si>
  <si>
    <t>进料
平均流量</t>
    <phoneticPr fontId="1" type="noConversion"/>
  </si>
  <si>
    <t>进料
总量</t>
    <phoneticPr fontId="1" type="noConversion"/>
  </si>
  <si>
    <t>物料
液位</t>
    <phoneticPr fontId="1" type="noConversion"/>
  </si>
  <si>
    <t>低蒸
压力</t>
    <phoneticPr fontId="1" type="noConversion"/>
  </si>
  <si>
    <t>物料
温度</t>
    <phoneticPr fontId="1" type="noConversion"/>
  </si>
  <si>
    <t>加热
温度</t>
    <phoneticPr fontId="1" type="noConversion"/>
  </si>
  <si>
    <t>综合
含量</t>
    <phoneticPr fontId="1" type="noConversion"/>
  </si>
  <si>
    <t>水分</t>
    <phoneticPr fontId="1" type="noConversion"/>
  </si>
  <si>
    <t>二乙腈
折干含量</t>
    <phoneticPr fontId="1" type="noConversion"/>
  </si>
  <si>
    <t>pH</t>
    <phoneticPr fontId="1" type="noConversion"/>
  </si>
  <si>
    <t>降温
温差</t>
    <phoneticPr fontId="1" type="noConversion"/>
  </si>
  <si>
    <t>冷却水
温度</t>
    <phoneticPr fontId="1" type="noConversion"/>
  </si>
  <si>
    <t>甲醛</t>
    <phoneticPr fontId="1" type="noConversion"/>
  </si>
  <si>
    <t>低蒸数据分析</t>
    <phoneticPr fontId="1" type="noConversion"/>
  </si>
  <si>
    <t>低蒸过程数据</t>
    <phoneticPr fontId="1" type="noConversion"/>
  </si>
  <si>
    <t>二次结晶物分析数据</t>
    <phoneticPr fontId="1" type="noConversion"/>
  </si>
  <si>
    <t>二次结晶过程数据</t>
    <phoneticPr fontId="1" type="noConversion"/>
  </si>
  <si>
    <t>一次结晶物分析数据</t>
    <phoneticPr fontId="1" type="noConversion"/>
  </si>
  <si>
    <t>一次结晶过程数据</t>
    <phoneticPr fontId="1" type="noConversion"/>
  </si>
  <si>
    <t>废水分析数据</t>
    <phoneticPr fontId="1" type="noConversion"/>
  </si>
  <si>
    <t>低蒸系统</t>
    <phoneticPr fontId="1" type="noConversion"/>
  </si>
  <si>
    <t>二次结晶系统</t>
    <phoneticPr fontId="1" type="noConversion"/>
  </si>
  <si>
    <t>一次结晶系统</t>
    <phoneticPr fontId="1" type="noConversion"/>
  </si>
  <si>
    <t>闪蒸系统</t>
    <phoneticPr fontId="1" type="noConversion"/>
  </si>
  <si>
    <t>1.035</t>
    <phoneticPr fontId="1" type="noConversion"/>
  </si>
  <si>
    <t>33.1</t>
    <phoneticPr fontId="1" type="noConversion"/>
  </si>
  <si>
    <t>0.515</t>
    <phoneticPr fontId="1" type="noConversion"/>
  </si>
  <si>
    <t>kg/h</t>
  </si>
  <si>
    <t>kg/h</t>
    <phoneticPr fontId="1" type="noConversion"/>
  </si>
  <si>
    <t>氨氮</t>
    <phoneticPr fontId="1" type="noConversion"/>
  </si>
  <si>
    <t>总腈</t>
    <phoneticPr fontId="1" type="noConversion"/>
  </si>
  <si>
    <t>含量评价</t>
    <phoneticPr fontId="1" type="noConversion"/>
  </si>
  <si>
    <t>差值</t>
    <phoneticPr fontId="1" type="noConversion"/>
  </si>
  <si>
    <t>化分</t>
    <phoneticPr fontId="1" type="noConversion"/>
  </si>
  <si>
    <t>色谱</t>
    <phoneticPr fontId="1" type="noConversion"/>
  </si>
  <si>
    <t>浓度</t>
    <phoneticPr fontId="1" type="noConversion"/>
  </si>
  <si>
    <t>流量</t>
    <phoneticPr fontId="1" type="noConversion"/>
  </si>
  <si>
    <t>闪蒸过程参数</t>
    <phoneticPr fontId="1" type="noConversion"/>
  </si>
  <si>
    <t>稀硫酸
消耗
评价</t>
    <phoneticPr fontId="1" type="noConversion"/>
  </si>
  <si>
    <r>
      <rPr>
        <sz val="8"/>
        <rFont val="宋体"/>
        <family val="1"/>
        <charset val="134"/>
      </rPr>
      <t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>差值</t>
    </r>
    <phoneticPr fontId="1" type="noConversion"/>
  </si>
  <si>
    <t>稀硫酸
实际耗量</t>
    <phoneticPr fontId="1" type="noConversion"/>
  </si>
  <si>
    <t>稀硫酸
设计耗量</t>
    <phoneticPr fontId="1" type="noConversion"/>
  </si>
  <si>
    <t>羟基乙腈实测含量</t>
    <phoneticPr fontId="1" type="noConversion"/>
  </si>
  <si>
    <t>羟基乙腈设计含量</t>
    <phoneticPr fontId="1" type="noConversion"/>
  </si>
  <si>
    <t>反应液
比重</t>
    <phoneticPr fontId="1" type="noConversion"/>
  </si>
  <si>
    <t>二乙腈实测含量</t>
    <phoneticPr fontId="1" type="noConversion"/>
  </si>
  <si>
    <t>二乙腈设计含量</t>
    <phoneticPr fontId="1" type="noConversion"/>
  </si>
  <si>
    <t>反应器
出口压力</t>
    <phoneticPr fontId="1" type="noConversion"/>
  </si>
  <si>
    <t>反应器
出口温度</t>
    <phoneticPr fontId="1" type="noConversion"/>
  </si>
  <si>
    <t>反应器
热点温度</t>
    <phoneticPr fontId="1" type="noConversion"/>
  </si>
  <si>
    <t>反应器
入口压力</t>
    <phoneticPr fontId="1" type="noConversion"/>
  </si>
  <si>
    <t>反应器
入口温度</t>
    <phoneticPr fontId="1" type="noConversion"/>
  </si>
  <si>
    <t>配比蒸汽
流量</t>
    <phoneticPr fontId="1" type="noConversion"/>
  </si>
  <si>
    <t>气氨
流量</t>
    <phoneticPr fontId="1" type="noConversion"/>
  </si>
  <si>
    <t>羟基流量</t>
    <phoneticPr fontId="1" type="noConversion"/>
  </si>
  <si>
    <t>摩尔比
评价</t>
    <phoneticPr fontId="1" type="noConversion"/>
  </si>
  <si>
    <t>实际
摩尔比</t>
    <phoneticPr fontId="1" type="noConversion"/>
  </si>
  <si>
    <t>理论
摩尔比</t>
    <phoneticPr fontId="1" type="noConversion"/>
  </si>
  <si>
    <t>反应液分析数据</t>
    <phoneticPr fontId="1" type="noConversion"/>
  </si>
  <si>
    <t>氨化反应过程数据</t>
    <phoneticPr fontId="1" type="noConversion"/>
  </si>
  <si>
    <t>摩尔比情况</t>
    <phoneticPr fontId="1" type="noConversion"/>
  </si>
  <si>
    <t>m3/t</t>
    <phoneticPr fontId="1" type="noConversion"/>
  </si>
  <si>
    <t>kwh/t</t>
    <phoneticPr fontId="1" type="noConversion"/>
  </si>
  <si>
    <t>m3/t</t>
  </si>
  <si>
    <t>夜
班</t>
    <phoneticPr fontId="1" type="noConversion"/>
  </si>
  <si>
    <t>2025
1201</t>
    <phoneticPr fontId="1" type="noConversion"/>
  </si>
  <si>
    <t>二次产品
占比率</t>
    <phoneticPr fontId="1" type="noConversion"/>
  </si>
  <si>
    <t>未知物
平均含量</t>
    <phoneticPr fontId="1" type="noConversion"/>
  </si>
  <si>
    <t>平均
含水率</t>
    <phoneticPr fontId="1" type="noConversion"/>
  </si>
  <si>
    <t>二乙腈
平均含量</t>
    <phoneticPr fontId="1" type="noConversion"/>
  </si>
  <si>
    <t>折百
产量</t>
    <phoneticPr fontId="1" type="noConversion"/>
  </si>
  <si>
    <t>产量</t>
    <phoneticPr fontId="1" type="noConversion"/>
  </si>
  <si>
    <t>第二袋
未知物含量</t>
    <phoneticPr fontId="1" type="noConversion"/>
  </si>
  <si>
    <t>第一袋
未知物含量</t>
    <phoneticPr fontId="1" type="noConversion"/>
  </si>
  <si>
    <t>第二袋
含水率</t>
    <phoneticPr fontId="1" type="noConversion"/>
  </si>
  <si>
    <t>第一袋
含水率</t>
    <phoneticPr fontId="1" type="noConversion"/>
  </si>
  <si>
    <t>第一袋
二乙腈
含量</t>
    <phoneticPr fontId="1" type="noConversion"/>
  </si>
  <si>
    <t>差额</t>
    <phoneticPr fontId="1" type="noConversion"/>
  </si>
  <si>
    <t>产量
评价</t>
    <phoneticPr fontId="1" type="noConversion"/>
  </si>
  <si>
    <t>折百</t>
    <phoneticPr fontId="1" type="noConversion"/>
  </si>
  <si>
    <t>总产量</t>
    <phoneticPr fontId="1" type="noConversion"/>
  </si>
  <si>
    <t>废液
单位排放</t>
    <phoneticPr fontId="1" type="noConversion"/>
  </si>
  <si>
    <t>废水
单位排放</t>
    <phoneticPr fontId="1" type="noConversion"/>
  </si>
  <si>
    <t>电
单耗</t>
    <phoneticPr fontId="1" type="noConversion"/>
  </si>
  <si>
    <t>脱盐水
单耗</t>
    <phoneticPr fontId="1" type="noConversion"/>
  </si>
  <si>
    <t>低蒸蒸汽
单耗</t>
    <phoneticPr fontId="1" type="noConversion"/>
  </si>
  <si>
    <t>反应蒸汽
单耗</t>
    <phoneticPr fontId="1" type="noConversion"/>
  </si>
  <si>
    <t>稀硫酸
单耗</t>
    <phoneticPr fontId="1" type="noConversion"/>
  </si>
  <si>
    <t>液氨
单耗</t>
    <phoneticPr fontId="1" type="noConversion"/>
  </si>
  <si>
    <t>羟基乙腈单耗</t>
    <phoneticPr fontId="1" type="noConversion"/>
  </si>
  <si>
    <t>二次产品情况</t>
    <phoneticPr fontId="1" type="noConversion"/>
  </si>
  <si>
    <t>一次产品（一次分离）情况</t>
    <phoneticPr fontId="1" type="noConversion"/>
  </si>
  <si>
    <r>
      <rPr>
        <sz val="8"/>
        <rFont val="宋体"/>
        <family val="1"/>
        <charset val="134"/>
      </rPr>
      <t>产量</t>
    </r>
    <r>
      <rPr>
        <sz val="8"/>
        <rFont val="Times New Roman"/>
        <family val="1"/>
      </rPr>
      <t>/</t>
    </r>
    <r>
      <rPr>
        <sz val="8"/>
        <rFont val="宋体"/>
        <family val="1"/>
        <charset val="134"/>
      </rPr>
      <t>质量情况汇总</t>
    </r>
    <phoneticPr fontId="1" type="noConversion"/>
  </si>
  <si>
    <t>原料消耗＆废液排放</t>
    <phoneticPr fontId="1" type="noConversion"/>
  </si>
  <si>
    <t>产量/质量情况汇总</t>
    <phoneticPr fontId="1" type="noConversion"/>
  </si>
  <si>
    <t>班
次</t>
    <phoneticPr fontId="1" type="noConversion"/>
  </si>
  <si>
    <t>日
期</t>
    <phoneticPr fontId="1" type="noConversion"/>
  </si>
  <si>
    <t>白
班</t>
    <phoneticPr fontId="1" type="noConversion"/>
  </si>
  <si>
    <t>文件编号：                                                                                                班组＆日---生产过程运行质量考评表</t>
    <phoneticPr fontId="1" type="noConversion"/>
  </si>
  <si>
    <t>考评办负责人：</t>
    <phoneticPr fontId="1" type="noConversion"/>
  </si>
  <si>
    <t>督查办负责人：</t>
    <phoneticPr fontId="1" type="noConversion"/>
  </si>
  <si>
    <t>呈报单位负责人：</t>
    <phoneticPr fontId="1" type="noConversion"/>
  </si>
  <si>
    <t>考评人：</t>
    <phoneticPr fontId="1" type="noConversion"/>
  </si>
  <si>
    <t>督查人：</t>
    <phoneticPr fontId="1" type="noConversion"/>
  </si>
  <si>
    <t>呈报人：</t>
    <phoneticPr fontId="1" type="noConversion"/>
  </si>
  <si>
    <t>Kg</t>
    <phoneticPr fontId="1" type="noConversion"/>
  </si>
  <si>
    <t>Kg</t>
  </si>
  <si>
    <t>其他事项说明</t>
    <phoneticPr fontId="1" type="noConversion"/>
  </si>
  <si>
    <t>未知物含量</t>
    <phoneticPr fontId="1" type="noConversion"/>
  </si>
  <si>
    <t>水分含量</t>
    <phoneticPr fontId="1" type="noConversion"/>
  </si>
  <si>
    <t>综合含量</t>
    <phoneticPr fontId="1" type="noConversion"/>
  </si>
  <si>
    <t>同比减少</t>
    <phoneticPr fontId="1" type="noConversion"/>
  </si>
  <si>
    <t>同比增加</t>
    <phoneticPr fontId="1" type="noConversion"/>
  </si>
  <si>
    <t>折百产量</t>
    <phoneticPr fontId="1" type="noConversion"/>
  </si>
  <si>
    <t>当日总产量</t>
    <phoneticPr fontId="1" type="noConversion"/>
  </si>
  <si>
    <t>产量/质量情况简报</t>
    <phoneticPr fontId="1" type="noConversion"/>
  </si>
  <si>
    <t>二乙腈中试装置</t>
    <phoneticPr fontId="1" type="noConversion"/>
  </si>
  <si>
    <t>合计
得分</t>
    <phoneticPr fontId="1" type="noConversion"/>
  </si>
  <si>
    <t>督查情况</t>
    <phoneticPr fontId="1" type="noConversion"/>
  </si>
  <si>
    <t>考核单元</t>
    <phoneticPr fontId="1" type="noConversion"/>
  </si>
  <si>
    <t>五、合计得分</t>
    <phoneticPr fontId="1" type="noConversion"/>
  </si>
  <si>
    <t>二乙腈中试
安全环保状况</t>
    <phoneticPr fontId="1" type="noConversion"/>
  </si>
  <si>
    <t>考评
得分</t>
    <phoneticPr fontId="1" type="noConversion"/>
  </si>
  <si>
    <t>安全环保有无异常情况</t>
    <phoneticPr fontId="1" type="noConversion"/>
  </si>
  <si>
    <t>四、安全环保指标</t>
    <phoneticPr fontId="1" type="noConversion"/>
  </si>
  <si>
    <t>≥90%</t>
    <phoneticPr fontId="1" type="noConversion"/>
  </si>
  <si>
    <r>
      <t xml:space="preserve">1 </t>
    </r>
    <r>
      <rPr>
        <sz val="12"/>
        <rFont val="宋体"/>
        <family val="1"/>
        <charset val="134"/>
      </rPr>
      <t>二乙腈</t>
    </r>
    <phoneticPr fontId="1" type="noConversion"/>
  </si>
  <si>
    <t>实际
完成率</t>
    <phoneticPr fontId="1" type="noConversion"/>
  </si>
  <si>
    <t>责任目标</t>
    <phoneticPr fontId="1" type="noConversion"/>
  </si>
  <si>
    <t>三、收率</t>
    <phoneticPr fontId="1" type="noConversion"/>
  </si>
  <si>
    <t>全天</t>
    <phoneticPr fontId="1" type="noConversion"/>
  </si>
  <si>
    <r>
      <t xml:space="preserve">2 </t>
    </r>
    <r>
      <rPr>
        <sz val="12"/>
        <rFont val="宋体"/>
        <family val="1"/>
        <charset val="134"/>
      </rPr>
      <t>氨/腈摩尔比</t>
    </r>
    <phoneticPr fontId="1" type="noConversion"/>
  </si>
  <si>
    <r>
      <t xml:space="preserve">1 </t>
    </r>
    <r>
      <rPr>
        <sz val="12"/>
        <rFont val="宋体"/>
        <family val="1"/>
        <charset val="134"/>
      </rPr>
      <t>羟基浓度</t>
    </r>
    <phoneticPr fontId="1" type="noConversion"/>
  </si>
  <si>
    <t>实际
合格率</t>
    <phoneticPr fontId="1" type="noConversion"/>
  </si>
  <si>
    <t>目标
合格率</t>
    <phoneticPr fontId="1" type="noConversion"/>
  </si>
  <si>
    <t>班次</t>
    <phoneticPr fontId="1" type="noConversion"/>
  </si>
  <si>
    <t>二、精准配料</t>
    <phoneticPr fontId="1" type="noConversion"/>
  </si>
  <si>
    <t>≥98%</t>
    <phoneticPr fontId="1" type="noConversion"/>
  </si>
  <si>
    <r>
      <t xml:space="preserve">3 </t>
    </r>
    <r>
      <rPr>
        <sz val="12"/>
        <rFont val="宋体"/>
        <family val="1"/>
        <charset val="134"/>
      </rPr>
      <t>一次结晶温度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</si>
  <si>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>氨化反应热点温度</t>
    </r>
    <phoneticPr fontId="1" type="noConversion"/>
  </si>
  <si>
    <r>
      <t xml:space="preserve">1 </t>
    </r>
    <r>
      <rPr>
        <sz val="12"/>
        <rFont val="宋体"/>
        <family val="1"/>
        <charset val="134"/>
      </rPr>
      <t>羟基乙腈浓度</t>
    </r>
    <phoneticPr fontId="1" type="noConversion"/>
  </si>
  <si>
    <t>一、核心工艺指标</t>
    <phoneticPr fontId="1" type="noConversion"/>
  </si>
  <si>
    <r>
      <rPr>
        <sz val="12"/>
        <rFont val="宋体"/>
        <family val="1"/>
        <charset val="134"/>
      </rPr>
      <t>日期：2026年2月8日                                                                          编号：</t>
    </r>
    <r>
      <rPr>
        <sz val="12"/>
        <rFont val="Times New Roman"/>
        <family val="1"/>
      </rPr>
      <t>HB/ZS26-01</t>
    </r>
    <phoneticPr fontId="1" type="noConversion"/>
  </si>
  <si>
    <t>和邦生物化工研究院
二乙腈中试装置责任目标一级考核日考评表</t>
    <phoneticPr fontId="1" type="noConversion"/>
  </si>
  <si>
    <t>累计量
(m³)</t>
    <phoneticPr fontId="1" type="noConversion"/>
  </si>
  <si>
    <t>(t/h)</t>
    <phoneticPr fontId="1" type="noConversion"/>
  </si>
  <si>
    <t>(t)</t>
    <phoneticPr fontId="1" type="noConversion"/>
  </si>
  <si>
    <t>(t//h)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</si>
</sst>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;[Red]0.00"/>
    <numFmt numFmtId="178" formatCode="0.00_ ;[Red]\-0.00\ "/>
    <numFmt numFmtId="179" formatCode="0.00_ "/>
    <numFmt numFmtId="180" formatCode="0.0000_ ;[Red]\-0.0000\ "/>
  </numFmts>
  <fonts count="4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color rgb="FFFF0000"/>
      <name val="Times New Roman"/>
      <family val="1"/>
      <charset val="134"/>
    </font>
    <font>
      <sz val="8"/>
      <color rgb="FFFF0000"/>
      <name val="Times New Roman"/>
      <family val="1"/>
    </font>
    <font>
      <sz val="8"/>
      <name val="Segoe UI Symbol"/>
      <family val="1"/>
    </font>
    <font>
      <sz val="8"/>
      <name val="宋体"/>
      <family val="1"/>
      <charset val="134"/>
    </font>
    <font>
      <sz val="8"/>
      <color rgb="FFFF0000"/>
      <name val="宋体"/>
      <family val="1"/>
      <charset val="134"/>
    </font>
    <font>
      <sz val="8"/>
      <name val="Segoe UI Symbol"/>
      <family val="1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</font>
    <font>
      <sz val="9"/>
      <name val="宋体"/>
      <family val="1"/>
      <charset val="134"/>
    </font>
    <font>
      <sz val="10"/>
      <name val="Times New Roman"/>
      <family val="1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sz val="12"/>
      <name val="宋体"/>
      <family val="1"/>
      <charset val="134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b/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sz val="12"/>
      <name val="宋体"/>
      <family val="3"/>
      <charset val="134"/>
      <scheme val="minor"/>
    </font>
    <font>
      <sz val="12"/>
      <name val="Times New Roman"/>
      <family val="1"/>
      <charset val="134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7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vertical="center" wrapText="1"/>
    </xf>
    <xf numFmtId="0" fontId="3" fillId="0" borderId="43" xfId="0" applyFont="1" applyFill="1" applyBorder="1" applyAlignment="1">
      <alignment vertical="center" wrapText="1"/>
    </xf>
    <xf numFmtId="0" fontId="4" fillId="0" borderId="31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 wrapText="1"/>
    </xf>
    <xf numFmtId="177" fontId="19" fillId="0" borderId="7" xfId="0" applyNumberFormat="1" applyFont="1" applyBorder="1" applyAlignment="1">
      <alignment horizontal="center" vertical="center" wrapText="1"/>
    </xf>
    <xf numFmtId="177" fontId="20" fillId="0" borderId="7" xfId="0" applyNumberFormat="1" applyFont="1" applyBorder="1" applyAlignment="1">
      <alignment horizontal="center" vertical="center" wrapText="1"/>
    </xf>
    <xf numFmtId="177" fontId="18" fillId="0" borderId="7" xfId="0" applyNumberFormat="1" applyFont="1" applyBorder="1" applyAlignment="1">
      <alignment horizontal="center" vertical="center" wrapText="1"/>
    </xf>
    <xf numFmtId="177" fontId="18" fillId="0" borderId="68" xfId="0" applyNumberFormat="1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178" fontId="18" fillId="0" borderId="7" xfId="0" applyNumberFormat="1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2" fontId="22" fillId="0" borderId="51" xfId="0" applyNumberFormat="1" applyFont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49" fontId="19" fillId="0" borderId="72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49" fontId="18" fillId="0" borderId="31" xfId="0" applyNumberFormat="1" applyFont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49" fontId="18" fillId="0" borderId="30" xfId="0" applyNumberFormat="1" applyFont="1" applyBorder="1" applyAlignment="1">
      <alignment horizontal="center" vertical="center" wrapText="1"/>
    </xf>
    <xf numFmtId="49" fontId="18" fillId="0" borderId="52" xfId="0" applyNumberFormat="1" applyFont="1" applyBorder="1" applyAlignment="1">
      <alignment horizontal="center" vertical="center" wrapText="1"/>
    </xf>
    <xf numFmtId="179" fontId="18" fillId="0" borderId="48" xfId="0" applyNumberFormat="1" applyFont="1" applyBorder="1" applyAlignment="1">
      <alignment horizontal="center" vertical="center" wrapText="1"/>
    </xf>
    <xf numFmtId="178" fontId="18" fillId="0" borderId="30" xfId="0" applyNumberFormat="1" applyFont="1" applyBorder="1" applyAlignment="1">
      <alignment horizontal="center" vertical="center" wrapText="1"/>
    </xf>
    <xf numFmtId="2" fontId="18" fillId="0" borderId="30" xfId="0" applyNumberFormat="1" applyFont="1" applyBorder="1" applyAlignment="1">
      <alignment horizontal="center" vertical="center" wrapText="1"/>
    </xf>
    <xf numFmtId="2" fontId="18" fillId="0" borderId="52" xfId="0" applyNumberFormat="1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2" fontId="21" fillId="0" borderId="3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177" fontId="21" fillId="0" borderId="48" xfId="0" applyNumberFormat="1" applyFont="1" applyBorder="1" applyAlignment="1">
      <alignment horizontal="center" vertical="center" wrapText="1"/>
    </xf>
    <xf numFmtId="177" fontId="20" fillId="0" borderId="52" xfId="0" applyNumberFormat="1" applyFont="1" applyBorder="1" applyAlignment="1">
      <alignment horizontal="center" vertical="center" wrapText="1"/>
    </xf>
    <xf numFmtId="2" fontId="18" fillId="0" borderId="5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22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2" fontId="23" fillId="0" borderId="5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49" fontId="20" fillId="0" borderId="31" xfId="0" applyNumberFormat="1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9" fontId="20" fillId="0" borderId="52" xfId="0" applyNumberFormat="1" applyFont="1" applyBorder="1" applyAlignment="1">
      <alignment horizontal="center" vertical="center" wrapText="1"/>
    </xf>
    <xf numFmtId="2" fontId="18" fillId="0" borderId="48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>
      <alignment horizontal="center" vertical="center" wrapText="1"/>
    </xf>
    <xf numFmtId="2" fontId="21" fillId="0" borderId="52" xfId="0" applyNumberFormat="1" applyFont="1" applyBorder="1" applyAlignment="1">
      <alignment horizontal="center" vertical="center" wrapText="1"/>
    </xf>
    <xf numFmtId="180" fontId="21" fillId="0" borderId="30" xfId="0" applyNumberFormat="1" applyFont="1" applyBorder="1" applyAlignment="1">
      <alignment horizontal="center" vertical="center" wrapText="1"/>
    </xf>
    <xf numFmtId="180" fontId="18" fillId="0" borderId="30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49" fontId="23" fillId="0" borderId="48" xfId="0" applyNumberFormat="1" applyFont="1" applyBorder="1" applyAlignment="1">
      <alignment horizontal="center" vertical="center" wrapText="1"/>
    </xf>
    <xf numFmtId="49" fontId="23" fillId="0" borderId="30" xfId="0" applyNumberFormat="1" applyFont="1" applyBorder="1" applyAlignment="1">
      <alignment horizontal="center" vertical="center" wrapText="1"/>
    </xf>
    <xf numFmtId="49" fontId="24" fillId="0" borderId="52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 wrapText="1"/>
    </xf>
    <xf numFmtId="180" fontId="23" fillId="0" borderId="52" xfId="0" applyNumberFormat="1" applyFont="1" applyBorder="1" applyAlignment="1">
      <alignment horizontal="center" vertical="center" wrapText="1"/>
    </xf>
    <xf numFmtId="10" fontId="18" fillId="0" borderId="48" xfId="0" applyNumberFormat="1" applyFont="1" applyBorder="1" applyAlignment="1">
      <alignment horizontal="center" vertical="center" wrapText="1"/>
    </xf>
    <xf numFmtId="2" fontId="18" fillId="0" borderId="45" xfId="0" applyNumberFormat="1" applyFont="1" applyBorder="1" applyAlignment="1">
      <alignment horizontal="center" vertical="center" wrapText="1"/>
    </xf>
    <xf numFmtId="49" fontId="18" fillId="3" borderId="52" xfId="0" applyNumberFormat="1" applyFont="1" applyFill="1" applyBorder="1" applyAlignment="1">
      <alignment horizontal="center" vertical="center" wrapText="1"/>
    </xf>
    <xf numFmtId="49" fontId="18" fillId="3" borderId="48" xfId="0" applyNumberFormat="1" applyFont="1" applyFill="1" applyBorder="1" applyAlignment="1">
      <alignment horizontal="center" vertical="center" wrapText="1"/>
    </xf>
    <xf numFmtId="49" fontId="18" fillId="3" borderId="30" xfId="0" applyNumberFormat="1" applyFont="1" applyFill="1" applyBorder="1" applyAlignment="1">
      <alignment horizontal="center" vertical="center" wrapText="1"/>
    </xf>
    <xf numFmtId="2" fontId="18" fillId="3" borderId="30" xfId="0" applyNumberFormat="1" applyFont="1" applyFill="1" applyBorder="1" applyAlignment="1">
      <alignment horizontal="center" vertical="center" wrapText="1"/>
    </xf>
    <xf numFmtId="2" fontId="18" fillId="3" borderId="52" xfId="0" applyNumberFormat="1" applyFont="1" applyFill="1" applyBorder="1" applyAlignment="1">
      <alignment horizontal="center" vertical="center" wrapText="1"/>
    </xf>
    <xf numFmtId="2" fontId="18" fillId="0" borderId="39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horizontal="center" vertical="center" wrapText="1"/>
    </xf>
    <xf numFmtId="49" fontId="19" fillId="4" borderId="78" xfId="0" applyNumberFormat="1" applyFont="1" applyFill="1" applyBorder="1" applyAlignment="1">
      <alignment horizontal="center" vertical="center" wrapText="1"/>
    </xf>
    <xf numFmtId="0" fontId="19" fillId="4" borderId="79" xfId="0" applyFont="1" applyFill="1" applyBorder="1" applyAlignment="1">
      <alignment horizontal="center" vertical="center" wrapText="1"/>
    </xf>
    <xf numFmtId="49" fontId="19" fillId="4" borderId="79" xfId="0" applyNumberFormat="1" applyFont="1" applyFill="1" applyBorder="1" applyAlignment="1">
      <alignment horizontal="center" vertical="center" wrapText="1"/>
    </xf>
    <xf numFmtId="49" fontId="18" fillId="4" borderId="79" xfId="0" applyNumberFormat="1" applyFont="1" applyFill="1" applyBorder="1" applyAlignment="1">
      <alignment horizontal="center" vertical="center" wrapText="1"/>
    </xf>
    <xf numFmtId="0" fontId="18" fillId="4" borderId="79" xfId="0" applyFont="1" applyFill="1" applyBorder="1" applyAlignment="1">
      <alignment horizontal="center" vertical="center"/>
    </xf>
    <xf numFmtId="0" fontId="18" fillId="4" borderId="80" xfId="0" applyFont="1" applyFill="1" applyBorder="1" applyAlignment="1">
      <alignment horizontal="center" vertical="center"/>
    </xf>
    <xf numFmtId="177" fontId="19" fillId="0" borderId="35" xfId="0" applyNumberFormat="1" applyFont="1" applyBorder="1" applyAlignment="1">
      <alignment horizontal="center" vertical="center" wrapText="1"/>
    </xf>
    <xf numFmtId="177" fontId="19" fillId="0" borderId="81" xfId="0" applyNumberFormat="1" applyFont="1" applyBorder="1" applyAlignment="1">
      <alignment horizontal="center" vertical="center" wrapText="1"/>
    </xf>
    <xf numFmtId="177" fontId="20" fillId="0" borderId="81" xfId="0" applyNumberFormat="1" applyFont="1" applyBorder="1" applyAlignment="1">
      <alignment horizontal="center" vertical="center" wrapText="1"/>
    </xf>
    <xf numFmtId="177" fontId="18" fillId="0" borderId="81" xfId="0" applyNumberFormat="1" applyFont="1" applyBorder="1" applyAlignment="1">
      <alignment horizontal="center" vertical="center" wrapText="1"/>
    </xf>
    <xf numFmtId="177" fontId="18" fillId="0" borderId="82" xfId="0" applyNumberFormat="1" applyFont="1" applyBorder="1" applyAlignment="1">
      <alignment horizontal="center" vertical="center" wrapText="1"/>
    </xf>
    <xf numFmtId="49" fontId="21" fillId="0" borderId="83" xfId="0" applyNumberFormat="1" applyFont="1" applyBorder="1" applyAlignment="1">
      <alignment horizontal="center" vertical="center" wrapText="1"/>
    </xf>
    <xf numFmtId="178" fontId="18" fillId="0" borderId="81" xfId="0" applyNumberFormat="1" applyFont="1" applyBorder="1" applyAlignment="1">
      <alignment horizontal="center" vertical="center" wrapText="1"/>
    </xf>
    <xf numFmtId="2" fontId="24" fillId="5" borderId="4" xfId="0" applyNumberFormat="1" applyFont="1" applyFill="1" applyBorder="1" applyAlignment="1">
      <alignment horizontal="center" vertical="center" wrapText="1"/>
    </xf>
    <xf numFmtId="2" fontId="21" fillId="5" borderId="4" xfId="0" applyNumberFormat="1" applyFont="1" applyFill="1" applyBorder="1" applyAlignment="1">
      <alignment horizontal="center" vertical="center" wrapText="1"/>
    </xf>
    <xf numFmtId="49" fontId="20" fillId="5" borderId="30" xfId="0" applyNumberFormat="1" applyFont="1" applyFill="1" applyBorder="1" applyAlignment="1">
      <alignment horizontal="center" vertical="center" wrapText="1"/>
    </xf>
    <xf numFmtId="49" fontId="21" fillId="5" borderId="30" xfId="0" applyNumberFormat="1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49" fontId="21" fillId="5" borderId="4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5" fillId="0" borderId="0" xfId="0" applyFont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49" fontId="3" fillId="0" borderId="37" xfId="0" applyNumberFormat="1" applyFont="1" applyFill="1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2" fontId="3" fillId="0" borderId="54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2" fontId="3" fillId="0" borderId="12" xfId="0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23" fillId="0" borderId="73" xfId="0" applyNumberFormat="1" applyFont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2" fontId="23" fillId="0" borderId="73" xfId="0" applyNumberFormat="1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49" fontId="27" fillId="0" borderId="77" xfId="0" applyNumberFormat="1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49" fontId="23" fillId="0" borderId="75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49" fontId="23" fillId="0" borderId="72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89" xfId="0" applyFont="1" applyBorder="1" applyAlignment="1">
      <alignment horizontal="center" vertical="center" wrapText="1"/>
    </xf>
    <xf numFmtId="49" fontId="27" fillId="0" borderId="88" xfId="0" applyNumberFormat="1" applyFont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 wrapText="1"/>
    </xf>
    <xf numFmtId="2" fontId="23" fillId="0" borderId="85" xfId="0" applyNumberFormat="1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30" fillId="0" borderId="40" xfId="0" applyFont="1" applyBorder="1"/>
    <xf numFmtId="0" fontId="31" fillId="0" borderId="90" xfId="0" applyFont="1" applyBorder="1"/>
    <xf numFmtId="0" fontId="30" fillId="0" borderId="39" xfId="0" applyFont="1" applyBorder="1"/>
    <xf numFmtId="0" fontId="31" fillId="0" borderId="45" xfId="0" applyFont="1" applyBorder="1"/>
    <xf numFmtId="0" fontId="31" fillId="0" borderId="57" xfId="0" applyFont="1" applyBorder="1"/>
    <xf numFmtId="0" fontId="31" fillId="0" borderId="99" xfId="0" applyFont="1" applyBorder="1"/>
    <xf numFmtId="0" fontId="34" fillId="0" borderId="60" xfId="0" applyFont="1" applyBorder="1" applyAlignment="1">
      <alignment horizontal="left" vertical="center"/>
    </xf>
    <xf numFmtId="0" fontId="33" fillId="0" borderId="18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3" fillId="0" borderId="98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3" fillId="0" borderId="97" xfId="0" applyFont="1" applyBorder="1" applyAlignment="1">
      <alignment horizontal="left" vertical="center"/>
    </xf>
    <xf numFmtId="0" fontId="34" fillId="0" borderId="11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0" fillId="0" borderId="13" xfId="0" applyFont="1" applyBorder="1"/>
    <xf numFmtId="0" fontId="31" fillId="0" borderId="18" xfId="0" applyFont="1" applyBorder="1"/>
    <xf numFmtId="0" fontId="31" fillId="0" borderId="14" xfId="0" applyFont="1" applyBorder="1"/>
    <xf numFmtId="0" fontId="31" fillId="0" borderId="15" xfId="0" applyFont="1" applyBorder="1"/>
    <xf numFmtId="0" fontId="31" fillId="0" borderId="55" xfId="0" applyFont="1" applyBorder="1"/>
    <xf numFmtId="0" fontId="31" fillId="0" borderId="16" xfId="0" applyFont="1" applyBorder="1"/>
    <xf numFmtId="0" fontId="31" fillId="0" borderId="25" xfId="0" applyFont="1" applyBorder="1"/>
    <xf numFmtId="0" fontId="31" fillId="0" borderId="56" xfId="0" applyFont="1" applyBorder="1"/>
    <xf numFmtId="0" fontId="32" fillId="0" borderId="60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/>
    </xf>
    <xf numFmtId="0" fontId="30" fillId="0" borderId="67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0" fontId="30" fillId="0" borderId="100" xfId="0" applyFont="1" applyBorder="1" applyAlignment="1">
      <alignment horizontal="left" vertical="center"/>
    </xf>
    <xf numFmtId="0" fontId="31" fillId="0" borderId="57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9" fontId="30" fillId="0" borderId="11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0" borderId="39" xfId="0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7" fillId="0" borderId="95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36" fillId="0" borderId="38" xfId="0" applyFont="1" applyBorder="1" applyAlignment="1">
      <alignment horizontal="left" vertical="center"/>
    </xf>
    <xf numFmtId="0" fontId="32" fillId="0" borderId="3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0" fillId="0" borderId="4" xfId="0" applyFont="1" applyBorder="1"/>
    <xf numFmtId="0" fontId="31" fillId="0" borderId="5" xfId="0" applyFont="1" applyBorder="1"/>
    <xf numFmtId="0" fontId="30" fillId="0" borderId="30" xfId="0" applyFont="1" applyBorder="1"/>
    <xf numFmtId="0" fontId="31" fillId="0" borderId="31" xfId="0" applyFont="1" applyBorder="1"/>
    <xf numFmtId="0" fontId="30" fillId="0" borderId="11" xfId="0" applyFont="1" applyBorder="1"/>
    <xf numFmtId="0" fontId="31" fillId="0" borderId="12" xfId="0" applyFont="1" applyBorder="1"/>
    <xf numFmtId="0" fontId="31" fillId="0" borderId="41" xfId="0" applyFont="1" applyBorder="1"/>
    <xf numFmtId="0" fontId="31" fillId="0" borderId="42" xfId="0" applyFont="1" applyBorder="1"/>
    <xf numFmtId="0" fontId="31" fillId="0" borderId="30" xfId="0" applyFont="1" applyBorder="1"/>
    <xf numFmtId="0" fontId="30" fillId="0" borderId="29" xfId="0" applyFont="1" applyBorder="1" applyAlignment="1">
      <alignment horizontal="left" vertical="center"/>
    </xf>
    <xf numFmtId="0" fontId="31" fillId="0" borderId="30" xfId="0" applyFont="1" applyBorder="1" applyAlignment="1">
      <alignment horizontal="left" vertical="center"/>
    </xf>
    <xf numFmtId="0" fontId="38" fillId="0" borderId="30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42" fillId="0" borderId="96" xfId="0" applyFont="1" applyBorder="1" applyAlignment="1">
      <alignment horizontal="center" vertical="center" wrapText="1"/>
    </xf>
    <xf numFmtId="0" fontId="41" fillId="0" borderId="85" xfId="0" applyFont="1" applyBorder="1" applyAlignment="1">
      <alignment horizontal="center" vertical="center"/>
    </xf>
    <xf numFmtId="0" fontId="41" fillId="0" borderId="84" xfId="0" applyFont="1" applyBorder="1" applyAlignment="1">
      <alignment horizontal="center" vertical="center"/>
    </xf>
    <xf numFmtId="0" fontId="40" fillId="0" borderId="59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39" fillId="0" borderId="103" xfId="0" applyFont="1" applyBorder="1"/>
    <xf numFmtId="0" fontId="31" fillId="0" borderId="102" xfId="0" applyFont="1" applyBorder="1"/>
    <xf numFmtId="0" fontId="31" fillId="0" borderId="101" xfId="0" applyFont="1" applyBorder="1"/>
    <xf numFmtId="0" fontId="30" fillId="0" borderId="3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31" fillId="0" borderId="4" xfId="0" applyFont="1" applyBorder="1"/>
    <xf numFmtId="0" fontId="38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4" fillId="0" borderId="96" xfId="0" applyFont="1" applyBorder="1" applyAlignment="1">
      <alignment horizontal="center" vertical="center"/>
    </xf>
    <xf numFmtId="0" fontId="33" fillId="0" borderId="85" xfId="0" applyFont="1" applyBorder="1" applyAlignment="1">
      <alignment horizontal="center" vertical="center"/>
    </xf>
    <xf numFmtId="0" fontId="33" fillId="0" borderId="84" xfId="0" applyFont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0" fillId="0" borderId="67" xfId="0" applyFont="1" applyBorder="1"/>
    <xf numFmtId="0" fontId="32" fillId="0" borderId="94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50" xfId="0" applyFont="1" applyBorder="1"/>
    <xf numFmtId="0" fontId="31" fillId="0" borderId="92" xfId="0" applyFont="1" applyBorder="1"/>
    <xf numFmtId="0" fontId="31" fillId="0" borderId="91" xfId="0" applyFont="1" applyBorder="1"/>
    <xf numFmtId="0" fontId="31" fillId="0" borderId="54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6</xdr:row>
      <xdr:rowOff>47625</xdr:rowOff>
    </xdr:from>
    <xdr:to>
      <xdr:col>5</xdr:col>
      <xdr:colOff>219075</xdr:colOff>
      <xdr:row>6</xdr:row>
      <xdr:rowOff>190500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46DA33AE-C396-439B-AE2B-AD2435C7B99E}"/>
            </a:ext>
          </a:extLst>
        </xdr:cNvPr>
        <xdr:cNvCxnSpPr/>
      </xdr:nvCxnSpPr>
      <xdr:spPr>
        <a:xfrm flipV="1">
          <a:off x="3562350" y="112204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11</xdr:row>
      <xdr:rowOff>31750</xdr:rowOff>
    </xdr:from>
    <xdr:to>
      <xdr:col>19</xdr:col>
      <xdr:colOff>304800</xdr:colOff>
      <xdr:row>11</xdr:row>
      <xdr:rowOff>190500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DB0CEAB-530B-4862-94C2-52AE955093E2}"/>
            </a:ext>
          </a:extLst>
        </xdr:cNvPr>
        <xdr:cNvCxnSpPr/>
      </xdr:nvCxnSpPr>
      <xdr:spPr>
        <a:xfrm flipV="1">
          <a:off x="13045440" y="200152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11</xdr:row>
      <xdr:rowOff>50800</xdr:rowOff>
    </xdr:from>
    <xdr:to>
      <xdr:col>25</xdr:col>
      <xdr:colOff>228600</xdr:colOff>
      <xdr:row>11</xdr:row>
      <xdr:rowOff>190500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F25C2C87-29A0-40DE-852F-EDCBA102DF86}"/>
            </a:ext>
          </a:extLst>
        </xdr:cNvPr>
        <xdr:cNvCxnSpPr/>
      </xdr:nvCxnSpPr>
      <xdr:spPr>
        <a:xfrm>
          <a:off x="16992600" y="202057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11</xdr:row>
      <xdr:rowOff>50800</xdr:rowOff>
    </xdr:from>
    <xdr:to>
      <xdr:col>29</xdr:col>
      <xdr:colOff>209550</xdr:colOff>
      <xdr:row>11</xdr:row>
      <xdr:rowOff>203200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BF8E659F-945C-4615-A3C2-15683422FEFD}"/>
            </a:ext>
          </a:extLst>
        </xdr:cNvPr>
        <xdr:cNvCxnSpPr/>
      </xdr:nvCxnSpPr>
      <xdr:spPr>
        <a:xfrm>
          <a:off x="19649440" y="202057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16</xdr:row>
      <xdr:rowOff>31750</xdr:rowOff>
    </xdr:from>
    <xdr:to>
      <xdr:col>35</xdr:col>
      <xdr:colOff>247650</xdr:colOff>
      <xdr:row>16</xdr:row>
      <xdr:rowOff>158750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BD730751-9D8F-4709-B84A-F99DFB16F420}"/>
            </a:ext>
          </a:extLst>
        </xdr:cNvPr>
        <xdr:cNvCxnSpPr/>
      </xdr:nvCxnSpPr>
      <xdr:spPr>
        <a:xfrm>
          <a:off x="23710900" y="289687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27</xdr:row>
      <xdr:rowOff>47625</xdr:rowOff>
    </xdr:from>
    <xdr:to>
      <xdr:col>5</xdr:col>
      <xdr:colOff>219075</xdr:colOff>
      <xdr:row>27</xdr:row>
      <xdr:rowOff>190500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278FAAB0-B057-42C2-A196-BE8B5D852E65}"/>
            </a:ext>
          </a:extLst>
        </xdr:cNvPr>
        <xdr:cNvCxnSpPr/>
      </xdr:nvCxnSpPr>
      <xdr:spPr>
        <a:xfrm flipV="1">
          <a:off x="3562350" y="488251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32</xdr:row>
      <xdr:rowOff>31750</xdr:rowOff>
    </xdr:from>
    <xdr:to>
      <xdr:col>19</xdr:col>
      <xdr:colOff>304800</xdr:colOff>
      <xdr:row>32</xdr:row>
      <xdr:rowOff>190500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7017858B-2923-48FC-BF72-5D0B26CD394B}"/>
            </a:ext>
          </a:extLst>
        </xdr:cNvPr>
        <xdr:cNvCxnSpPr/>
      </xdr:nvCxnSpPr>
      <xdr:spPr>
        <a:xfrm flipV="1">
          <a:off x="13045440" y="576199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32</xdr:row>
      <xdr:rowOff>50800</xdr:rowOff>
    </xdr:from>
    <xdr:to>
      <xdr:col>25</xdr:col>
      <xdr:colOff>228600</xdr:colOff>
      <xdr:row>32</xdr:row>
      <xdr:rowOff>190500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9C0DF705-7FA1-4BDF-8A91-1DF5ACB9DA8C}"/>
            </a:ext>
          </a:extLst>
        </xdr:cNvPr>
        <xdr:cNvCxnSpPr/>
      </xdr:nvCxnSpPr>
      <xdr:spPr>
        <a:xfrm>
          <a:off x="16992600" y="578104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32</xdr:row>
      <xdr:rowOff>50800</xdr:rowOff>
    </xdr:from>
    <xdr:to>
      <xdr:col>29</xdr:col>
      <xdr:colOff>209550</xdr:colOff>
      <xdr:row>32</xdr:row>
      <xdr:rowOff>203200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50503713-4494-4CB3-8240-468F97AB2754}"/>
            </a:ext>
          </a:extLst>
        </xdr:cNvPr>
        <xdr:cNvCxnSpPr/>
      </xdr:nvCxnSpPr>
      <xdr:spPr>
        <a:xfrm>
          <a:off x="19649440" y="578104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93E90ED-48F3-47CB-9DDC-1C85DF250155}"/>
            </a:ext>
          </a:extLst>
        </xdr:cNvPr>
        <xdr:cNvCxnSpPr/>
      </xdr:nvCxnSpPr>
      <xdr:spPr>
        <a:xfrm>
          <a:off x="23710900" y="665734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U541"/>
  <sheetViews>
    <sheetView topLeftCell="A17" zoomScaleNormal="100" workbookViewId="0">
      <selection activeCell="O42" sqref="O42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  <col min="16170" max="16384" width="9" style="7"/>
  </cols>
  <sheetData>
    <row r="1" spans="2:47" ht="5.0999999999999996" customHeight="1" x14ac:dyDescent="0.4"/>
    <row r="2" spans="2:47" ht="17.5" customHeight="1" thickBot="1" x14ac:dyDescent="0.45">
      <c r="B2" s="219" t="s">
        <v>227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</row>
    <row r="3" spans="2:47" ht="20.100000000000001" customHeight="1" x14ac:dyDescent="0.4">
      <c r="B3" s="223" t="s">
        <v>181</v>
      </c>
      <c r="C3" s="221" t="s">
        <v>163</v>
      </c>
      <c r="D3" s="235"/>
      <c r="E3" s="235"/>
      <c r="F3" s="235"/>
      <c r="G3" s="235"/>
      <c r="H3" s="236"/>
      <c r="I3" s="239" t="s">
        <v>8</v>
      </c>
      <c r="J3" s="235"/>
      <c r="K3" s="235"/>
      <c r="L3" s="235"/>
      <c r="M3" s="235"/>
      <c r="N3" s="235"/>
      <c r="O3" s="235"/>
      <c r="P3" s="240"/>
      <c r="Q3" s="221" t="s">
        <v>77</v>
      </c>
      <c r="R3" s="235"/>
      <c r="S3" s="240"/>
      <c r="T3" s="221" t="s">
        <v>10</v>
      </c>
      <c r="U3" s="235"/>
      <c r="V3" s="235"/>
      <c r="W3" s="240"/>
      <c r="X3" s="221" t="s">
        <v>80</v>
      </c>
      <c r="Y3" s="222"/>
      <c r="Z3" s="221" t="s">
        <v>11</v>
      </c>
      <c r="AA3" s="222"/>
      <c r="AB3" s="18" t="s">
        <v>13</v>
      </c>
      <c r="AC3" s="270" t="s">
        <v>14</v>
      </c>
      <c r="AD3" s="271"/>
      <c r="AE3" s="272" t="s">
        <v>88</v>
      </c>
      <c r="AF3" s="273"/>
      <c r="AG3" s="273"/>
      <c r="AH3" s="273"/>
      <c r="AI3" s="273"/>
      <c r="AJ3" s="273"/>
      <c r="AK3" s="274"/>
      <c r="AL3" s="221" t="s">
        <v>18</v>
      </c>
      <c r="AM3" s="229"/>
      <c r="AN3" s="230"/>
      <c r="AO3" s="233" t="s">
        <v>16</v>
      </c>
      <c r="AP3" s="233"/>
      <c r="AQ3" s="233"/>
      <c r="AR3" s="234"/>
    </row>
    <row r="4" spans="2:47" ht="30" customHeight="1" x14ac:dyDescent="0.4">
      <c r="B4" s="224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162</v>
      </c>
      <c r="I4" s="237" t="s">
        <v>62</v>
      </c>
      <c r="J4" s="238"/>
      <c r="K4" s="30" t="s">
        <v>6</v>
      </c>
      <c r="L4" s="30" t="s">
        <v>66</v>
      </c>
      <c r="M4" s="30" t="s">
        <v>164</v>
      </c>
      <c r="N4" s="30" t="s">
        <v>165</v>
      </c>
      <c r="O4" s="209" t="s">
        <v>7</v>
      </c>
      <c r="P4" s="213"/>
      <c r="Q4" s="226" t="s">
        <v>71</v>
      </c>
      <c r="R4" s="213"/>
      <c r="S4" s="30" t="s">
        <v>51</v>
      </c>
      <c r="T4" s="30" t="s">
        <v>75</v>
      </c>
      <c r="U4" s="226" t="s">
        <v>78</v>
      </c>
      <c r="V4" s="213"/>
      <c r="W4" s="30" t="s">
        <v>9</v>
      </c>
      <c r="X4" s="30" t="s">
        <v>157</v>
      </c>
      <c r="Y4" s="30" t="s">
        <v>158</v>
      </c>
      <c r="Z4" s="30" t="s">
        <v>1</v>
      </c>
      <c r="AA4" s="30" t="s">
        <v>12</v>
      </c>
      <c r="AB4" s="3" t="s">
        <v>159</v>
      </c>
      <c r="AC4" s="3" t="s">
        <v>1</v>
      </c>
      <c r="AD4" s="3" t="s">
        <v>12</v>
      </c>
      <c r="AE4" s="227" t="s">
        <v>89</v>
      </c>
      <c r="AF4" s="228"/>
      <c r="AG4" s="227" t="s">
        <v>92</v>
      </c>
      <c r="AH4" s="228"/>
      <c r="AI4" s="14" t="s">
        <v>166</v>
      </c>
      <c r="AJ4" s="14" t="s">
        <v>167</v>
      </c>
      <c r="AK4" s="15" t="s">
        <v>115</v>
      </c>
      <c r="AL4" s="226" t="s">
        <v>110</v>
      </c>
      <c r="AM4" s="213"/>
      <c r="AN4" s="63" t="s">
        <v>111</v>
      </c>
      <c r="AO4" s="53" t="s">
        <v>12</v>
      </c>
      <c r="AP4" s="3" t="s">
        <v>1</v>
      </c>
      <c r="AQ4" s="231" t="s">
        <v>161</v>
      </c>
      <c r="AR4" s="232"/>
      <c r="AU4" s="43"/>
    </row>
    <row r="5" spans="2:47" ht="20.100000000000001" customHeight="1" x14ac:dyDescent="0.4">
      <c r="B5" s="225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101</v>
      </c>
      <c r="V5" s="30" t="s">
        <v>460</v>
      </c>
      <c r="W5" s="36" t="s">
        <v>79</v>
      </c>
      <c r="X5" s="30" t="s">
        <v>81</v>
      </c>
      <c r="Y5" s="82" t="s">
        <v>4</v>
      </c>
      <c r="Z5" s="36" t="s">
        <v>83</v>
      </c>
      <c r="AA5" s="36" t="s">
        <v>84</v>
      </c>
      <c r="AB5" s="1" t="s">
        <v>85</v>
      </c>
      <c r="AC5" s="1" t="s">
        <v>86</v>
      </c>
      <c r="AD5" s="1" t="s">
        <v>87</v>
      </c>
      <c r="AE5" s="14" t="s">
        <v>90</v>
      </c>
      <c r="AF5" s="14" t="s">
        <v>91</v>
      </c>
      <c r="AG5" s="14" t="s">
        <v>93</v>
      </c>
      <c r="AH5" s="17" t="s">
        <v>94</v>
      </c>
      <c r="AI5" s="17" t="s">
        <v>94</v>
      </c>
      <c r="AJ5" s="17" t="s">
        <v>94</v>
      </c>
      <c r="AK5" s="15" t="s">
        <v>82</v>
      </c>
      <c r="AL5" s="45" t="s">
        <v>95</v>
      </c>
      <c r="AM5" s="27" t="s">
        <v>109</v>
      </c>
      <c r="AN5" s="63" t="s">
        <v>112</v>
      </c>
      <c r="AO5" s="53" t="s">
        <v>96</v>
      </c>
      <c r="AP5" s="3" t="s">
        <v>97</v>
      </c>
      <c r="AQ5" s="3" t="s">
        <v>98</v>
      </c>
      <c r="AR5" s="44" t="s">
        <v>160</v>
      </c>
    </row>
    <row r="6" spans="2:47" ht="13.5" customHeight="1" x14ac:dyDescent="0.4">
      <c r="B6" s="83" t="s">
        <v>5</v>
      </c>
      <c r="C6" s="36">
        <v>1</v>
      </c>
      <c r="D6" s="36">
        <v>2</v>
      </c>
      <c r="E6" s="36">
        <v>3</v>
      </c>
      <c r="F6" s="36">
        <v>4</v>
      </c>
      <c r="G6" s="36">
        <v>5</v>
      </c>
      <c r="H6" s="78">
        <v>6</v>
      </c>
      <c r="I6" s="56">
        <v>7</v>
      </c>
      <c r="J6" s="36">
        <v>8</v>
      </c>
      <c r="K6" s="36">
        <v>9</v>
      </c>
      <c r="L6" s="36">
        <v>10</v>
      </c>
      <c r="M6" s="36">
        <v>11</v>
      </c>
      <c r="N6" s="36">
        <v>12</v>
      </c>
      <c r="O6" s="36">
        <v>13</v>
      </c>
      <c r="P6" s="36">
        <v>14</v>
      </c>
      <c r="Q6" s="36">
        <v>15</v>
      </c>
      <c r="R6" s="36">
        <v>16</v>
      </c>
      <c r="S6" s="36">
        <v>17</v>
      </c>
      <c r="T6" s="36">
        <v>18</v>
      </c>
      <c r="U6" s="36">
        <v>19</v>
      </c>
      <c r="V6" s="36">
        <v>20</v>
      </c>
      <c r="W6" s="36">
        <v>21</v>
      </c>
      <c r="X6" s="89">
        <v>22</v>
      </c>
      <c r="Y6" s="89">
        <v>23</v>
      </c>
      <c r="Z6" s="36">
        <v>24</v>
      </c>
      <c r="AA6" s="36">
        <v>25</v>
      </c>
      <c r="AB6" s="1">
        <v>26</v>
      </c>
      <c r="AC6" s="1">
        <v>27</v>
      </c>
      <c r="AD6" s="1">
        <v>28</v>
      </c>
      <c r="AE6" s="15">
        <v>29</v>
      </c>
      <c r="AF6" s="15">
        <v>30</v>
      </c>
      <c r="AG6" s="15">
        <v>31</v>
      </c>
      <c r="AH6" s="15">
        <v>32</v>
      </c>
      <c r="AI6" s="15">
        <v>33</v>
      </c>
      <c r="AJ6" s="15">
        <v>34</v>
      </c>
      <c r="AK6" s="15">
        <v>35</v>
      </c>
      <c r="AL6" s="36">
        <v>36</v>
      </c>
      <c r="AM6" s="27">
        <v>37</v>
      </c>
      <c r="AN6" s="63">
        <v>38</v>
      </c>
      <c r="AO6" s="54">
        <v>39</v>
      </c>
      <c r="AP6" s="25">
        <v>40</v>
      </c>
      <c r="AQ6" s="25">
        <v>41</v>
      </c>
      <c r="AR6" s="23">
        <v>42</v>
      </c>
    </row>
    <row r="7" spans="2:47" ht="13.5" customHeight="1" x14ac:dyDescent="0.4">
      <c r="B7" s="38">
        <v>0.375</v>
      </c>
      <c r="C7" s="36"/>
      <c r="D7" s="36"/>
      <c r="E7" s="36"/>
      <c r="F7" s="36"/>
      <c r="G7" s="36"/>
      <c r="H7" s="78"/>
      <c r="I7" s="5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89"/>
      <c r="Y7" s="89" t="s">
        <v>82</v>
      </c>
      <c r="Z7" s="36"/>
      <c r="AA7" s="36"/>
      <c r="AB7" s="1"/>
      <c r="AC7" s="1"/>
      <c r="AD7" s="1"/>
      <c r="AE7" s="15"/>
      <c r="AF7" s="15"/>
      <c r="AG7" s="15"/>
      <c r="AH7" s="15"/>
      <c r="AI7" s="15"/>
      <c r="AJ7" s="15"/>
      <c r="AK7" s="15"/>
      <c r="AL7" s="36"/>
      <c r="AM7" s="27"/>
      <c r="AN7" s="63"/>
      <c r="AO7" s="54"/>
      <c r="AP7" s="25"/>
      <c r="AQ7" s="25"/>
      <c r="AR7" s="23"/>
    </row>
    <row r="8" spans="2:47" ht="13.5" customHeight="1" x14ac:dyDescent="0.4">
      <c r="B8" s="38">
        <v>0.41666666666666669</v>
      </c>
      <c r="C8" s="36"/>
      <c r="D8" s="36"/>
      <c r="E8" s="36"/>
      <c r="F8" s="36"/>
      <c r="G8" s="36"/>
      <c r="H8" s="78"/>
      <c r="I8" s="5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89"/>
      <c r="Y8" s="89" t="s">
        <v>82</v>
      </c>
      <c r="Z8" s="36"/>
      <c r="AA8" s="36"/>
      <c r="AB8" s="1"/>
      <c r="AC8" s="1"/>
      <c r="AD8" s="1"/>
      <c r="AE8" s="15"/>
      <c r="AF8" s="15"/>
      <c r="AG8" s="15"/>
      <c r="AH8" s="15"/>
      <c r="AI8" s="15"/>
      <c r="AJ8" s="15"/>
      <c r="AK8" s="15"/>
      <c r="AL8" s="36"/>
      <c r="AM8" s="27"/>
      <c r="AN8" s="63"/>
      <c r="AO8" s="54"/>
      <c r="AP8" s="25"/>
      <c r="AQ8" s="25"/>
      <c r="AR8" s="23"/>
    </row>
    <row r="9" spans="2:47" ht="13.5" customHeight="1" x14ac:dyDescent="0.4">
      <c r="B9" s="38">
        <v>0.45833333333333298</v>
      </c>
      <c r="C9" s="36"/>
      <c r="D9" s="36"/>
      <c r="E9" s="36"/>
      <c r="F9" s="36"/>
      <c r="G9" s="36"/>
      <c r="H9" s="78"/>
      <c r="I9" s="5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89"/>
      <c r="Y9" s="89" t="s">
        <v>82</v>
      </c>
      <c r="Z9" s="36"/>
      <c r="AA9" s="36"/>
      <c r="AB9" s="1"/>
      <c r="AC9" s="1"/>
      <c r="AD9" s="1"/>
      <c r="AE9" s="15"/>
      <c r="AF9" s="15"/>
      <c r="AG9" s="15"/>
      <c r="AH9" s="15"/>
      <c r="AI9" s="15"/>
      <c r="AJ9" s="15"/>
      <c r="AK9" s="15"/>
      <c r="AL9" s="36"/>
      <c r="AM9" s="27"/>
      <c r="AN9" s="63"/>
      <c r="AO9" s="54"/>
      <c r="AP9" s="25"/>
      <c r="AQ9" s="25"/>
      <c r="AR9" s="23"/>
    </row>
    <row r="10" spans="2:47" ht="13.5" customHeight="1" x14ac:dyDescent="0.4">
      <c r="B10" s="38">
        <v>0.5</v>
      </c>
      <c r="C10" s="36"/>
      <c r="D10" s="36"/>
      <c r="E10" s="36"/>
      <c r="F10" s="36"/>
      <c r="G10" s="36"/>
      <c r="H10" s="78"/>
      <c r="I10" s="5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89"/>
      <c r="Y10" s="89" t="s">
        <v>82</v>
      </c>
      <c r="Z10" s="36"/>
      <c r="AA10" s="36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36"/>
      <c r="AM10" s="27"/>
      <c r="AN10" s="63"/>
      <c r="AO10" s="54"/>
      <c r="AP10" s="25"/>
      <c r="AQ10" s="25"/>
      <c r="AR10" s="23"/>
    </row>
    <row r="11" spans="2:47" ht="13.5" customHeight="1" x14ac:dyDescent="0.4">
      <c r="B11" s="38">
        <v>0.54166666666666696</v>
      </c>
      <c r="C11" s="36"/>
      <c r="D11" s="36"/>
      <c r="E11" s="36"/>
      <c r="F11" s="36"/>
      <c r="G11" s="36"/>
      <c r="H11" s="78"/>
      <c r="I11" s="5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89"/>
      <c r="Y11" s="89" t="s">
        <v>82</v>
      </c>
      <c r="Z11" s="36"/>
      <c r="AA11" s="36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36"/>
      <c r="AM11" s="27"/>
      <c r="AN11" s="63"/>
      <c r="AO11" s="54"/>
      <c r="AP11" s="25"/>
      <c r="AQ11" s="25"/>
      <c r="AR11" s="23"/>
    </row>
    <row r="12" spans="2:47" ht="13.5" customHeight="1" x14ac:dyDescent="0.4">
      <c r="B12" s="38">
        <v>0.58333333333333304</v>
      </c>
      <c r="C12" s="36"/>
      <c r="D12" s="36"/>
      <c r="E12" s="36"/>
      <c r="F12" s="36"/>
      <c r="G12" s="36"/>
      <c r="H12" s="78"/>
      <c r="I12" s="5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89"/>
      <c r="Y12" s="89" t="s">
        <v>82</v>
      </c>
      <c r="Z12" s="36"/>
      <c r="AA12" s="36"/>
      <c r="AB12" s="1"/>
      <c r="AC12" s="1"/>
      <c r="AD12" s="1"/>
      <c r="AE12" s="15"/>
      <c r="AF12" s="15"/>
      <c r="AG12" s="15"/>
      <c r="AH12" s="15"/>
      <c r="AI12" s="15"/>
      <c r="AJ12" s="15"/>
      <c r="AK12" s="15"/>
      <c r="AL12" s="36"/>
      <c r="AM12" s="27"/>
      <c r="AN12" s="63"/>
      <c r="AO12" s="54"/>
      <c r="AP12" s="25"/>
      <c r="AQ12" s="25"/>
      <c r="AR12" s="23"/>
    </row>
    <row r="13" spans="2:47" ht="13.5" customHeight="1" x14ac:dyDescent="0.4">
      <c r="B13" s="38">
        <v>0.625</v>
      </c>
      <c r="C13" s="36"/>
      <c r="D13" s="36"/>
      <c r="E13" s="36"/>
      <c r="F13" s="36"/>
      <c r="G13" s="36"/>
      <c r="H13" s="78"/>
      <c r="I13" s="5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89"/>
      <c r="Y13" s="89" t="s">
        <v>82</v>
      </c>
      <c r="Z13" s="36"/>
      <c r="AA13" s="36"/>
      <c r="AB13" s="1"/>
      <c r="AC13" s="1"/>
      <c r="AD13" s="1"/>
      <c r="AE13" s="15"/>
      <c r="AF13" s="15"/>
      <c r="AG13" s="15"/>
      <c r="AH13" s="15"/>
      <c r="AI13" s="15"/>
      <c r="AJ13" s="15"/>
      <c r="AK13" s="15"/>
      <c r="AL13" s="36"/>
      <c r="AM13" s="27"/>
      <c r="AN13" s="63"/>
      <c r="AO13" s="54"/>
      <c r="AP13" s="25"/>
      <c r="AQ13" s="25"/>
      <c r="AR13" s="23"/>
    </row>
    <row r="14" spans="2:47" ht="13.5" customHeight="1" x14ac:dyDescent="0.4">
      <c r="B14" s="38">
        <v>0.66666666666666696</v>
      </c>
      <c r="C14" s="36"/>
      <c r="D14" s="36"/>
      <c r="E14" s="36"/>
      <c r="F14" s="36"/>
      <c r="G14" s="36"/>
      <c r="H14" s="78"/>
      <c r="I14" s="5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89"/>
      <c r="Y14" s="89" t="s">
        <v>82</v>
      </c>
      <c r="Z14" s="36"/>
      <c r="AA14" s="36"/>
      <c r="AB14" s="1"/>
      <c r="AC14" s="1"/>
      <c r="AD14" s="1"/>
      <c r="AE14" s="15"/>
      <c r="AF14" s="15"/>
      <c r="AG14" s="15"/>
      <c r="AH14" s="15"/>
      <c r="AI14" s="15"/>
      <c r="AJ14" s="15"/>
      <c r="AK14" s="15"/>
      <c r="AL14" s="36"/>
      <c r="AM14" s="27"/>
      <c r="AN14" s="63"/>
      <c r="AO14" s="54"/>
      <c r="AP14" s="25"/>
      <c r="AQ14" s="25"/>
      <c r="AR14" s="23"/>
    </row>
    <row r="15" spans="2:47" ht="13.5" customHeight="1" x14ac:dyDescent="0.4">
      <c r="B15" s="38">
        <v>0.70833333333333304</v>
      </c>
      <c r="C15" s="36"/>
      <c r="D15" s="36"/>
      <c r="E15" s="36"/>
      <c r="F15" s="36"/>
      <c r="G15" s="36"/>
      <c r="H15" s="78"/>
      <c r="I15" s="5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89"/>
      <c r="Y15" s="89" t="s">
        <v>82</v>
      </c>
      <c r="Z15" s="36"/>
      <c r="AA15" s="36"/>
      <c r="AB15" s="1"/>
      <c r="AC15" s="1"/>
      <c r="AD15" s="1"/>
      <c r="AE15" s="15"/>
      <c r="AF15" s="15"/>
      <c r="AG15" s="15"/>
      <c r="AH15" s="15"/>
      <c r="AI15" s="15"/>
      <c r="AJ15" s="15"/>
      <c r="AK15" s="15"/>
      <c r="AL15" s="36"/>
      <c r="AM15" s="27"/>
      <c r="AN15" s="63"/>
      <c r="AO15" s="54"/>
      <c r="AP15" s="25"/>
      <c r="AQ15" s="25"/>
      <c r="AR15" s="23"/>
    </row>
    <row r="16" spans="2:47" ht="13.5" customHeight="1" x14ac:dyDescent="0.4">
      <c r="B16" s="38">
        <v>0.75</v>
      </c>
      <c r="C16" s="36"/>
      <c r="D16" s="36"/>
      <c r="E16" s="36"/>
      <c r="F16" s="36"/>
      <c r="G16" s="36"/>
      <c r="H16" s="78"/>
      <c r="I16" s="5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89"/>
      <c r="Y16" s="89" t="s">
        <v>82</v>
      </c>
      <c r="Z16" s="36"/>
      <c r="AA16" s="36"/>
      <c r="AB16" s="1"/>
      <c r="AC16" s="1"/>
      <c r="AD16" s="1"/>
      <c r="AE16" s="15"/>
      <c r="AF16" s="15"/>
      <c r="AG16" s="15"/>
      <c r="AH16" s="15"/>
      <c r="AI16" s="15"/>
      <c r="AJ16" s="15"/>
      <c r="AK16" s="15"/>
      <c r="AL16" s="36"/>
      <c r="AM16" s="27"/>
      <c r="AN16" s="63"/>
      <c r="AO16" s="54"/>
      <c r="AP16" s="25"/>
      <c r="AQ16" s="25"/>
      <c r="AR16" s="23"/>
    </row>
    <row r="17" spans="2:44" ht="13.5" customHeight="1" x14ac:dyDescent="0.4">
      <c r="B17" s="38">
        <v>0.79166666666666696</v>
      </c>
      <c r="C17" s="36"/>
      <c r="D17" s="36"/>
      <c r="E17" s="36"/>
      <c r="F17" s="36"/>
      <c r="G17" s="36"/>
      <c r="H17" s="78"/>
      <c r="I17" s="5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89"/>
      <c r="Y17" s="89" t="s">
        <v>82</v>
      </c>
      <c r="Z17" s="36"/>
      <c r="AA17" s="36"/>
      <c r="AB17" s="1"/>
      <c r="AC17" s="1"/>
      <c r="AD17" s="1"/>
      <c r="AE17" s="15"/>
      <c r="AF17" s="15"/>
      <c r="AG17" s="15"/>
      <c r="AH17" s="15"/>
      <c r="AI17" s="15"/>
      <c r="AJ17" s="15"/>
      <c r="AK17" s="15"/>
      <c r="AL17" s="36"/>
      <c r="AM17" s="27"/>
      <c r="AN17" s="63"/>
      <c r="AO17" s="54"/>
      <c r="AP17" s="25"/>
      <c r="AQ17" s="25"/>
      <c r="AR17" s="23"/>
    </row>
    <row r="18" spans="2:44" ht="13.5" customHeight="1" x14ac:dyDescent="0.4">
      <c r="B18" s="84">
        <v>0.83333333333333404</v>
      </c>
      <c r="C18" s="46"/>
      <c r="D18" s="46"/>
      <c r="E18" s="46"/>
      <c r="F18" s="46"/>
      <c r="G18" s="46"/>
      <c r="H18" s="81"/>
      <c r="I18" s="57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90"/>
      <c r="Y18" s="90"/>
      <c r="Z18" s="46"/>
      <c r="AA18" s="4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46"/>
      <c r="AM18" s="42"/>
      <c r="AN18" s="68"/>
      <c r="AO18" s="54"/>
      <c r="AP18" s="25"/>
      <c r="AQ18" s="25"/>
      <c r="AR18" s="48"/>
    </row>
    <row r="19" spans="2:44" ht="18" customHeight="1" x14ac:dyDescent="0.4">
      <c r="B19" s="241" t="s">
        <v>181</v>
      </c>
      <c r="C19" s="75" t="s">
        <v>168</v>
      </c>
      <c r="D19" s="75" t="s">
        <v>171</v>
      </c>
      <c r="E19" s="198" t="s">
        <v>17</v>
      </c>
      <c r="F19" s="256"/>
      <c r="G19" s="257"/>
      <c r="H19" s="258" t="s">
        <v>108</v>
      </c>
      <c r="I19" s="256"/>
      <c r="J19" s="256"/>
      <c r="K19" s="256"/>
      <c r="L19" s="259"/>
      <c r="M19" s="260" t="s">
        <v>123</v>
      </c>
      <c r="N19" s="256"/>
      <c r="O19" s="256"/>
      <c r="P19" s="256"/>
      <c r="Q19" s="257"/>
      <c r="R19" s="262" t="s">
        <v>147</v>
      </c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4"/>
      <c r="AG19" s="217" t="s">
        <v>24</v>
      </c>
      <c r="AH19" s="264"/>
      <c r="AI19" s="275" t="s">
        <v>173</v>
      </c>
      <c r="AJ19" s="276"/>
      <c r="AK19" s="276"/>
      <c r="AL19" s="276"/>
      <c r="AM19" s="277"/>
      <c r="AN19" s="217" t="s">
        <v>47</v>
      </c>
      <c r="AO19" s="265"/>
      <c r="AP19" s="263" t="s">
        <v>180</v>
      </c>
      <c r="AQ19" s="266"/>
      <c r="AR19" s="267"/>
    </row>
    <row r="20" spans="2:44" ht="20.100000000000001" customHeight="1" x14ac:dyDescent="0.4">
      <c r="B20" s="242"/>
      <c r="C20" s="30" t="s">
        <v>169</v>
      </c>
      <c r="D20" s="30" t="s">
        <v>113</v>
      </c>
      <c r="E20" s="30" t="s">
        <v>15</v>
      </c>
      <c r="F20" s="209" t="s">
        <v>100</v>
      </c>
      <c r="G20" s="213"/>
      <c r="H20" s="32" t="s">
        <v>103</v>
      </c>
      <c r="I20" s="32" t="s">
        <v>105</v>
      </c>
      <c r="J20" s="31" t="s">
        <v>106</v>
      </c>
      <c r="K20" s="36" t="s">
        <v>107</v>
      </c>
      <c r="L20" s="76" t="s">
        <v>115</v>
      </c>
      <c r="M20" s="77" t="s">
        <v>116</v>
      </c>
      <c r="N20" s="32" t="s">
        <v>118</v>
      </c>
      <c r="O20" s="30" t="s">
        <v>228</v>
      </c>
      <c r="P20" s="30" t="s">
        <v>229</v>
      </c>
      <c r="Q20" s="30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4" t="s">
        <v>145</v>
      </c>
      <c r="AD20" s="231" t="s">
        <v>148</v>
      </c>
      <c r="AE20" s="261"/>
      <c r="AF20" s="24" t="s">
        <v>151</v>
      </c>
      <c r="AG20" s="24" t="s">
        <v>153</v>
      </c>
      <c r="AH20" s="24" t="s">
        <v>155</v>
      </c>
      <c r="AI20" s="227" t="s">
        <v>89</v>
      </c>
      <c r="AJ20" s="228"/>
      <c r="AK20" s="227" t="s">
        <v>92</v>
      </c>
      <c r="AL20" s="228"/>
      <c r="AM20" s="49" t="s">
        <v>172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178</v>
      </c>
    </row>
    <row r="21" spans="2:44" ht="22" customHeight="1" x14ac:dyDescent="0.4">
      <c r="B21" s="242"/>
      <c r="C21" s="36" t="s">
        <v>170</v>
      </c>
      <c r="D21" s="30" t="s">
        <v>114</v>
      </c>
      <c r="E21" s="36" t="s">
        <v>99</v>
      </c>
      <c r="F21" s="30" t="s">
        <v>101</v>
      </c>
      <c r="G21" s="32" t="s">
        <v>102</v>
      </c>
      <c r="H21" s="32" t="s">
        <v>104</v>
      </c>
      <c r="I21" s="32" t="s">
        <v>104</v>
      </c>
      <c r="J21" s="32" t="s">
        <v>104</v>
      </c>
      <c r="K21" s="32" t="s">
        <v>104</v>
      </c>
      <c r="L21" s="76" t="s">
        <v>82</v>
      </c>
      <c r="M21" s="77" t="s">
        <v>117</v>
      </c>
      <c r="N21" s="32" t="s">
        <v>119</v>
      </c>
      <c r="O21" s="32" t="s">
        <v>120</v>
      </c>
      <c r="P21" s="32" t="s">
        <v>121</v>
      </c>
      <c r="Q21" s="30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4" t="s">
        <v>146</v>
      </c>
      <c r="AD21" s="24" t="s">
        <v>149</v>
      </c>
      <c r="AE21" s="24" t="s">
        <v>150</v>
      </c>
      <c r="AF21" s="24" t="s">
        <v>152</v>
      </c>
      <c r="AG21" s="24" t="s">
        <v>154</v>
      </c>
      <c r="AH21" s="24" t="s">
        <v>156</v>
      </c>
      <c r="AI21" s="14" t="s">
        <v>90</v>
      </c>
      <c r="AJ21" s="14" t="s">
        <v>91</v>
      </c>
      <c r="AK21" s="14" t="s">
        <v>93</v>
      </c>
      <c r="AL21" s="17" t="s">
        <v>94</v>
      </c>
      <c r="AM21" s="17" t="s">
        <v>94</v>
      </c>
      <c r="AN21" s="24" t="s">
        <v>174</v>
      </c>
      <c r="AO21" s="59" t="s">
        <v>175</v>
      </c>
      <c r="AP21" s="54" t="s">
        <v>176</v>
      </c>
      <c r="AQ21" s="25" t="s">
        <v>177</v>
      </c>
      <c r="AR21" s="23" t="s">
        <v>179</v>
      </c>
    </row>
    <row r="22" spans="2:44" ht="13.5" customHeight="1" x14ac:dyDescent="0.4">
      <c r="B22" s="19">
        <v>0.33333333333333331</v>
      </c>
      <c r="C22" s="36">
        <v>51</v>
      </c>
      <c r="D22" s="36">
        <v>52</v>
      </c>
      <c r="E22" s="36">
        <v>53</v>
      </c>
      <c r="F22" s="36">
        <v>54</v>
      </c>
      <c r="G22" s="36">
        <v>55</v>
      </c>
      <c r="H22" s="36">
        <v>56</v>
      </c>
      <c r="I22" s="36">
        <v>57</v>
      </c>
      <c r="J22" s="36">
        <v>58</v>
      </c>
      <c r="K22" s="36">
        <v>59</v>
      </c>
      <c r="L22" s="78">
        <v>60</v>
      </c>
      <c r="M22" s="51">
        <v>61</v>
      </c>
      <c r="N22" s="36">
        <v>62</v>
      </c>
      <c r="O22" s="36">
        <v>63</v>
      </c>
      <c r="P22" s="36">
        <v>64</v>
      </c>
      <c r="Q22" s="36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>
        <v>79</v>
      </c>
      <c r="AF22" s="24">
        <v>80</v>
      </c>
      <c r="AG22" s="24">
        <v>81</v>
      </c>
      <c r="AH22" s="24">
        <v>82</v>
      </c>
      <c r="AI22" s="49">
        <v>83</v>
      </c>
      <c r="AJ22" s="49">
        <v>84</v>
      </c>
      <c r="AK22" s="49">
        <v>85</v>
      </c>
      <c r="AL22" s="49">
        <v>86</v>
      </c>
      <c r="AM22" s="49">
        <v>87</v>
      </c>
      <c r="AN22" s="24">
        <v>88</v>
      </c>
      <c r="AO22" s="59">
        <v>89</v>
      </c>
      <c r="AP22" s="54">
        <v>90</v>
      </c>
      <c r="AQ22" s="25">
        <v>91</v>
      </c>
      <c r="AR22" s="23">
        <v>92</v>
      </c>
    </row>
    <row r="23" spans="2:44" ht="13.5" customHeight="1" x14ac:dyDescent="0.4">
      <c r="B23" s="19">
        <v>0.375</v>
      </c>
      <c r="C23" s="36"/>
      <c r="D23" s="36"/>
      <c r="E23" s="36"/>
      <c r="F23" s="36"/>
      <c r="G23" s="36"/>
      <c r="H23" s="36"/>
      <c r="I23" s="31"/>
      <c r="J23" s="31"/>
      <c r="K23" s="31"/>
      <c r="L23" s="79"/>
      <c r="M23" s="51"/>
      <c r="N23" s="36"/>
      <c r="O23" s="36"/>
      <c r="P23" s="36"/>
      <c r="Q23" s="36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24"/>
      <c r="AD23" s="24"/>
      <c r="AE23" s="24"/>
      <c r="AF23" s="24"/>
      <c r="AG23" s="24"/>
      <c r="AH23" s="24"/>
      <c r="AI23" s="49"/>
      <c r="AJ23" s="49"/>
      <c r="AK23" s="49"/>
      <c r="AL23" s="49"/>
      <c r="AM23" s="49"/>
      <c r="AN23" s="24"/>
      <c r="AO23" s="59"/>
      <c r="AP23" s="54"/>
      <c r="AQ23" s="25"/>
      <c r="AR23" s="23"/>
    </row>
    <row r="24" spans="2:44" ht="13.5" customHeight="1" x14ac:dyDescent="0.4">
      <c r="B24" s="19">
        <v>0.41666666666666702</v>
      </c>
      <c r="C24" s="36"/>
      <c r="D24" s="31"/>
      <c r="E24" s="31"/>
      <c r="F24" s="31"/>
      <c r="G24" s="31"/>
      <c r="H24" s="31"/>
      <c r="I24" s="31"/>
      <c r="J24" s="31"/>
      <c r="K24" s="31"/>
      <c r="L24" s="79"/>
      <c r="M24" s="80"/>
      <c r="N24" s="31"/>
      <c r="O24" s="31"/>
      <c r="P24" s="31"/>
      <c r="Q24" s="31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24"/>
      <c r="AD24" s="24"/>
      <c r="AE24" s="24"/>
      <c r="AF24" s="24"/>
      <c r="AG24" s="24"/>
      <c r="AH24" s="24"/>
      <c r="AI24" s="49"/>
      <c r="AJ24" s="49"/>
      <c r="AK24" s="49"/>
      <c r="AL24" s="49"/>
      <c r="AM24" s="49"/>
      <c r="AN24" s="24"/>
      <c r="AO24" s="59"/>
      <c r="AP24" s="54"/>
      <c r="AQ24" s="25"/>
      <c r="AR24" s="23"/>
    </row>
    <row r="25" spans="2:44" ht="13.5" customHeight="1" x14ac:dyDescent="0.4">
      <c r="B25" s="19">
        <v>0.45833333333333298</v>
      </c>
      <c r="C25" s="36"/>
      <c r="D25" s="36"/>
      <c r="E25" s="36"/>
      <c r="F25" s="36"/>
      <c r="G25" s="36"/>
      <c r="H25" s="36"/>
      <c r="I25" s="36"/>
      <c r="J25" s="36"/>
      <c r="K25" s="36"/>
      <c r="L25" s="78"/>
      <c r="M25" s="51"/>
      <c r="N25" s="36"/>
      <c r="O25" s="36"/>
      <c r="P25" s="36"/>
      <c r="Q25" s="36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24"/>
      <c r="AD25" s="24"/>
      <c r="AE25" s="24"/>
      <c r="AF25" s="24"/>
      <c r="AG25" s="24"/>
      <c r="AH25" s="24"/>
      <c r="AI25" s="49"/>
      <c r="AJ25" s="49"/>
      <c r="AK25" s="49"/>
      <c r="AL25" s="49"/>
      <c r="AM25" s="49"/>
      <c r="AN25" s="24"/>
      <c r="AO25" s="59"/>
      <c r="AP25" s="54"/>
      <c r="AQ25" s="25"/>
      <c r="AR25" s="23"/>
    </row>
    <row r="26" spans="2:44" ht="13.5" customHeight="1" x14ac:dyDescent="0.4">
      <c r="B26" s="19">
        <v>0.5</v>
      </c>
      <c r="C26" s="36"/>
      <c r="D26" s="36"/>
      <c r="E26" s="36"/>
      <c r="F26" s="36"/>
      <c r="G26" s="36"/>
      <c r="H26" s="36"/>
      <c r="I26" s="31"/>
      <c r="J26" s="31"/>
      <c r="K26" s="31"/>
      <c r="L26" s="79"/>
      <c r="M26" s="51"/>
      <c r="N26" s="36"/>
      <c r="O26" s="36"/>
      <c r="P26" s="36"/>
      <c r="Q26" s="36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49"/>
      <c r="AJ26" s="49"/>
      <c r="AK26" s="49"/>
      <c r="AL26" s="49"/>
      <c r="AM26" s="49"/>
      <c r="AN26" s="24"/>
      <c r="AO26" s="59"/>
      <c r="AP26" s="54"/>
      <c r="AQ26" s="25"/>
      <c r="AR26" s="23"/>
    </row>
    <row r="27" spans="2:44" ht="13.5" customHeight="1" x14ac:dyDescent="0.4">
      <c r="B27" s="19">
        <v>0.54166666666666596</v>
      </c>
      <c r="C27" s="36"/>
      <c r="D27" s="31"/>
      <c r="E27" s="31"/>
      <c r="F27" s="31"/>
      <c r="G27" s="31"/>
      <c r="H27" s="31"/>
      <c r="I27" s="31"/>
      <c r="J27" s="31"/>
      <c r="K27" s="31"/>
      <c r="L27" s="79"/>
      <c r="M27" s="80"/>
      <c r="N27" s="31"/>
      <c r="O27" s="31"/>
      <c r="P27" s="31"/>
      <c r="Q27" s="31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49"/>
      <c r="AJ27" s="49"/>
      <c r="AK27" s="49"/>
      <c r="AL27" s="49"/>
      <c r="AM27" s="49"/>
      <c r="AN27" s="24"/>
      <c r="AO27" s="59"/>
      <c r="AP27" s="54"/>
      <c r="AQ27" s="25"/>
      <c r="AR27" s="23"/>
    </row>
    <row r="28" spans="2:44" ht="13.5" customHeight="1" x14ac:dyDescent="0.4">
      <c r="B28" s="19">
        <v>0.58333333333333304</v>
      </c>
      <c r="C28" s="36"/>
      <c r="D28" s="36"/>
      <c r="E28" s="36"/>
      <c r="F28" s="36"/>
      <c r="G28" s="36"/>
      <c r="H28" s="36"/>
      <c r="I28" s="36"/>
      <c r="J28" s="36"/>
      <c r="K28" s="36"/>
      <c r="L28" s="78"/>
      <c r="M28" s="51"/>
      <c r="N28" s="36"/>
      <c r="O28" s="36"/>
      <c r="P28" s="36"/>
      <c r="Q28" s="36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24"/>
      <c r="AD28" s="24"/>
      <c r="AE28" s="24"/>
      <c r="AF28" s="24"/>
      <c r="AG28" s="24"/>
      <c r="AH28" s="24"/>
      <c r="AI28" s="49"/>
      <c r="AJ28" s="49"/>
      <c r="AK28" s="49"/>
      <c r="AL28" s="49"/>
      <c r="AM28" s="49"/>
      <c r="AN28" s="24"/>
      <c r="AO28" s="59"/>
      <c r="AP28" s="54"/>
      <c r="AQ28" s="25"/>
      <c r="AR28" s="23"/>
    </row>
    <row r="29" spans="2:44" ht="13.5" customHeight="1" x14ac:dyDescent="0.4">
      <c r="B29" s="19">
        <v>0.625</v>
      </c>
      <c r="C29" s="36"/>
      <c r="D29" s="36"/>
      <c r="E29" s="36"/>
      <c r="F29" s="36"/>
      <c r="G29" s="36"/>
      <c r="H29" s="36"/>
      <c r="I29" s="31"/>
      <c r="J29" s="31"/>
      <c r="K29" s="31"/>
      <c r="L29" s="79"/>
      <c r="M29" s="51"/>
      <c r="N29" s="36"/>
      <c r="O29" s="36"/>
      <c r="P29" s="36"/>
      <c r="Q29" s="36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24"/>
      <c r="AD29" s="24"/>
      <c r="AE29" s="24"/>
      <c r="AF29" s="24"/>
      <c r="AG29" s="24"/>
      <c r="AH29" s="24"/>
      <c r="AI29" s="49"/>
      <c r="AJ29" s="49"/>
      <c r="AK29" s="49"/>
      <c r="AL29" s="49"/>
      <c r="AM29" s="49"/>
      <c r="AN29" s="24"/>
      <c r="AO29" s="59"/>
      <c r="AP29" s="54"/>
      <c r="AQ29" s="25"/>
      <c r="AR29" s="23"/>
    </row>
    <row r="30" spans="2:44" ht="13.5" customHeight="1" x14ac:dyDescent="0.4">
      <c r="B30" s="19">
        <v>0.66666666666666596</v>
      </c>
      <c r="C30" s="36"/>
      <c r="D30" s="31"/>
      <c r="E30" s="31"/>
      <c r="F30" s="31"/>
      <c r="G30" s="31"/>
      <c r="H30" s="31"/>
      <c r="I30" s="31"/>
      <c r="J30" s="31"/>
      <c r="K30" s="31"/>
      <c r="L30" s="79"/>
      <c r="M30" s="80"/>
      <c r="N30" s="31"/>
      <c r="O30" s="31"/>
      <c r="P30" s="31"/>
      <c r="Q30" s="31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24"/>
      <c r="AD30" s="24"/>
      <c r="AE30" s="24"/>
      <c r="AF30" s="24"/>
      <c r="AG30" s="24"/>
      <c r="AH30" s="24"/>
      <c r="AI30" s="49"/>
      <c r="AJ30" s="49"/>
      <c r="AK30" s="49"/>
      <c r="AL30" s="49"/>
      <c r="AM30" s="49"/>
      <c r="AN30" s="24"/>
      <c r="AO30" s="59"/>
      <c r="AP30" s="54"/>
      <c r="AQ30" s="25"/>
      <c r="AR30" s="23"/>
    </row>
    <row r="31" spans="2:44" ht="13.5" customHeight="1" x14ac:dyDescent="0.4">
      <c r="B31" s="19">
        <v>0.70833333333333304</v>
      </c>
      <c r="C31" s="36"/>
      <c r="D31" s="36"/>
      <c r="E31" s="36"/>
      <c r="F31" s="36"/>
      <c r="G31" s="36"/>
      <c r="H31" s="36"/>
      <c r="I31" s="36"/>
      <c r="J31" s="36"/>
      <c r="K31" s="36"/>
      <c r="L31" s="78"/>
      <c r="M31" s="51"/>
      <c r="N31" s="36"/>
      <c r="O31" s="36"/>
      <c r="P31" s="36"/>
      <c r="Q31" s="36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24"/>
      <c r="AD31" s="24"/>
      <c r="AE31" s="24"/>
      <c r="AF31" s="24"/>
      <c r="AG31" s="24"/>
      <c r="AH31" s="24"/>
      <c r="AI31" s="49"/>
      <c r="AJ31" s="49"/>
      <c r="AK31" s="49"/>
      <c r="AL31" s="49"/>
      <c r="AM31" s="49"/>
      <c r="AN31" s="24"/>
      <c r="AO31" s="59"/>
      <c r="AP31" s="54"/>
      <c r="AQ31" s="25"/>
      <c r="AR31" s="23"/>
    </row>
    <row r="32" spans="2:44" ht="13.5" customHeight="1" x14ac:dyDescent="0.4">
      <c r="B32" s="19">
        <v>0.75</v>
      </c>
      <c r="C32" s="36"/>
      <c r="D32" s="36"/>
      <c r="E32" s="36"/>
      <c r="F32" s="36"/>
      <c r="G32" s="36"/>
      <c r="H32" s="36"/>
      <c r="I32" s="31"/>
      <c r="J32" s="31"/>
      <c r="K32" s="31"/>
      <c r="L32" s="79"/>
      <c r="M32" s="51"/>
      <c r="N32" s="36"/>
      <c r="O32" s="36"/>
      <c r="P32" s="36"/>
      <c r="Q32" s="36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24"/>
      <c r="AD32" s="24"/>
      <c r="AE32" s="24"/>
      <c r="AF32" s="24"/>
      <c r="AG32" s="24"/>
      <c r="AH32" s="24"/>
      <c r="AI32" s="49"/>
      <c r="AJ32" s="49"/>
      <c r="AK32" s="49"/>
      <c r="AL32" s="49"/>
      <c r="AM32" s="49"/>
      <c r="AN32" s="24"/>
      <c r="AO32" s="59"/>
      <c r="AP32" s="54"/>
      <c r="AQ32" s="25"/>
      <c r="AR32" s="23"/>
    </row>
    <row r="33" spans="2:44" ht="13.5" customHeight="1" x14ac:dyDescent="0.4">
      <c r="B33" s="19">
        <v>0.79166666666666696</v>
      </c>
      <c r="C33" s="36"/>
      <c r="D33" s="31"/>
      <c r="E33" s="31"/>
      <c r="F33" s="31"/>
      <c r="G33" s="31"/>
      <c r="H33" s="31"/>
      <c r="I33" s="31"/>
      <c r="J33" s="31"/>
      <c r="K33" s="31"/>
      <c r="L33" s="79"/>
      <c r="M33" s="80"/>
      <c r="N33" s="31"/>
      <c r="O33" s="31"/>
      <c r="P33" s="31"/>
      <c r="Q33" s="31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24"/>
      <c r="AD33" s="24"/>
      <c r="AE33" s="24"/>
      <c r="AF33" s="24"/>
      <c r="AG33" s="24"/>
      <c r="AH33" s="24"/>
      <c r="AI33" s="49"/>
      <c r="AJ33" s="49"/>
      <c r="AK33" s="49"/>
      <c r="AL33" s="49"/>
      <c r="AM33" s="49"/>
      <c r="AN33" s="24"/>
      <c r="AO33" s="59"/>
      <c r="AP33" s="54"/>
      <c r="AQ33" s="25"/>
      <c r="AR33" s="23"/>
    </row>
    <row r="34" spans="2:44" ht="13.5" customHeight="1" x14ac:dyDescent="0.4">
      <c r="B34" s="20">
        <v>0.83333333333333304</v>
      </c>
      <c r="C34" s="46"/>
      <c r="D34" s="46"/>
      <c r="E34" s="46"/>
      <c r="F34" s="46"/>
      <c r="G34" s="46"/>
      <c r="H34" s="46"/>
      <c r="I34" s="46"/>
      <c r="J34" s="46"/>
      <c r="K34" s="46"/>
      <c r="L34" s="81"/>
      <c r="M34" s="52"/>
      <c r="N34" s="46"/>
      <c r="O34" s="46"/>
      <c r="P34" s="46"/>
      <c r="Q34" s="4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58"/>
      <c r="AJ34" s="58"/>
      <c r="AK34" s="58"/>
      <c r="AL34" s="58"/>
      <c r="AM34" s="58"/>
      <c r="AN34" s="13"/>
      <c r="AO34" s="60"/>
      <c r="AP34" s="61"/>
      <c r="AQ34" s="22"/>
      <c r="AR34" s="21"/>
    </row>
    <row r="35" spans="2:44" s="29" customFormat="1" ht="15" customHeight="1" x14ac:dyDescent="0.4">
      <c r="B35" s="254" t="s">
        <v>181</v>
      </c>
      <c r="C35" s="198" t="s">
        <v>38</v>
      </c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200" t="s">
        <v>216</v>
      </c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2"/>
      <c r="AK35" s="217" t="s">
        <v>48</v>
      </c>
      <c r="AL35" s="218"/>
      <c r="AM35" s="203" t="s">
        <v>223</v>
      </c>
      <c r="AN35" s="204"/>
      <c r="AO35" s="86"/>
      <c r="AP35" s="86"/>
      <c r="AQ35" s="86"/>
      <c r="AR35" s="87"/>
    </row>
    <row r="36" spans="2:44" s="29" customFormat="1" ht="20.100000000000001" customHeight="1" x14ac:dyDescent="0.4">
      <c r="B36" s="255"/>
      <c r="C36" s="209" t="s">
        <v>32</v>
      </c>
      <c r="D36" s="215"/>
      <c r="E36" s="209" t="s">
        <v>33</v>
      </c>
      <c r="F36" s="214"/>
      <c r="G36" s="215"/>
      <c r="H36" s="205" t="s">
        <v>276</v>
      </c>
      <c r="I36" s="206"/>
      <c r="J36" s="32" t="s">
        <v>27</v>
      </c>
      <c r="K36" s="32" t="s">
        <v>30</v>
      </c>
      <c r="L36" s="32" t="s">
        <v>191</v>
      </c>
      <c r="M36" s="207" t="s">
        <v>192</v>
      </c>
      <c r="N36" s="208"/>
      <c r="O36" s="32" t="s">
        <v>26</v>
      </c>
      <c r="P36" s="32" t="s">
        <v>197</v>
      </c>
      <c r="Q36" s="209" t="s">
        <v>199</v>
      </c>
      <c r="R36" s="216"/>
      <c r="S36" s="209" t="s">
        <v>202</v>
      </c>
      <c r="T36" s="216"/>
      <c r="U36" s="209" t="s">
        <v>201</v>
      </c>
      <c r="V36" s="210"/>
      <c r="W36" s="62" t="s">
        <v>15</v>
      </c>
      <c r="X36" s="32" t="s">
        <v>12</v>
      </c>
      <c r="Y36" s="33" t="s">
        <v>204</v>
      </c>
      <c r="Z36" s="33" t="s">
        <v>205</v>
      </c>
      <c r="AA36" s="33" t="s">
        <v>206</v>
      </c>
      <c r="AB36" s="8" t="s">
        <v>207</v>
      </c>
      <c r="AC36" s="33" t="s">
        <v>208</v>
      </c>
      <c r="AD36" s="33" t="s">
        <v>210</v>
      </c>
      <c r="AE36" s="33" t="s">
        <v>211</v>
      </c>
      <c r="AF36" s="8" t="s">
        <v>212</v>
      </c>
      <c r="AG36" s="27" t="s">
        <v>213</v>
      </c>
      <c r="AH36" s="211" t="s">
        <v>46</v>
      </c>
      <c r="AI36" s="212"/>
      <c r="AJ36" s="213"/>
      <c r="AK36" s="27" t="s">
        <v>15</v>
      </c>
      <c r="AL36" s="63" t="s">
        <v>12</v>
      </c>
      <c r="AM36" s="47" t="s">
        <v>224</v>
      </c>
      <c r="AN36" s="49" t="s">
        <v>225</v>
      </c>
      <c r="AO36" s="27"/>
      <c r="AP36" s="27"/>
      <c r="AQ36" s="27"/>
      <c r="AR36" s="28"/>
    </row>
    <row r="37" spans="2:44" s="29" customFormat="1" ht="22" customHeight="1" x14ac:dyDescent="0.4">
      <c r="B37" s="255"/>
      <c r="C37" s="32" t="s">
        <v>186</v>
      </c>
      <c r="D37" s="32" t="s">
        <v>187</v>
      </c>
      <c r="E37" s="32" t="s">
        <v>34</v>
      </c>
      <c r="F37" s="32" t="s">
        <v>188</v>
      </c>
      <c r="G37" s="32" t="s">
        <v>189</v>
      </c>
      <c r="H37" s="32" t="s">
        <v>277</v>
      </c>
      <c r="I37" s="32" t="s">
        <v>278</v>
      </c>
      <c r="J37" s="32" t="s">
        <v>25</v>
      </c>
      <c r="K37" s="32" t="s">
        <v>31</v>
      </c>
      <c r="L37" s="31" t="s">
        <v>29</v>
      </c>
      <c r="M37" s="34" t="s">
        <v>193</v>
      </c>
      <c r="N37" s="34" t="s">
        <v>194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209</v>
      </c>
      <c r="AD37" s="32" t="s">
        <v>43</v>
      </c>
      <c r="AE37" s="35" t="s">
        <v>44</v>
      </c>
      <c r="AF37" s="33" t="s">
        <v>45</v>
      </c>
      <c r="AG37" s="27" t="s">
        <v>214</v>
      </c>
      <c r="AH37" s="27" t="s">
        <v>217</v>
      </c>
      <c r="AI37" s="27" t="s">
        <v>218</v>
      </c>
      <c r="AJ37" s="27" t="s">
        <v>219</v>
      </c>
      <c r="AK37" s="25" t="s">
        <v>221</v>
      </c>
      <c r="AL37" s="59" t="s">
        <v>222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255"/>
      <c r="C38" s="50" t="s">
        <v>182</v>
      </c>
      <c r="D38" s="45" t="s">
        <v>183</v>
      </c>
      <c r="E38" s="30" t="s">
        <v>185</v>
      </c>
      <c r="F38" s="50" t="s">
        <v>182</v>
      </c>
      <c r="G38" s="45" t="s">
        <v>183</v>
      </c>
      <c r="H38" s="50" t="s">
        <v>279</v>
      </c>
      <c r="I38" s="45" t="s">
        <v>183</v>
      </c>
      <c r="J38" s="30" t="s">
        <v>185</v>
      </c>
      <c r="K38" s="36" t="s">
        <v>190</v>
      </c>
      <c r="L38" s="30" t="s">
        <v>185</v>
      </c>
      <c r="M38" s="36" t="s">
        <v>461</v>
      </c>
      <c r="N38" s="36" t="s">
        <v>462</v>
      </c>
      <c r="O38" s="30" t="s">
        <v>185</v>
      </c>
      <c r="P38" s="36" t="s">
        <v>198</v>
      </c>
      <c r="Q38" s="30" t="s">
        <v>200</v>
      </c>
      <c r="R38" s="45" t="s">
        <v>183</v>
      </c>
      <c r="S38" s="30" t="s">
        <v>200</v>
      </c>
      <c r="T38" s="45" t="s">
        <v>183</v>
      </c>
      <c r="U38" s="30" t="s">
        <v>200</v>
      </c>
      <c r="V38" s="72" t="s">
        <v>183</v>
      </c>
      <c r="W38" s="65" t="s">
        <v>203</v>
      </c>
      <c r="X38" s="34" t="s">
        <v>184</v>
      </c>
      <c r="Y38" s="33" t="s">
        <v>190</v>
      </c>
      <c r="Z38" s="34" t="s">
        <v>195</v>
      </c>
      <c r="AA38" s="34" t="s">
        <v>184</v>
      </c>
      <c r="AB38" s="34" t="s">
        <v>184</v>
      </c>
      <c r="AC38" s="33" t="s">
        <v>190</v>
      </c>
      <c r="AD38" s="34" t="s">
        <v>195</v>
      </c>
      <c r="AE38" s="34" t="s">
        <v>184</v>
      </c>
      <c r="AF38" s="34" t="s">
        <v>184</v>
      </c>
      <c r="AG38" s="27" t="s">
        <v>215</v>
      </c>
      <c r="AH38" s="37" t="s">
        <v>203</v>
      </c>
      <c r="AI38" s="34" t="s">
        <v>195</v>
      </c>
      <c r="AJ38" s="34" t="s">
        <v>196</v>
      </c>
      <c r="AK38" s="25" t="s">
        <v>203</v>
      </c>
      <c r="AL38" s="59" t="s">
        <v>220</v>
      </c>
      <c r="AM38" s="47" t="s">
        <v>203</v>
      </c>
      <c r="AN38" s="49" t="s">
        <v>203</v>
      </c>
      <c r="AO38" s="27"/>
      <c r="AP38" s="27"/>
      <c r="AQ38" s="27"/>
      <c r="AR38" s="28"/>
    </row>
    <row r="39" spans="2:44" s="29" customFormat="1" ht="13.5" customHeight="1" x14ac:dyDescent="0.4">
      <c r="B39" s="38">
        <v>0.33333333333333331</v>
      </c>
      <c r="C39" s="36">
        <v>101</v>
      </c>
      <c r="D39" s="36">
        <v>102</v>
      </c>
      <c r="E39" s="36">
        <v>103</v>
      </c>
      <c r="F39" s="36">
        <v>104</v>
      </c>
      <c r="G39" s="36">
        <v>105</v>
      </c>
      <c r="H39" s="36">
        <v>106</v>
      </c>
      <c r="I39" s="36">
        <v>107</v>
      </c>
      <c r="J39" s="36">
        <v>108</v>
      </c>
      <c r="K39" s="31">
        <v>109</v>
      </c>
      <c r="L39" s="31">
        <v>110</v>
      </c>
      <c r="M39" s="31">
        <v>111</v>
      </c>
      <c r="N39" s="31">
        <v>112</v>
      </c>
      <c r="O39" s="36">
        <v>113</v>
      </c>
      <c r="P39" s="36">
        <v>114</v>
      </c>
      <c r="Q39" s="36">
        <v>115</v>
      </c>
      <c r="R39" s="36">
        <v>116</v>
      </c>
      <c r="S39" s="36">
        <v>117</v>
      </c>
      <c r="T39" s="36">
        <v>118</v>
      </c>
      <c r="U39" s="34">
        <v>119</v>
      </c>
      <c r="V39" s="73">
        <v>120</v>
      </c>
      <c r="W39" s="66">
        <v>121</v>
      </c>
      <c r="X39" s="33">
        <v>122</v>
      </c>
      <c r="Y39" s="34">
        <v>123</v>
      </c>
      <c r="Z39" s="33">
        <v>124</v>
      </c>
      <c r="AA39" s="33">
        <v>125</v>
      </c>
      <c r="AB39" s="34">
        <v>126</v>
      </c>
      <c r="AC39" s="33">
        <v>127</v>
      </c>
      <c r="AD39" s="33">
        <v>128</v>
      </c>
      <c r="AE39" s="27">
        <v>129</v>
      </c>
      <c r="AF39" s="27">
        <v>130</v>
      </c>
      <c r="AG39" s="27">
        <v>131</v>
      </c>
      <c r="AH39" s="27">
        <v>132</v>
      </c>
      <c r="AI39" s="27">
        <v>133</v>
      </c>
      <c r="AJ39" s="27">
        <v>134</v>
      </c>
      <c r="AK39" s="27">
        <v>135</v>
      </c>
      <c r="AL39" s="63">
        <v>136</v>
      </c>
      <c r="AM39" s="47">
        <v>137</v>
      </c>
      <c r="AN39" s="49">
        <v>138</v>
      </c>
      <c r="AO39" s="27">
        <v>139</v>
      </c>
      <c r="AP39" s="27">
        <v>140</v>
      </c>
      <c r="AQ39" s="27">
        <v>141</v>
      </c>
      <c r="AR39" s="28">
        <v>142</v>
      </c>
    </row>
    <row r="40" spans="2:44" s="29" customFormat="1" ht="13.5" customHeight="1" x14ac:dyDescent="0.4">
      <c r="B40" s="38">
        <v>0.375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4"/>
      <c r="V40" s="73"/>
      <c r="W40" s="66"/>
      <c r="X40" s="33"/>
      <c r="Y40" s="34"/>
      <c r="Z40" s="33"/>
      <c r="AA40" s="33"/>
      <c r="AB40" s="34"/>
      <c r="AC40" s="33"/>
      <c r="AD40" s="33"/>
      <c r="AE40" s="27"/>
      <c r="AF40" s="27"/>
      <c r="AG40" s="27"/>
      <c r="AH40" s="27"/>
      <c r="AI40" s="27"/>
      <c r="AJ40" s="27"/>
      <c r="AK40" s="27"/>
      <c r="AL40" s="63"/>
      <c r="AM40" s="47"/>
      <c r="AN40" s="49"/>
      <c r="AO40" s="27"/>
      <c r="AP40" s="27"/>
      <c r="AQ40" s="27"/>
      <c r="AR40" s="28"/>
    </row>
    <row r="41" spans="2:44" s="29" customFormat="1" ht="13.5" customHeight="1" x14ac:dyDescent="0.4">
      <c r="B41" s="38">
        <v>0.41666666666666702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4"/>
      <c r="V41" s="73"/>
      <c r="W41" s="66"/>
      <c r="X41" s="33"/>
      <c r="Y41" s="34"/>
      <c r="Z41" s="33"/>
      <c r="AA41" s="33"/>
      <c r="AB41" s="34"/>
      <c r="AC41" s="33"/>
      <c r="AD41" s="33"/>
      <c r="AE41" s="27"/>
      <c r="AF41" s="27"/>
      <c r="AG41" s="27"/>
      <c r="AH41" s="27"/>
      <c r="AI41" s="27"/>
      <c r="AJ41" s="27"/>
      <c r="AK41" s="27"/>
      <c r="AL41" s="63"/>
      <c r="AM41" s="47"/>
      <c r="AN41" s="49"/>
      <c r="AO41" s="27"/>
      <c r="AP41" s="27"/>
      <c r="AQ41" s="27"/>
      <c r="AR41" s="28"/>
    </row>
    <row r="42" spans="2:44" s="29" customFormat="1" ht="13.5" customHeight="1" x14ac:dyDescent="0.4">
      <c r="B42" s="38">
        <v>0.45833333333333298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4"/>
      <c r="V42" s="73"/>
      <c r="W42" s="66"/>
      <c r="X42" s="33"/>
      <c r="Y42" s="34"/>
      <c r="Z42" s="33"/>
      <c r="AA42" s="33"/>
      <c r="AB42" s="34"/>
      <c r="AC42" s="33"/>
      <c r="AD42" s="33"/>
      <c r="AE42" s="27"/>
      <c r="AF42" s="27"/>
      <c r="AG42" s="27"/>
      <c r="AH42" s="27"/>
      <c r="AI42" s="27"/>
      <c r="AJ42" s="27"/>
      <c r="AK42" s="27"/>
      <c r="AL42" s="63"/>
      <c r="AM42" s="47"/>
      <c r="AN42" s="49"/>
      <c r="AO42" s="27"/>
      <c r="AP42" s="27"/>
      <c r="AQ42" s="27"/>
      <c r="AR42" s="28"/>
    </row>
    <row r="43" spans="2:44" s="29" customFormat="1" ht="13.5" customHeight="1" x14ac:dyDescent="0.4">
      <c r="B43" s="38">
        <v>0.5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4"/>
      <c r="V43" s="73"/>
      <c r="W43" s="66"/>
      <c r="X43" s="33"/>
      <c r="Y43" s="34"/>
      <c r="Z43" s="33"/>
      <c r="AA43" s="33"/>
      <c r="AB43" s="34"/>
      <c r="AC43" s="33"/>
      <c r="AD43" s="33"/>
      <c r="AE43" s="27"/>
      <c r="AF43" s="27"/>
      <c r="AG43" s="27"/>
      <c r="AH43" s="27"/>
      <c r="AI43" s="27"/>
      <c r="AJ43" s="27"/>
      <c r="AK43" s="27"/>
      <c r="AL43" s="63"/>
      <c r="AM43" s="47"/>
      <c r="AN43" s="49"/>
      <c r="AO43" s="27"/>
      <c r="AP43" s="27"/>
      <c r="AQ43" s="27"/>
      <c r="AR43" s="28"/>
    </row>
    <row r="44" spans="2:44" s="29" customFormat="1" ht="13.5" customHeight="1" x14ac:dyDescent="0.4">
      <c r="B44" s="38">
        <v>0.54166666666666596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4"/>
      <c r="V44" s="73"/>
      <c r="W44" s="66"/>
      <c r="X44" s="33"/>
      <c r="Y44" s="34"/>
      <c r="Z44" s="33"/>
      <c r="AA44" s="33"/>
      <c r="AB44" s="34"/>
      <c r="AC44" s="33"/>
      <c r="AD44" s="33"/>
      <c r="AE44" s="27"/>
      <c r="AF44" s="27"/>
      <c r="AG44" s="27"/>
      <c r="AH44" s="27"/>
      <c r="AI44" s="27"/>
      <c r="AJ44" s="27"/>
      <c r="AK44" s="27"/>
      <c r="AL44" s="63"/>
      <c r="AM44" s="47"/>
      <c r="AN44" s="49"/>
      <c r="AO44" s="27"/>
      <c r="AP44" s="27"/>
      <c r="AQ44" s="27"/>
      <c r="AR44" s="28"/>
    </row>
    <row r="45" spans="2:44" s="29" customFormat="1" ht="13.5" customHeight="1" x14ac:dyDescent="0.4">
      <c r="B45" s="38">
        <v>0.58333333333333304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4"/>
      <c r="V45" s="73"/>
      <c r="W45" s="66"/>
      <c r="X45" s="33"/>
      <c r="Y45" s="34"/>
      <c r="Z45" s="33"/>
      <c r="AA45" s="33"/>
      <c r="AB45" s="34"/>
      <c r="AC45" s="33"/>
      <c r="AD45" s="33"/>
      <c r="AE45" s="27"/>
      <c r="AF45" s="27"/>
      <c r="AG45" s="27"/>
      <c r="AH45" s="27"/>
      <c r="AI45" s="27"/>
      <c r="AJ45" s="27"/>
      <c r="AK45" s="27"/>
      <c r="AL45" s="63"/>
      <c r="AM45" s="47"/>
      <c r="AN45" s="49"/>
      <c r="AO45" s="27"/>
      <c r="AP45" s="27"/>
      <c r="AQ45" s="27"/>
      <c r="AR45" s="28"/>
    </row>
    <row r="46" spans="2:44" s="29" customFormat="1" ht="13.5" customHeight="1" x14ac:dyDescent="0.4">
      <c r="B46" s="38">
        <v>0.625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4"/>
      <c r="V46" s="73"/>
      <c r="W46" s="66"/>
      <c r="X46" s="33"/>
      <c r="Y46" s="34"/>
      <c r="Z46" s="33"/>
      <c r="AA46" s="33"/>
      <c r="AB46" s="34"/>
      <c r="AC46" s="33"/>
      <c r="AD46" s="33"/>
      <c r="AE46" s="27"/>
      <c r="AF46" s="27"/>
      <c r="AG46" s="27"/>
      <c r="AH46" s="27"/>
      <c r="AI46" s="27"/>
      <c r="AJ46" s="27"/>
      <c r="AK46" s="27"/>
      <c r="AL46" s="63"/>
      <c r="AM46" s="47"/>
      <c r="AN46" s="49"/>
      <c r="AO46" s="27"/>
      <c r="AP46" s="27"/>
      <c r="AQ46" s="27"/>
      <c r="AR46" s="28"/>
    </row>
    <row r="47" spans="2:44" s="29" customFormat="1" ht="13.5" customHeight="1" x14ac:dyDescent="0.4">
      <c r="B47" s="38">
        <v>0.66666666666666596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4"/>
      <c r="V47" s="73"/>
      <c r="W47" s="66"/>
      <c r="X47" s="33"/>
      <c r="Y47" s="34"/>
      <c r="Z47" s="33"/>
      <c r="AA47" s="33"/>
      <c r="AB47" s="34"/>
      <c r="AC47" s="33"/>
      <c r="AD47" s="33"/>
      <c r="AE47" s="27"/>
      <c r="AF47" s="27"/>
      <c r="AG47" s="27"/>
      <c r="AH47" s="27"/>
      <c r="AI47" s="27"/>
      <c r="AJ47" s="27"/>
      <c r="AK47" s="27"/>
      <c r="AL47" s="63"/>
      <c r="AM47" s="47"/>
      <c r="AN47" s="49"/>
      <c r="AO47" s="27"/>
      <c r="AP47" s="27"/>
      <c r="AQ47" s="27"/>
      <c r="AR47" s="28"/>
    </row>
    <row r="48" spans="2:44" s="29" customFormat="1" ht="13.5" customHeight="1" x14ac:dyDescent="0.4">
      <c r="B48" s="38">
        <v>0.70833333333333304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4"/>
      <c r="V48" s="73"/>
      <c r="W48" s="66"/>
      <c r="X48" s="33"/>
      <c r="Y48" s="34"/>
      <c r="Z48" s="33"/>
      <c r="AA48" s="33"/>
      <c r="AB48" s="34"/>
      <c r="AC48" s="33"/>
      <c r="AD48" s="33"/>
      <c r="AE48" s="27"/>
      <c r="AF48" s="27"/>
      <c r="AG48" s="27"/>
      <c r="AH48" s="27"/>
      <c r="AI48" s="27"/>
      <c r="AJ48" s="27"/>
      <c r="AK48" s="27"/>
      <c r="AL48" s="63"/>
      <c r="AM48" s="47"/>
      <c r="AN48" s="49"/>
      <c r="AO48" s="27"/>
      <c r="AP48" s="27"/>
      <c r="AQ48" s="27"/>
      <c r="AR48" s="28"/>
    </row>
    <row r="49" spans="2:44" s="29" customFormat="1" ht="13.5" customHeight="1" x14ac:dyDescent="0.4">
      <c r="B49" s="38">
        <v>0.75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4"/>
      <c r="V49" s="73"/>
      <c r="W49" s="66"/>
      <c r="X49" s="33"/>
      <c r="Y49" s="34"/>
      <c r="Z49" s="33"/>
      <c r="AA49" s="33"/>
      <c r="AB49" s="34"/>
      <c r="AC49" s="33"/>
      <c r="AD49" s="33"/>
      <c r="AE49" s="27"/>
      <c r="AF49" s="27"/>
      <c r="AG49" s="27"/>
      <c r="AH49" s="27"/>
      <c r="AI49" s="27"/>
      <c r="AJ49" s="27"/>
      <c r="AK49" s="27"/>
      <c r="AL49" s="63"/>
      <c r="AM49" s="47"/>
      <c r="AN49" s="49"/>
      <c r="AO49" s="27"/>
      <c r="AP49" s="27"/>
      <c r="AQ49" s="27"/>
      <c r="AR49" s="28"/>
    </row>
    <row r="50" spans="2:44" s="29" customFormat="1" ht="13.5" customHeight="1" x14ac:dyDescent="0.4">
      <c r="B50" s="38">
        <v>0.79166666666666696</v>
      </c>
      <c r="C50" s="36"/>
      <c r="D50" s="36"/>
      <c r="E50" s="36"/>
      <c r="F50" s="36"/>
      <c r="G50" s="36"/>
      <c r="H50" s="36"/>
      <c r="I50" s="36"/>
      <c r="J50" s="36"/>
      <c r="K50" s="31"/>
      <c r="L50" s="31"/>
      <c r="M50" s="31"/>
      <c r="N50" s="31"/>
      <c r="O50" s="36"/>
      <c r="P50" s="36"/>
      <c r="Q50" s="36"/>
      <c r="R50" s="36"/>
      <c r="S50" s="36"/>
      <c r="T50" s="36"/>
      <c r="U50" s="34"/>
      <c r="V50" s="73"/>
      <c r="W50" s="66"/>
      <c r="X50" s="33"/>
      <c r="Y50" s="34"/>
      <c r="Z50" s="33"/>
      <c r="AA50" s="33"/>
      <c r="AB50" s="34"/>
      <c r="AC50" s="33"/>
      <c r="AD50" s="33"/>
      <c r="AE50" s="27"/>
      <c r="AF50" s="27"/>
      <c r="AG50" s="27"/>
      <c r="AH50" s="27"/>
      <c r="AI50" s="27"/>
      <c r="AJ50" s="27"/>
      <c r="AK50" s="27"/>
      <c r="AL50" s="63"/>
      <c r="AM50" s="47"/>
      <c r="AN50" s="49"/>
      <c r="AO50" s="27"/>
      <c r="AP50" s="27"/>
      <c r="AQ50" s="27"/>
      <c r="AR50" s="28"/>
    </row>
    <row r="51" spans="2:44" s="29" customFormat="1" ht="13.5" customHeight="1" x14ac:dyDescent="0.4">
      <c r="B51" s="38">
        <v>0.83333333333333304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40"/>
      <c r="V51" s="74"/>
      <c r="W51" s="67"/>
      <c r="X51" s="41"/>
      <c r="Y51" s="40"/>
      <c r="Z51" s="41"/>
      <c r="AA51" s="41"/>
      <c r="AB51" s="40"/>
      <c r="AC51" s="41"/>
      <c r="AD51" s="41"/>
      <c r="AE51" s="42"/>
      <c r="AF51" s="42"/>
      <c r="AG51" s="42"/>
      <c r="AH51" s="42"/>
      <c r="AI51" s="42"/>
      <c r="AJ51" s="42"/>
      <c r="AK51" s="42"/>
      <c r="AL51" s="68"/>
      <c r="AM51" s="70"/>
      <c r="AN51" s="58"/>
      <c r="AO51" s="42"/>
      <c r="AP51" s="42"/>
      <c r="AQ51" s="42"/>
      <c r="AR51" s="88"/>
    </row>
    <row r="52" spans="2:44" ht="13.5" customHeight="1" x14ac:dyDescent="0.4">
      <c r="B52" s="268" t="s">
        <v>49</v>
      </c>
      <c r="C52" s="269"/>
      <c r="D52" s="26" t="s">
        <v>19</v>
      </c>
      <c r="E52" s="243" t="s">
        <v>20</v>
      </c>
      <c r="F52" s="246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7"/>
      <c r="AG52" s="247"/>
      <c r="AH52" s="247"/>
      <c r="AI52" s="247"/>
      <c r="AJ52" s="247"/>
      <c r="AK52" s="247"/>
      <c r="AL52" s="247"/>
      <c r="AM52" s="247"/>
      <c r="AN52" s="247"/>
      <c r="AO52" s="248"/>
      <c r="AP52" s="248"/>
      <c r="AQ52" s="248"/>
      <c r="AR52" s="249"/>
    </row>
    <row r="53" spans="2:44" ht="13.5" customHeight="1" x14ac:dyDescent="0.4">
      <c r="B53" s="242" t="s">
        <v>226</v>
      </c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31"/>
      <c r="AP53" s="231"/>
      <c r="AQ53" s="231"/>
      <c r="AR53" s="250"/>
    </row>
    <row r="54" spans="2:44" ht="13.5" customHeight="1" thickBot="1" x14ac:dyDescent="0.45">
      <c r="B54" s="253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51"/>
      <c r="AP54" s="251"/>
      <c r="AQ54" s="251"/>
      <c r="AR54" s="25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A0EE-EFC5-448E-92C8-164A0C5253E9}">
  <dimension ref="B1:BF548"/>
  <sheetViews>
    <sheetView zoomScale="150" zoomScaleNormal="150" workbookViewId="0">
      <selection activeCell="B19" sqref="B19:L24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  <col min="16184" max="16384" width="9" style="29"/>
  </cols>
  <sheetData>
    <row r="1" spans="2:58" ht="17.5" customHeight="1" thickBot="1" x14ac:dyDescent="0.45">
      <c r="B1" s="278" t="s">
        <v>230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79"/>
      <c r="AZ1" s="279"/>
      <c r="BA1" s="279"/>
      <c r="BB1" s="279"/>
      <c r="BC1" s="279"/>
      <c r="BD1" s="279"/>
      <c r="BE1" s="279"/>
      <c r="BF1" s="279"/>
    </row>
    <row r="2" spans="2:58" ht="13" customHeight="1" x14ac:dyDescent="0.4">
      <c r="B2" s="327" t="s">
        <v>232</v>
      </c>
      <c r="C2" s="328"/>
      <c r="D2" s="328"/>
      <c r="E2" s="328"/>
      <c r="F2" s="328"/>
      <c r="G2" s="328"/>
      <c r="H2" s="328"/>
      <c r="I2" s="328"/>
      <c r="J2" s="328"/>
      <c r="K2" s="328"/>
      <c r="L2" s="329"/>
      <c r="M2" s="330" t="s">
        <v>231</v>
      </c>
      <c r="N2" s="328"/>
      <c r="O2" s="328"/>
      <c r="P2" s="328"/>
      <c r="Q2" s="328"/>
      <c r="R2" s="328"/>
      <c r="S2" s="328"/>
      <c r="T2" s="328"/>
      <c r="U2" s="328"/>
      <c r="V2" s="328"/>
      <c r="W2" s="329"/>
      <c r="X2" s="221" t="s">
        <v>233</v>
      </c>
      <c r="Y2" s="328"/>
      <c r="Z2" s="328"/>
      <c r="AA2" s="328"/>
      <c r="AB2" s="328"/>
      <c r="AC2" s="328"/>
      <c r="AD2" s="328"/>
      <c r="AE2" s="328"/>
      <c r="AF2" s="328"/>
      <c r="AG2" s="328"/>
      <c r="AH2" s="329"/>
      <c r="AI2" s="330" t="s">
        <v>234</v>
      </c>
      <c r="AJ2" s="328"/>
      <c r="AK2" s="328"/>
      <c r="AL2" s="328"/>
      <c r="AM2" s="328"/>
      <c r="AN2" s="328"/>
      <c r="AO2" s="328"/>
      <c r="AP2" s="328"/>
      <c r="AQ2" s="328"/>
      <c r="AR2" s="328"/>
      <c r="AS2" s="328"/>
      <c r="AT2" s="329"/>
      <c r="AU2" s="221" t="s">
        <v>235</v>
      </c>
      <c r="AV2" s="328"/>
      <c r="AW2" s="328"/>
      <c r="AX2" s="328"/>
      <c r="AY2" s="328"/>
      <c r="AZ2" s="328"/>
      <c r="BA2" s="328"/>
      <c r="BB2" s="328"/>
      <c r="BC2" s="328"/>
      <c r="BD2" s="328"/>
      <c r="BE2" s="328"/>
      <c r="BF2" s="331"/>
    </row>
    <row r="3" spans="2:58" ht="13" customHeight="1" x14ac:dyDescent="0.4">
      <c r="B3" s="293"/>
      <c r="C3" s="294"/>
      <c r="D3" s="294"/>
      <c r="E3" s="294"/>
      <c r="F3" s="294"/>
      <c r="G3" s="294"/>
      <c r="H3" s="294"/>
      <c r="I3" s="294"/>
      <c r="J3" s="294"/>
      <c r="K3" s="294"/>
      <c r="L3" s="295"/>
      <c r="M3" s="301"/>
      <c r="N3" s="294"/>
      <c r="O3" s="294"/>
      <c r="P3" s="294"/>
      <c r="Q3" s="294"/>
      <c r="R3" s="294"/>
      <c r="S3" s="294"/>
      <c r="T3" s="294"/>
      <c r="U3" s="294"/>
      <c r="V3" s="294"/>
      <c r="W3" s="295"/>
      <c r="X3" s="305"/>
      <c r="Y3" s="294"/>
      <c r="Z3" s="294"/>
      <c r="AA3" s="294"/>
      <c r="AB3" s="294"/>
      <c r="AC3" s="294"/>
      <c r="AD3" s="294"/>
      <c r="AE3" s="294"/>
      <c r="AF3" s="294"/>
      <c r="AG3" s="294"/>
      <c r="AH3" s="295"/>
      <c r="AI3" s="306"/>
      <c r="AJ3" s="294"/>
      <c r="AK3" s="294"/>
      <c r="AL3" s="294"/>
      <c r="AM3" s="294"/>
      <c r="AN3" s="294"/>
      <c r="AO3" s="294"/>
      <c r="AP3" s="294"/>
      <c r="AQ3" s="294"/>
      <c r="AR3" s="294"/>
      <c r="AS3" s="294"/>
      <c r="AT3" s="295"/>
      <c r="AU3" s="305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307"/>
    </row>
    <row r="4" spans="2:58" ht="13" customHeight="1" x14ac:dyDescent="0.4">
      <c r="B4" s="296"/>
      <c r="C4" s="297"/>
      <c r="D4" s="297"/>
      <c r="E4" s="297"/>
      <c r="F4" s="297"/>
      <c r="G4" s="297"/>
      <c r="H4" s="297"/>
      <c r="I4" s="297"/>
      <c r="J4" s="297"/>
      <c r="K4" s="297"/>
      <c r="L4" s="298"/>
      <c r="M4" s="302"/>
      <c r="N4" s="297"/>
      <c r="O4" s="297"/>
      <c r="P4" s="297"/>
      <c r="Q4" s="297"/>
      <c r="R4" s="297"/>
      <c r="S4" s="297"/>
      <c r="T4" s="297"/>
      <c r="U4" s="297"/>
      <c r="V4" s="297"/>
      <c r="W4" s="298"/>
      <c r="X4" s="302"/>
      <c r="Y4" s="297"/>
      <c r="Z4" s="297"/>
      <c r="AA4" s="297"/>
      <c r="AB4" s="297"/>
      <c r="AC4" s="297"/>
      <c r="AD4" s="297"/>
      <c r="AE4" s="297"/>
      <c r="AF4" s="297"/>
      <c r="AG4" s="297"/>
      <c r="AH4" s="298"/>
      <c r="AI4" s="302"/>
      <c r="AJ4" s="297"/>
      <c r="AK4" s="297"/>
      <c r="AL4" s="297"/>
      <c r="AM4" s="297"/>
      <c r="AN4" s="297"/>
      <c r="AO4" s="297"/>
      <c r="AP4" s="297"/>
      <c r="AQ4" s="297"/>
      <c r="AR4" s="297"/>
      <c r="AS4" s="297"/>
      <c r="AT4" s="298"/>
      <c r="AU4" s="302"/>
      <c r="AV4" s="297"/>
      <c r="AW4" s="297"/>
      <c r="AX4" s="297"/>
      <c r="AY4" s="297"/>
      <c r="AZ4" s="297"/>
      <c r="BA4" s="297"/>
      <c r="BB4" s="297"/>
      <c r="BC4" s="297"/>
      <c r="BD4" s="297"/>
      <c r="BE4" s="297"/>
      <c r="BF4" s="308"/>
    </row>
    <row r="5" spans="2:58" ht="13" customHeight="1" x14ac:dyDescent="0.4">
      <c r="B5" s="296"/>
      <c r="C5" s="297"/>
      <c r="D5" s="297"/>
      <c r="E5" s="297"/>
      <c r="F5" s="297"/>
      <c r="G5" s="297"/>
      <c r="H5" s="297"/>
      <c r="I5" s="297"/>
      <c r="J5" s="297"/>
      <c r="K5" s="297"/>
      <c r="L5" s="298"/>
      <c r="M5" s="302"/>
      <c r="N5" s="297"/>
      <c r="O5" s="297"/>
      <c r="P5" s="297"/>
      <c r="Q5" s="297"/>
      <c r="R5" s="297"/>
      <c r="S5" s="297"/>
      <c r="T5" s="297"/>
      <c r="U5" s="297"/>
      <c r="V5" s="297"/>
      <c r="W5" s="298"/>
      <c r="X5" s="302"/>
      <c r="Y5" s="297"/>
      <c r="Z5" s="297"/>
      <c r="AA5" s="297"/>
      <c r="AB5" s="297"/>
      <c r="AC5" s="297"/>
      <c r="AD5" s="297"/>
      <c r="AE5" s="297"/>
      <c r="AF5" s="297"/>
      <c r="AG5" s="297"/>
      <c r="AH5" s="298"/>
      <c r="AI5" s="302"/>
      <c r="AJ5" s="297"/>
      <c r="AK5" s="297"/>
      <c r="AL5" s="297"/>
      <c r="AM5" s="297"/>
      <c r="AN5" s="297"/>
      <c r="AO5" s="297"/>
      <c r="AP5" s="297"/>
      <c r="AQ5" s="297"/>
      <c r="AR5" s="297"/>
      <c r="AS5" s="297"/>
      <c r="AT5" s="298"/>
      <c r="AU5" s="302"/>
      <c r="AV5" s="297"/>
      <c r="AW5" s="297"/>
      <c r="AX5" s="297"/>
      <c r="AY5" s="297"/>
      <c r="AZ5" s="297"/>
      <c r="BA5" s="297"/>
      <c r="BB5" s="297"/>
      <c r="BC5" s="297"/>
      <c r="BD5" s="297"/>
      <c r="BE5" s="297"/>
      <c r="BF5" s="308"/>
    </row>
    <row r="6" spans="2:58" ht="13" customHeight="1" x14ac:dyDescent="0.4">
      <c r="B6" s="296"/>
      <c r="C6" s="297"/>
      <c r="D6" s="297"/>
      <c r="E6" s="297"/>
      <c r="F6" s="297"/>
      <c r="G6" s="297"/>
      <c r="H6" s="297"/>
      <c r="I6" s="297"/>
      <c r="J6" s="297"/>
      <c r="K6" s="297"/>
      <c r="L6" s="298"/>
      <c r="M6" s="302"/>
      <c r="N6" s="297"/>
      <c r="O6" s="297"/>
      <c r="P6" s="297"/>
      <c r="Q6" s="297"/>
      <c r="R6" s="297"/>
      <c r="S6" s="297"/>
      <c r="T6" s="297"/>
      <c r="U6" s="297"/>
      <c r="V6" s="297"/>
      <c r="W6" s="298"/>
      <c r="X6" s="302"/>
      <c r="Y6" s="297"/>
      <c r="Z6" s="297"/>
      <c r="AA6" s="297"/>
      <c r="AB6" s="297"/>
      <c r="AC6" s="297"/>
      <c r="AD6" s="297"/>
      <c r="AE6" s="297"/>
      <c r="AF6" s="297"/>
      <c r="AG6" s="297"/>
      <c r="AH6" s="298"/>
      <c r="AI6" s="302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8"/>
      <c r="AU6" s="302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308"/>
    </row>
    <row r="7" spans="2:58" ht="13" customHeight="1" x14ac:dyDescent="0.4">
      <c r="B7" s="296"/>
      <c r="C7" s="297"/>
      <c r="D7" s="297"/>
      <c r="E7" s="297"/>
      <c r="F7" s="297"/>
      <c r="G7" s="297"/>
      <c r="H7" s="297"/>
      <c r="I7" s="297"/>
      <c r="J7" s="297"/>
      <c r="K7" s="297"/>
      <c r="L7" s="298"/>
      <c r="M7" s="302"/>
      <c r="N7" s="297"/>
      <c r="O7" s="297"/>
      <c r="P7" s="297"/>
      <c r="Q7" s="297"/>
      <c r="R7" s="297"/>
      <c r="S7" s="297"/>
      <c r="T7" s="297"/>
      <c r="U7" s="297"/>
      <c r="V7" s="297"/>
      <c r="W7" s="298"/>
      <c r="X7" s="302"/>
      <c r="Y7" s="297"/>
      <c r="Z7" s="297"/>
      <c r="AA7" s="297"/>
      <c r="AB7" s="297"/>
      <c r="AC7" s="297"/>
      <c r="AD7" s="297"/>
      <c r="AE7" s="297"/>
      <c r="AF7" s="297"/>
      <c r="AG7" s="297"/>
      <c r="AH7" s="298"/>
      <c r="AI7" s="302"/>
      <c r="AJ7" s="297"/>
      <c r="AK7" s="297"/>
      <c r="AL7" s="297"/>
      <c r="AM7" s="297"/>
      <c r="AN7" s="297"/>
      <c r="AO7" s="297"/>
      <c r="AP7" s="297"/>
      <c r="AQ7" s="297"/>
      <c r="AR7" s="297"/>
      <c r="AS7" s="297"/>
      <c r="AT7" s="298"/>
      <c r="AU7" s="302"/>
      <c r="AV7" s="297"/>
      <c r="AW7" s="297"/>
      <c r="AX7" s="297"/>
      <c r="AY7" s="297"/>
      <c r="AZ7" s="297"/>
      <c r="BA7" s="297"/>
      <c r="BB7" s="297"/>
      <c r="BC7" s="297"/>
      <c r="BD7" s="297"/>
      <c r="BE7" s="297"/>
      <c r="BF7" s="308"/>
    </row>
    <row r="8" spans="2:58" ht="13" customHeight="1" x14ac:dyDescent="0.4">
      <c r="B8" s="296"/>
      <c r="C8" s="297"/>
      <c r="D8" s="297"/>
      <c r="E8" s="297"/>
      <c r="F8" s="297"/>
      <c r="G8" s="297"/>
      <c r="H8" s="297"/>
      <c r="I8" s="297"/>
      <c r="J8" s="297"/>
      <c r="K8" s="297"/>
      <c r="L8" s="298"/>
      <c r="M8" s="302"/>
      <c r="N8" s="297"/>
      <c r="O8" s="297"/>
      <c r="P8" s="297"/>
      <c r="Q8" s="297"/>
      <c r="R8" s="297"/>
      <c r="S8" s="297"/>
      <c r="T8" s="297"/>
      <c r="U8" s="297"/>
      <c r="V8" s="297"/>
      <c r="W8" s="298"/>
      <c r="X8" s="302"/>
      <c r="Y8" s="297"/>
      <c r="Z8" s="297"/>
      <c r="AA8" s="297"/>
      <c r="AB8" s="297"/>
      <c r="AC8" s="297"/>
      <c r="AD8" s="297"/>
      <c r="AE8" s="297"/>
      <c r="AF8" s="297"/>
      <c r="AG8" s="297"/>
      <c r="AH8" s="298"/>
      <c r="AI8" s="302"/>
      <c r="AJ8" s="297"/>
      <c r="AK8" s="297"/>
      <c r="AL8" s="297"/>
      <c r="AM8" s="297"/>
      <c r="AN8" s="297"/>
      <c r="AO8" s="297"/>
      <c r="AP8" s="297"/>
      <c r="AQ8" s="297"/>
      <c r="AR8" s="297"/>
      <c r="AS8" s="297"/>
      <c r="AT8" s="298"/>
      <c r="AU8" s="302"/>
      <c r="AV8" s="297"/>
      <c r="AW8" s="297"/>
      <c r="AX8" s="297"/>
      <c r="AY8" s="297"/>
      <c r="AZ8" s="297"/>
      <c r="BA8" s="297"/>
      <c r="BB8" s="297"/>
      <c r="BC8" s="297"/>
      <c r="BD8" s="297"/>
      <c r="BE8" s="297"/>
      <c r="BF8" s="308"/>
    </row>
    <row r="9" spans="2:58" ht="13" customHeight="1" x14ac:dyDescent="0.4">
      <c r="B9" s="299"/>
      <c r="C9" s="300"/>
      <c r="D9" s="300"/>
      <c r="E9" s="300"/>
      <c r="F9" s="300"/>
      <c r="G9" s="300"/>
      <c r="H9" s="300"/>
      <c r="I9" s="300"/>
      <c r="J9" s="300"/>
      <c r="K9" s="300"/>
      <c r="L9" s="269"/>
      <c r="M9" s="303"/>
      <c r="N9" s="300"/>
      <c r="O9" s="300"/>
      <c r="P9" s="300"/>
      <c r="Q9" s="300"/>
      <c r="R9" s="300"/>
      <c r="S9" s="300"/>
      <c r="T9" s="300"/>
      <c r="U9" s="300"/>
      <c r="V9" s="300"/>
      <c r="W9" s="269"/>
      <c r="X9" s="303"/>
      <c r="Y9" s="300"/>
      <c r="Z9" s="300"/>
      <c r="AA9" s="300"/>
      <c r="AB9" s="300"/>
      <c r="AC9" s="300"/>
      <c r="AD9" s="300"/>
      <c r="AE9" s="300"/>
      <c r="AF9" s="300"/>
      <c r="AG9" s="300"/>
      <c r="AH9" s="269"/>
      <c r="AI9" s="303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269"/>
      <c r="AU9" s="303"/>
      <c r="AV9" s="300"/>
      <c r="AW9" s="300"/>
      <c r="AX9" s="300"/>
      <c r="AY9" s="300"/>
      <c r="AZ9" s="300"/>
      <c r="BA9" s="300"/>
      <c r="BB9" s="300"/>
      <c r="BC9" s="300"/>
      <c r="BD9" s="300"/>
      <c r="BE9" s="300"/>
      <c r="BF9" s="309"/>
    </row>
    <row r="10" spans="2:58" ht="13" customHeight="1" x14ac:dyDescent="0.4">
      <c r="B10" s="315" t="s">
        <v>236</v>
      </c>
      <c r="C10" s="313"/>
      <c r="D10" s="313"/>
      <c r="E10" s="313"/>
      <c r="F10" s="313"/>
      <c r="G10" s="313"/>
      <c r="H10" s="313"/>
      <c r="I10" s="313"/>
      <c r="J10" s="313"/>
      <c r="K10" s="313"/>
      <c r="L10" s="314"/>
      <c r="M10" s="326" t="s">
        <v>237</v>
      </c>
      <c r="N10" s="313"/>
      <c r="O10" s="313"/>
      <c r="P10" s="313"/>
      <c r="Q10" s="313"/>
      <c r="R10" s="313"/>
      <c r="S10" s="313"/>
      <c r="T10" s="313"/>
      <c r="U10" s="313"/>
      <c r="V10" s="313"/>
      <c r="W10" s="314"/>
      <c r="X10" s="226" t="s">
        <v>238</v>
      </c>
      <c r="Y10" s="313"/>
      <c r="Z10" s="313"/>
      <c r="AA10" s="313"/>
      <c r="AB10" s="313"/>
      <c r="AC10" s="313"/>
      <c r="AD10" s="313"/>
      <c r="AE10" s="313"/>
      <c r="AF10" s="313"/>
      <c r="AG10" s="313"/>
      <c r="AH10" s="314"/>
      <c r="AI10" s="226" t="s">
        <v>239</v>
      </c>
      <c r="AJ10" s="313"/>
      <c r="AK10" s="313"/>
      <c r="AL10" s="313"/>
      <c r="AM10" s="313"/>
      <c r="AN10" s="313"/>
      <c r="AO10" s="313"/>
      <c r="AP10" s="313"/>
      <c r="AQ10" s="313"/>
      <c r="AR10" s="313"/>
      <c r="AS10" s="313"/>
      <c r="AT10" s="314"/>
      <c r="AU10" s="211" t="s">
        <v>240</v>
      </c>
      <c r="AV10" s="313"/>
      <c r="AW10" s="313"/>
      <c r="AX10" s="313"/>
      <c r="AY10" s="313"/>
      <c r="AZ10" s="313"/>
      <c r="BA10" s="313"/>
      <c r="BB10" s="313"/>
      <c r="BC10" s="313"/>
      <c r="BD10" s="313"/>
      <c r="BE10" s="313"/>
      <c r="BF10" s="320"/>
    </row>
    <row r="11" spans="2:58" ht="13" customHeight="1" x14ac:dyDescent="0.4">
      <c r="B11" s="293"/>
      <c r="C11" s="294"/>
      <c r="D11" s="294"/>
      <c r="E11" s="294"/>
      <c r="F11" s="294"/>
      <c r="G11" s="294"/>
      <c r="H11" s="294"/>
      <c r="I11" s="294"/>
      <c r="J11" s="294"/>
      <c r="K11" s="294"/>
      <c r="L11" s="295"/>
      <c r="M11" s="301"/>
      <c r="N11" s="294"/>
      <c r="O11" s="294"/>
      <c r="P11" s="294"/>
      <c r="Q11" s="294"/>
      <c r="R11" s="294"/>
      <c r="S11" s="294"/>
      <c r="T11" s="294"/>
      <c r="U11" s="294"/>
      <c r="V11" s="294"/>
      <c r="W11" s="295"/>
      <c r="X11" s="301"/>
      <c r="Y11" s="294"/>
      <c r="Z11" s="294"/>
      <c r="AA11" s="294"/>
      <c r="AB11" s="294"/>
      <c r="AC11" s="294"/>
      <c r="AD11" s="294"/>
      <c r="AE11" s="294"/>
      <c r="AF11" s="294"/>
      <c r="AG11" s="294"/>
      <c r="AH11" s="295"/>
      <c r="AI11" s="301"/>
      <c r="AJ11" s="294"/>
      <c r="AK11" s="294"/>
      <c r="AL11" s="294"/>
      <c r="AM11" s="294"/>
      <c r="AN11" s="294"/>
      <c r="AO11" s="294"/>
      <c r="AP11" s="294"/>
      <c r="AQ11" s="294"/>
      <c r="AR11" s="294"/>
      <c r="AS11" s="294"/>
      <c r="AT11" s="295"/>
      <c r="AU11" s="310"/>
      <c r="AV11" s="294"/>
      <c r="AW11" s="294"/>
      <c r="AX11" s="294"/>
      <c r="AY11" s="294"/>
      <c r="AZ11" s="294"/>
      <c r="BA11" s="294"/>
      <c r="BB11" s="294"/>
      <c r="BC11" s="294"/>
      <c r="BD11" s="294"/>
      <c r="BE11" s="294"/>
      <c r="BF11" s="307"/>
    </row>
    <row r="12" spans="2:58" ht="13" customHeight="1" x14ac:dyDescent="0.4">
      <c r="B12" s="296"/>
      <c r="C12" s="297"/>
      <c r="D12" s="297"/>
      <c r="E12" s="297"/>
      <c r="F12" s="297"/>
      <c r="G12" s="297"/>
      <c r="H12" s="297"/>
      <c r="I12" s="297"/>
      <c r="J12" s="297"/>
      <c r="K12" s="297"/>
      <c r="L12" s="298"/>
      <c r="M12" s="302"/>
      <c r="N12" s="297"/>
      <c r="O12" s="297"/>
      <c r="P12" s="297"/>
      <c r="Q12" s="297"/>
      <c r="R12" s="297"/>
      <c r="S12" s="297"/>
      <c r="T12" s="297"/>
      <c r="U12" s="297"/>
      <c r="V12" s="297"/>
      <c r="W12" s="298"/>
      <c r="X12" s="302"/>
      <c r="Y12" s="297"/>
      <c r="Z12" s="297"/>
      <c r="AA12" s="297"/>
      <c r="AB12" s="297"/>
      <c r="AC12" s="297"/>
      <c r="AD12" s="297"/>
      <c r="AE12" s="297"/>
      <c r="AF12" s="297"/>
      <c r="AG12" s="297"/>
      <c r="AH12" s="298"/>
      <c r="AI12" s="302"/>
      <c r="AJ12" s="297"/>
      <c r="AK12" s="297"/>
      <c r="AL12" s="297"/>
      <c r="AM12" s="297"/>
      <c r="AN12" s="297"/>
      <c r="AO12" s="297"/>
      <c r="AP12" s="297"/>
      <c r="AQ12" s="297"/>
      <c r="AR12" s="297"/>
      <c r="AS12" s="297"/>
      <c r="AT12" s="298"/>
      <c r="AU12" s="302"/>
      <c r="AV12" s="297"/>
      <c r="AW12" s="297"/>
      <c r="AX12" s="297"/>
      <c r="AY12" s="297"/>
      <c r="AZ12" s="297"/>
      <c r="BA12" s="297"/>
      <c r="BB12" s="297"/>
      <c r="BC12" s="297"/>
      <c r="BD12" s="297"/>
      <c r="BE12" s="297"/>
      <c r="BF12" s="308"/>
    </row>
    <row r="13" spans="2:58" ht="13" customHeight="1" x14ac:dyDescent="0.4">
      <c r="B13" s="296"/>
      <c r="C13" s="297"/>
      <c r="D13" s="297"/>
      <c r="E13" s="297"/>
      <c r="F13" s="297"/>
      <c r="G13" s="297"/>
      <c r="H13" s="297"/>
      <c r="I13" s="297"/>
      <c r="J13" s="297"/>
      <c r="K13" s="297"/>
      <c r="L13" s="298"/>
      <c r="M13" s="302"/>
      <c r="N13" s="297"/>
      <c r="O13" s="297"/>
      <c r="P13" s="297"/>
      <c r="Q13" s="297"/>
      <c r="R13" s="297"/>
      <c r="S13" s="297"/>
      <c r="T13" s="297"/>
      <c r="U13" s="297"/>
      <c r="V13" s="297"/>
      <c r="W13" s="298"/>
      <c r="X13" s="302"/>
      <c r="Y13" s="297"/>
      <c r="Z13" s="297"/>
      <c r="AA13" s="297"/>
      <c r="AB13" s="297"/>
      <c r="AC13" s="297"/>
      <c r="AD13" s="297"/>
      <c r="AE13" s="297"/>
      <c r="AF13" s="297"/>
      <c r="AG13" s="297"/>
      <c r="AH13" s="298"/>
      <c r="AI13" s="302"/>
      <c r="AJ13" s="297"/>
      <c r="AK13" s="297"/>
      <c r="AL13" s="297"/>
      <c r="AM13" s="297"/>
      <c r="AN13" s="297"/>
      <c r="AO13" s="297"/>
      <c r="AP13" s="297"/>
      <c r="AQ13" s="297"/>
      <c r="AR13" s="297"/>
      <c r="AS13" s="297"/>
      <c r="AT13" s="298"/>
      <c r="AU13" s="302"/>
      <c r="AV13" s="297"/>
      <c r="AW13" s="297"/>
      <c r="AX13" s="297"/>
      <c r="AY13" s="297"/>
      <c r="AZ13" s="297"/>
      <c r="BA13" s="297"/>
      <c r="BB13" s="297"/>
      <c r="BC13" s="297"/>
      <c r="BD13" s="297"/>
      <c r="BE13" s="297"/>
      <c r="BF13" s="308"/>
    </row>
    <row r="14" spans="2:58" ht="13" customHeight="1" x14ac:dyDescent="0.4">
      <c r="B14" s="296"/>
      <c r="C14" s="297"/>
      <c r="D14" s="297"/>
      <c r="E14" s="297"/>
      <c r="F14" s="297"/>
      <c r="G14" s="297"/>
      <c r="H14" s="297"/>
      <c r="I14" s="297"/>
      <c r="J14" s="297"/>
      <c r="K14" s="297"/>
      <c r="L14" s="298"/>
      <c r="M14" s="302"/>
      <c r="N14" s="297"/>
      <c r="O14" s="297"/>
      <c r="P14" s="297"/>
      <c r="Q14" s="297"/>
      <c r="R14" s="297"/>
      <c r="S14" s="297"/>
      <c r="T14" s="297"/>
      <c r="U14" s="297"/>
      <c r="V14" s="297"/>
      <c r="W14" s="298"/>
      <c r="X14" s="302"/>
      <c r="Y14" s="297"/>
      <c r="Z14" s="297"/>
      <c r="AA14" s="297"/>
      <c r="AB14" s="297"/>
      <c r="AC14" s="297"/>
      <c r="AD14" s="297"/>
      <c r="AE14" s="297"/>
      <c r="AF14" s="297"/>
      <c r="AG14" s="297"/>
      <c r="AH14" s="298"/>
      <c r="AI14" s="302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8"/>
      <c r="AU14" s="302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308"/>
    </row>
    <row r="15" spans="2:58" ht="13" customHeight="1" x14ac:dyDescent="0.4">
      <c r="B15" s="296"/>
      <c r="C15" s="297"/>
      <c r="D15" s="297"/>
      <c r="E15" s="297"/>
      <c r="F15" s="297"/>
      <c r="G15" s="297"/>
      <c r="H15" s="297"/>
      <c r="I15" s="297"/>
      <c r="J15" s="297"/>
      <c r="K15" s="297"/>
      <c r="L15" s="298"/>
      <c r="M15" s="302"/>
      <c r="N15" s="297"/>
      <c r="O15" s="297"/>
      <c r="P15" s="297"/>
      <c r="Q15" s="297"/>
      <c r="R15" s="297"/>
      <c r="S15" s="297"/>
      <c r="T15" s="297"/>
      <c r="U15" s="297"/>
      <c r="V15" s="297"/>
      <c r="W15" s="298"/>
      <c r="X15" s="302"/>
      <c r="Y15" s="297"/>
      <c r="Z15" s="297"/>
      <c r="AA15" s="297"/>
      <c r="AB15" s="297"/>
      <c r="AC15" s="297"/>
      <c r="AD15" s="297"/>
      <c r="AE15" s="297"/>
      <c r="AF15" s="297"/>
      <c r="AG15" s="297"/>
      <c r="AH15" s="298"/>
      <c r="AI15" s="302"/>
      <c r="AJ15" s="297"/>
      <c r="AK15" s="297"/>
      <c r="AL15" s="297"/>
      <c r="AM15" s="297"/>
      <c r="AN15" s="297"/>
      <c r="AO15" s="297"/>
      <c r="AP15" s="297"/>
      <c r="AQ15" s="297"/>
      <c r="AR15" s="297"/>
      <c r="AS15" s="297"/>
      <c r="AT15" s="298"/>
      <c r="AU15" s="302"/>
      <c r="AV15" s="297"/>
      <c r="AW15" s="297"/>
      <c r="AX15" s="297"/>
      <c r="AY15" s="297"/>
      <c r="AZ15" s="297"/>
      <c r="BA15" s="297"/>
      <c r="BB15" s="297"/>
      <c r="BC15" s="297"/>
      <c r="BD15" s="297"/>
      <c r="BE15" s="297"/>
      <c r="BF15" s="308"/>
    </row>
    <row r="16" spans="2:58" ht="13" customHeight="1" x14ac:dyDescent="0.4">
      <c r="B16" s="296"/>
      <c r="C16" s="297"/>
      <c r="D16" s="297"/>
      <c r="E16" s="297"/>
      <c r="F16" s="297"/>
      <c r="G16" s="297"/>
      <c r="H16" s="297"/>
      <c r="I16" s="297"/>
      <c r="J16" s="297"/>
      <c r="K16" s="297"/>
      <c r="L16" s="298"/>
      <c r="M16" s="302"/>
      <c r="N16" s="297"/>
      <c r="O16" s="297"/>
      <c r="P16" s="297"/>
      <c r="Q16" s="297"/>
      <c r="R16" s="297"/>
      <c r="S16" s="297"/>
      <c r="T16" s="297"/>
      <c r="U16" s="297"/>
      <c r="V16" s="297"/>
      <c r="W16" s="298"/>
      <c r="X16" s="302"/>
      <c r="Y16" s="297"/>
      <c r="Z16" s="297"/>
      <c r="AA16" s="297"/>
      <c r="AB16" s="297"/>
      <c r="AC16" s="297"/>
      <c r="AD16" s="297"/>
      <c r="AE16" s="297"/>
      <c r="AF16" s="297"/>
      <c r="AG16" s="297"/>
      <c r="AH16" s="298"/>
      <c r="AI16" s="302"/>
      <c r="AJ16" s="297"/>
      <c r="AK16" s="297"/>
      <c r="AL16" s="297"/>
      <c r="AM16" s="297"/>
      <c r="AN16" s="297"/>
      <c r="AO16" s="297"/>
      <c r="AP16" s="297"/>
      <c r="AQ16" s="297"/>
      <c r="AR16" s="297"/>
      <c r="AS16" s="297"/>
      <c r="AT16" s="298"/>
      <c r="AU16" s="302"/>
      <c r="AV16" s="297"/>
      <c r="AW16" s="297"/>
      <c r="AX16" s="297"/>
      <c r="AY16" s="297"/>
      <c r="AZ16" s="297"/>
      <c r="BA16" s="297"/>
      <c r="BB16" s="297"/>
      <c r="BC16" s="297"/>
      <c r="BD16" s="297"/>
      <c r="BE16" s="297"/>
      <c r="BF16" s="308"/>
    </row>
    <row r="17" spans="2:58" ht="13" customHeight="1" x14ac:dyDescent="0.4">
      <c r="B17" s="299"/>
      <c r="C17" s="300"/>
      <c r="D17" s="300"/>
      <c r="E17" s="300"/>
      <c r="F17" s="300"/>
      <c r="G17" s="300"/>
      <c r="H17" s="300"/>
      <c r="I17" s="300"/>
      <c r="J17" s="300"/>
      <c r="K17" s="300"/>
      <c r="L17" s="269"/>
      <c r="M17" s="303"/>
      <c r="N17" s="300"/>
      <c r="O17" s="300"/>
      <c r="P17" s="300"/>
      <c r="Q17" s="300"/>
      <c r="R17" s="300"/>
      <c r="S17" s="300"/>
      <c r="T17" s="300"/>
      <c r="U17" s="300"/>
      <c r="V17" s="300"/>
      <c r="W17" s="269"/>
      <c r="X17" s="303"/>
      <c r="Y17" s="300"/>
      <c r="Z17" s="300"/>
      <c r="AA17" s="300"/>
      <c r="AB17" s="300"/>
      <c r="AC17" s="300"/>
      <c r="AD17" s="300"/>
      <c r="AE17" s="300"/>
      <c r="AF17" s="300"/>
      <c r="AG17" s="300"/>
      <c r="AH17" s="269"/>
      <c r="AI17" s="303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269"/>
      <c r="AU17" s="303"/>
      <c r="AV17" s="300"/>
      <c r="AW17" s="300"/>
      <c r="AX17" s="300"/>
      <c r="AY17" s="300"/>
      <c r="AZ17" s="300"/>
      <c r="BA17" s="300"/>
      <c r="BB17" s="300"/>
      <c r="BC17" s="300"/>
      <c r="BD17" s="300"/>
      <c r="BE17" s="300"/>
      <c r="BF17" s="309"/>
    </row>
    <row r="18" spans="2:58" ht="13" customHeight="1" x14ac:dyDescent="0.4">
      <c r="B18" s="315" t="s">
        <v>241</v>
      </c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6" t="s">
        <v>242</v>
      </c>
      <c r="N18" s="313"/>
      <c r="O18" s="313"/>
      <c r="P18" s="313"/>
      <c r="Q18" s="313"/>
      <c r="R18" s="313"/>
      <c r="S18" s="313"/>
      <c r="T18" s="313"/>
      <c r="U18" s="313"/>
      <c r="V18" s="313"/>
      <c r="W18" s="314"/>
      <c r="X18" s="312" t="s">
        <v>243</v>
      </c>
      <c r="Y18" s="313"/>
      <c r="Z18" s="313"/>
      <c r="AA18" s="313"/>
      <c r="AB18" s="313"/>
      <c r="AC18" s="313"/>
      <c r="AD18" s="313"/>
      <c r="AE18" s="313"/>
      <c r="AF18" s="313"/>
      <c r="AG18" s="313"/>
      <c r="AH18" s="314"/>
      <c r="AI18" s="209" t="s">
        <v>244</v>
      </c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4"/>
      <c r="AU18" s="211" t="s">
        <v>245</v>
      </c>
      <c r="AV18" s="313"/>
      <c r="AW18" s="313"/>
      <c r="AX18" s="313"/>
      <c r="AY18" s="313"/>
      <c r="AZ18" s="313"/>
      <c r="BA18" s="313"/>
      <c r="BB18" s="313"/>
      <c r="BC18" s="313"/>
      <c r="BD18" s="313"/>
      <c r="BE18" s="313"/>
      <c r="BF18" s="320"/>
    </row>
    <row r="19" spans="2:58" ht="13" customHeight="1" x14ac:dyDescent="0.4">
      <c r="B19" s="293"/>
      <c r="C19" s="294"/>
      <c r="D19" s="294"/>
      <c r="E19" s="294"/>
      <c r="F19" s="294"/>
      <c r="G19" s="294"/>
      <c r="H19" s="294"/>
      <c r="I19" s="294"/>
      <c r="J19" s="294"/>
      <c r="K19" s="294"/>
      <c r="L19" s="295"/>
      <c r="M19" s="311"/>
      <c r="N19" s="294"/>
      <c r="O19" s="294"/>
      <c r="P19" s="294"/>
      <c r="Q19" s="294"/>
      <c r="R19" s="294"/>
      <c r="S19" s="294"/>
      <c r="T19" s="294"/>
      <c r="U19" s="294"/>
      <c r="V19" s="294"/>
      <c r="W19" s="295"/>
      <c r="X19" s="332"/>
      <c r="Y19" s="294"/>
      <c r="Z19" s="294"/>
      <c r="AA19" s="294"/>
      <c r="AB19" s="294"/>
      <c r="AC19" s="294"/>
      <c r="AD19" s="294"/>
      <c r="AE19" s="294"/>
      <c r="AF19" s="294"/>
      <c r="AG19" s="294"/>
      <c r="AH19" s="295"/>
      <c r="AI19" s="305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95"/>
      <c r="AU19" s="310"/>
      <c r="AV19" s="294"/>
      <c r="AW19" s="294"/>
      <c r="AX19" s="294"/>
      <c r="AY19" s="294"/>
      <c r="AZ19" s="294"/>
      <c r="BA19" s="294"/>
      <c r="BB19" s="294"/>
      <c r="BC19" s="294"/>
      <c r="BD19" s="294"/>
      <c r="BE19" s="294"/>
      <c r="BF19" s="307"/>
    </row>
    <row r="20" spans="2:58" ht="13" customHeight="1" x14ac:dyDescent="0.4">
      <c r="B20" s="296"/>
      <c r="C20" s="297"/>
      <c r="D20" s="297"/>
      <c r="E20" s="297"/>
      <c r="F20" s="297"/>
      <c r="G20" s="297"/>
      <c r="H20" s="297"/>
      <c r="I20" s="297"/>
      <c r="J20" s="297"/>
      <c r="K20" s="297"/>
      <c r="L20" s="298"/>
      <c r="M20" s="302"/>
      <c r="N20" s="297"/>
      <c r="O20" s="297"/>
      <c r="P20" s="297"/>
      <c r="Q20" s="297"/>
      <c r="R20" s="297"/>
      <c r="S20" s="297"/>
      <c r="T20" s="297"/>
      <c r="U20" s="297"/>
      <c r="V20" s="297"/>
      <c r="W20" s="298"/>
      <c r="X20" s="302"/>
      <c r="Y20" s="297"/>
      <c r="Z20" s="297"/>
      <c r="AA20" s="297"/>
      <c r="AB20" s="297"/>
      <c r="AC20" s="297"/>
      <c r="AD20" s="297"/>
      <c r="AE20" s="297"/>
      <c r="AF20" s="297"/>
      <c r="AG20" s="297"/>
      <c r="AH20" s="298"/>
      <c r="AI20" s="302"/>
      <c r="AJ20" s="297"/>
      <c r="AK20" s="297"/>
      <c r="AL20" s="297"/>
      <c r="AM20" s="297"/>
      <c r="AN20" s="297"/>
      <c r="AO20" s="297"/>
      <c r="AP20" s="297"/>
      <c r="AQ20" s="297"/>
      <c r="AR20" s="297"/>
      <c r="AS20" s="297"/>
      <c r="AT20" s="298"/>
      <c r="AU20" s="302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308"/>
    </row>
    <row r="21" spans="2:58" ht="13" customHeight="1" x14ac:dyDescent="0.4">
      <c r="B21" s="296"/>
      <c r="C21" s="297"/>
      <c r="D21" s="297"/>
      <c r="E21" s="297"/>
      <c r="F21" s="297"/>
      <c r="G21" s="297"/>
      <c r="H21" s="297"/>
      <c r="I21" s="297"/>
      <c r="J21" s="297"/>
      <c r="K21" s="297"/>
      <c r="L21" s="298"/>
      <c r="M21" s="302"/>
      <c r="N21" s="297"/>
      <c r="O21" s="297"/>
      <c r="P21" s="297"/>
      <c r="Q21" s="297"/>
      <c r="R21" s="297"/>
      <c r="S21" s="297"/>
      <c r="T21" s="297"/>
      <c r="U21" s="297"/>
      <c r="V21" s="297"/>
      <c r="W21" s="298"/>
      <c r="X21" s="302"/>
      <c r="Y21" s="297"/>
      <c r="Z21" s="297"/>
      <c r="AA21" s="297"/>
      <c r="AB21" s="297"/>
      <c r="AC21" s="297"/>
      <c r="AD21" s="297"/>
      <c r="AE21" s="297"/>
      <c r="AF21" s="297"/>
      <c r="AG21" s="297"/>
      <c r="AH21" s="298"/>
      <c r="AI21" s="302"/>
      <c r="AJ21" s="297"/>
      <c r="AK21" s="297"/>
      <c r="AL21" s="297"/>
      <c r="AM21" s="297"/>
      <c r="AN21" s="297"/>
      <c r="AO21" s="297"/>
      <c r="AP21" s="297"/>
      <c r="AQ21" s="297"/>
      <c r="AR21" s="297"/>
      <c r="AS21" s="297"/>
      <c r="AT21" s="298"/>
      <c r="AU21" s="302"/>
      <c r="AV21" s="297"/>
      <c r="AW21" s="297"/>
      <c r="AX21" s="297"/>
      <c r="AY21" s="297"/>
      <c r="AZ21" s="297"/>
      <c r="BA21" s="297"/>
      <c r="BB21" s="297"/>
      <c r="BC21" s="297"/>
      <c r="BD21" s="297"/>
      <c r="BE21" s="297"/>
      <c r="BF21" s="308"/>
    </row>
    <row r="22" spans="2:58" ht="13" customHeight="1" x14ac:dyDescent="0.4">
      <c r="B22" s="296"/>
      <c r="C22" s="297"/>
      <c r="D22" s="297"/>
      <c r="E22" s="297"/>
      <c r="F22" s="297"/>
      <c r="G22" s="297"/>
      <c r="H22" s="297"/>
      <c r="I22" s="297"/>
      <c r="J22" s="297"/>
      <c r="K22" s="297"/>
      <c r="L22" s="298"/>
      <c r="M22" s="302"/>
      <c r="N22" s="297"/>
      <c r="O22" s="297"/>
      <c r="P22" s="297"/>
      <c r="Q22" s="297"/>
      <c r="R22" s="297"/>
      <c r="S22" s="297"/>
      <c r="T22" s="297"/>
      <c r="U22" s="297"/>
      <c r="V22" s="297"/>
      <c r="W22" s="298"/>
      <c r="X22" s="302"/>
      <c r="Y22" s="297"/>
      <c r="Z22" s="297"/>
      <c r="AA22" s="297"/>
      <c r="AB22" s="297"/>
      <c r="AC22" s="297"/>
      <c r="AD22" s="297"/>
      <c r="AE22" s="297"/>
      <c r="AF22" s="297"/>
      <c r="AG22" s="297"/>
      <c r="AH22" s="298"/>
      <c r="AI22" s="302"/>
      <c r="AJ22" s="297"/>
      <c r="AK22" s="297"/>
      <c r="AL22" s="297"/>
      <c r="AM22" s="297"/>
      <c r="AN22" s="297"/>
      <c r="AO22" s="297"/>
      <c r="AP22" s="297"/>
      <c r="AQ22" s="297"/>
      <c r="AR22" s="297"/>
      <c r="AS22" s="297"/>
      <c r="AT22" s="298"/>
      <c r="AU22" s="302"/>
      <c r="AV22" s="297"/>
      <c r="AW22" s="297"/>
      <c r="AX22" s="297"/>
      <c r="AY22" s="297"/>
      <c r="AZ22" s="297"/>
      <c r="BA22" s="297"/>
      <c r="BB22" s="297"/>
      <c r="BC22" s="297"/>
      <c r="BD22" s="297"/>
      <c r="BE22" s="297"/>
      <c r="BF22" s="308"/>
    </row>
    <row r="23" spans="2:58" ht="13" customHeight="1" x14ac:dyDescent="0.4">
      <c r="B23" s="296"/>
      <c r="C23" s="297"/>
      <c r="D23" s="297"/>
      <c r="E23" s="297"/>
      <c r="F23" s="297"/>
      <c r="G23" s="297"/>
      <c r="H23" s="297"/>
      <c r="I23" s="297"/>
      <c r="J23" s="297"/>
      <c r="K23" s="297"/>
      <c r="L23" s="298"/>
      <c r="M23" s="302"/>
      <c r="N23" s="297"/>
      <c r="O23" s="297"/>
      <c r="P23" s="297"/>
      <c r="Q23" s="297"/>
      <c r="R23" s="297"/>
      <c r="S23" s="297"/>
      <c r="T23" s="297"/>
      <c r="U23" s="297"/>
      <c r="V23" s="297"/>
      <c r="W23" s="298"/>
      <c r="X23" s="302"/>
      <c r="Y23" s="297"/>
      <c r="Z23" s="297"/>
      <c r="AA23" s="297"/>
      <c r="AB23" s="297"/>
      <c r="AC23" s="297"/>
      <c r="AD23" s="297"/>
      <c r="AE23" s="297"/>
      <c r="AF23" s="297"/>
      <c r="AG23" s="297"/>
      <c r="AH23" s="298"/>
      <c r="AI23" s="302"/>
      <c r="AJ23" s="297"/>
      <c r="AK23" s="297"/>
      <c r="AL23" s="297"/>
      <c r="AM23" s="297"/>
      <c r="AN23" s="297"/>
      <c r="AO23" s="297"/>
      <c r="AP23" s="297"/>
      <c r="AQ23" s="297"/>
      <c r="AR23" s="297"/>
      <c r="AS23" s="297"/>
      <c r="AT23" s="298"/>
      <c r="AU23" s="302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308"/>
    </row>
    <row r="24" spans="2:58" ht="13" customHeight="1" x14ac:dyDescent="0.4">
      <c r="B24" s="299"/>
      <c r="C24" s="300"/>
      <c r="D24" s="300"/>
      <c r="E24" s="300"/>
      <c r="F24" s="300"/>
      <c r="G24" s="300"/>
      <c r="H24" s="300"/>
      <c r="I24" s="300"/>
      <c r="J24" s="300"/>
      <c r="K24" s="300"/>
      <c r="L24" s="269"/>
      <c r="M24" s="303"/>
      <c r="N24" s="300"/>
      <c r="O24" s="300"/>
      <c r="P24" s="300"/>
      <c r="Q24" s="300"/>
      <c r="R24" s="300"/>
      <c r="S24" s="300"/>
      <c r="T24" s="300"/>
      <c r="U24" s="300"/>
      <c r="V24" s="300"/>
      <c r="W24" s="269"/>
      <c r="X24" s="303"/>
      <c r="Y24" s="300"/>
      <c r="Z24" s="300"/>
      <c r="AA24" s="300"/>
      <c r="AB24" s="300"/>
      <c r="AC24" s="300"/>
      <c r="AD24" s="300"/>
      <c r="AE24" s="300"/>
      <c r="AF24" s="300"/>
      <c r="AG24" s="300"/>
      <c r="AH24" s="269"/>
      <c r="AI24" s="303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269"/>
      <c r="AU24" s="303"/>
      <c r="AV24" s="300"/>
      <c r="AW24" s="300"/>
      <c r="AX24" s="300"/>
      <c r="AY24" s="300"/>
      <c r="AZ24" s="300"/>
      <c r="BA24" s="300"/>
      <c r="BB24" s="300"/>
      <c r="BC24" s="300"/>
      <c r="BD24" s="300"/>
      <c r="BE24" s="300"/>
      <c r="BF24" s="309"/>
    </row>
    <row r="25" spans="2:58" ht="13" customHeight="1" x14ac:dyDescent="0.4">
      <c r="B25" s="315" t="s">
        <v>246</v>
      </c>
      <c r="C25" s="313"/>
      <c r="D25" s="313"/>
      <c r="E25" s="313"/>
      <c r="F25" s="313"/>
      <c r="G25" s="313"/>
      <c r="H25" s="313"/>
      <c r="I25" s="313"/>
      <c r="J25" s="313"/>
      <c r="K25" s="313"/>
      <c r="L25" s="314"/>
      <c r="M25" s="226" t="s">
        <v>247</v>
      </c>
      <c r="N25" s="313"/>
      <c r="O25" s="313"/>
      <c r="P25" s="313"/>
      <c r="Q25" s="313"/>
      <c r="R25" s="313"/>
      <c r="S25" s="313"/>
      <c r="T25" s="313"/>
      <c r="U25" s="313"/>
      <c r="V25" s="313"/>
      <c r="W25" s="314"/>
      <c r="X25" s="319" t="s">
        <v>248</v>
      </c>
      <c r="Y25" s="313"/>
      <c r="Z25" s="313"/>
      <c r="AA25" s="313"/>
      <c r="AB25" s="313"/>
      <c r="AC25" s="313"/>
      <c r="AD25" s="313"/>
      <c r="AE25" s="313"/>
      <c r="AF25" s="313"/>
      <c r="AG25" s="313"/>
      <c r="AH25" s="314"/>
      <c r="AI25" s="211" t="s">
        <v>249</v>
      </c>
      <c r="AJ25" s="313"/>
      <c r="AK25" s="313"/>
      <c r="AL25" s="313"/>
      <c r="AM25" s="313"/>
      <c r="AN25" s="313"/>
      <c r="AO25" s="313"/>
      <c r="AP25" s="313"/>
      <c r="AQ25" s="313"/>
      <c r="AR25" s="313"/>
      <c r="AS25" s="313"/>
      <c r="AT25" s="314"/>
      <c r="AU25" s="211" t="s">
        <v>250</v>
      </c>
      <c r="AV25" s="313"/>
      <c r="AW25" s="313"/>
      <c r="AX25" s="313"/>
      <c r="AY25" s="313"/>
      <c r="AZ25" s="313"/>
      <c r="BA25" s="313"/>
      <c r="BB25" s="313"/>
      <c r="BC25" s="313"/>
      <c r="BD25" s="313"/>
      <c r="BE25" s="313"/>
      <c r="BF25" s="320"/>
    </row>
    <row r="26" spans="2:58" ht="13" customHeight="1" x14ac:dyDescent="0.4">
      <c r="B26" s="293"/>
      <c r="C26" s="294"/>
      <c r="D26" s="294"/>
      <c r="E26" s="294"/>
      <c r="F26" s="294"/>
      <c r="G26" s="294"/>
      <c r="H26" s="294"/>
      <c r="I26" s="294"/>
      <c r="J26" s="294"/>
      <c r="K26" s="294"/>
      <c r="L26" s="295"/>
      <c r="M26" s="317"/>
      <c r="N26" s="294"/>
      <c r="O26" s="294"/>
      <c r="P26" s="294"/>
      <c r="Q26" s="294"/>
      <c r="R26" s="294"/>
      <c r="S26" s="294"/>
      <c r="T26" s="294"/>
      <c r="U26" s="294"/>
      <c r="V26" s="294"/>
      <c r="W26" s="295"/>
      <c r="X26" s="304"/>
      <c r="Y26" s="294"/>
      <c r="Z26" s="294"/>
      <c r="AA26" s="294"/>
      <c r="AB26" s="294"/>
      <c r="AC26" s="294"/>
      <c r="AD26" s="294"/>
      <c r="AE26" s="294"/>
      <c r="AF26" s="294"/>
      <c r="AG26" s="294"/>
      <c r="AH26" s="295"/>
      <c r="AI26" s="310"/>
      <c r="AJ26" s="294"/>
      <c r="AK26" s="294"/>
      <c r="AL26" s="294"/>
      <c r="AM26" s="294"/>
      <c r="AN26" s="294"/>
      <c r="AO26" s="294"/>
      <c r="AP26" s="294"/>
      <c r="AQ26" s="294"/>
      <c r="AR26" s="294"/>
      <c r="AS26" s="294"/>
      <c r="AT26" s="295"/>
      <c r="AU26" s="310"/>
      <c r="AV26" s="294"/>
      <c r="AW26" s="294"/>
      <c r="AX26" s="294"/>
      <c r="AY26" s="294"/>
      <c r="AZ26" s="294"/>
      <c r="BA26" s="294"/>
      <c r="BB26" s="294"/>
      <c r="BC26" s="294"/>
      <c r="BD26" s="294"/>
      <c r="BE26" s="294"/>
      <c r="BF26" s="307"/>
    </row>
    <row r="27" spans="2:58" ht="13" customHeight="1" x14ac:dyDescent="0.4">
      <c r="B27" s="296"/>
      <c r="C27" s="297"/>
      <c r="D27" s="297"/>
      <c r="E27" s="297"/>
      <c r="F27" s="297"/>
      <c r="G27" s="297"/>
      <c r="H27" s="297"/>
      <c r="I27" s="297"/>
      <c r="J27" s="297"/>
      <c r="K27" s="297"/>
      <c r="L27" s="298"/>
      <c r="M27" s="302"/>
      <c r="N27" s="297"/>
      <c r="O27" s="297"/>
      <c r="P27" s="297"/>
      <c r="Q27" s="297"/>
      <c r="R27" s="297"/>
      <c r="S27" s="297"/>
      <c r="T27" s="297"/>
      <c r="U27" s="297"/>
      <c r="V27" s="297"/>
      <c r="W27" s="298"/>
      <c r="X27" s="302"/>
      <c r="Y27" s="297"/>
      <c r="Z27" s="297"/>
      <c r="AA27" s="297"/>
      <c r="AB27" s="297"/>
      <c r="AC27" s="297"/>
      <c r="AD27" s="297"/>
      <c r="AE27" s="297"/>
      <c r="AF27" s="297"/>
      <c r="AG27" s="297"/>
      <c r="AH27" s="298"/>
      <c r="AI27" s="302"/>
      <c r="AJ27" s="297"/>
      <c r="AK27" s="297"/>
      <c r="AL27" s="297"/>
      <c r="AM27" s="297"/>
      <c r="AN27" s="297"/>
      <c r="AO27" s="297"/>
      <c r="AP27" s="297"/>
      <c r="AQ27" s="297"/>
      <c r="AR27" s="297"/>
      <c r="AS27" s="297"/>
      <c r="AT27" s="298"/>
      <c r="AU27" s="302"/>
      <c r="AV27" s="297"/>
      <c r="AW27" s="297"/>
      <c r="AX27" s="297"/>
      <c r="AY27" s="297"/>
      <c r="AZ27" s="297"/>
      <c r="BA27" s="297"/>
      <c r="BB27" s="297"/>
      <c r="BC27" s="297"/>
      <c r="BD27" s="297"/>
      <c r="BE27" s="297"/>
      <c r="BF27" s="308"/>
    </row>
    <row r="28" spans="2:58" ht="13" customHeight="1" x14ac:dyDescent="0.4">
      <c r="B28" s="296"/>
      <c r="C28" s="297"/>
      <c r="D28" s="297"/>
      <c r="E28" s="297"/>
      <c r="F28" s="297"/>
      <c r="G28" s="297"/>
      <c r="H28" s="297"/>
      <c r="I28" s="297"/>
      <c r="J28" s="297"/>
      <c r="K28" s="297"/>
      <c r="L28" s="298"/>
      <c r="M28" s="302"/>
      <c r="N28" s="297"/>
      <c r="O28" s="297"/>
      <c r="P28" s="297"/>
      <c r="Q28" s="297"/>
      <c r="R28" s="297"/>
      <c r="S28" s="297"/>
      <c r="T28" s="297"/>
      <c r="U28" s="297"/>
      <c r="V28" s="297"/>
      <c r="W28" s="298"/>
      <c r="X28" s="302"/>
      <c r="Y28" s="297"/>
      <c r="Z28" s="297"/>
      <c r="AA28" s="297"/>
      <c r="AB28" s="297"/>
      <c r="AC28" s="297"/>
      <c r="AD28" s="297"/>
      <c r="AE28" s="297"/>
      <c r="AF28" s="297"/>
      <c r="AG28" s="297"/>
      <c r="AH28" s="298"/>
      <c r="AI28" s="302"/>
      <c r="AJ28" s="297"/>
      <c r="AK28" s="297"/>
      <c r="AL28" s="297"/>
      <c r="AM28" s="297"/>
      <c r="AN28" s="297"/>
      <c r="AO28" s="297"/>
      <c r="AP28" s="297"/>
      <c r="AQ28" s="297"/>
      <c r="AR28" s="297"/>
      <c r="AS28" s="297"/>
      <c r="AT28" s="298"/>
      <c r="AU28" s="302"/>
      <c r="AV28" s="297"/>
      <c r="AW28" s="297"/>
      <c r="AX28" s="297"/>
      <c r="AY28" s="297"/>
      <c r="AZ28" s="297"/>
      <c r="BA28" s="297"/>
      <c r="BB28" s="297"/>
      <c r="BC28" s="297"/>
      <c r="BD28" s="297"/>
      <c r="BE28" s="297"/>
      <c r="BF28" s="308"/>
    </row>
    <row r="29" spans="2:58" ht="13" customHeight="1" x14ac:dyDescent="0.4">
      <c r="B29" s="296"/>
      <c r="C29" s="297"/>
      <c r="D29" s="297"/>
      <c r="E29" s="297"/>
      <c r="F29" s="297"/>
      <c r="G29" s="297"/>
      <c r="H29" s="297"/>
      <c r="I29" s="297"/>
      <c r="J29" s="297"/>
      <c r="K29" s="297"/>
      <c r="L29" s="298"/>
      <c r="M29" s="302"/>
      <c r="N29" s="297"/>
      <c r="O29" s="297"/>
      <c r="P29" s="297"/>
      <c r="Q29" s="297"/>
      <c r="R29" s="297"/>
      <c r="S29" s="297"/>
      <c r="T29" s="297"/>
      <c r="U29" s="297"/>
      <c r="V29" s="297"/>
      <c r="W29" s="298"/>
      <c r="X29" s="302"/>
      <c r="Y29" s="297"/>
      <c r="Z29" s="297"/>
      <c r="AA29" s="297"/>
      <c r="AB29" s="297"/>
      <c r="AC29" s="297"/>
      <c r="AD29" s="297"/>
      <c r="AE29" s="297"/>
      <c r="AF29" s="297"/>
      <c r="AG29" s="297"/>
      <c r="AH29" s="298"/>
      <c r="AI29" s="302"/>
      <c r="AJ29" s="297"/>
      <c r="AK29" s="297"/>
      <c r="AL29" s="297"/>
      <c r="AM29" s="297"/>
      <c r="AN29" s="297"/>
      <c r="AO29" s="297"/>
      <c r="AP29" s="297"/>
      <c r="AQ29" s="297"/>
      <c r="AR29" s="297"/>
      <c r="AS29" s="297"/>
      <c r="AT29" s="298"/>
      <c r="AU29" s="302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308"/>
    </row>
    <row r="30" spans="2:58" ht="13" customHeight="1" x14ac:dyDescent="0.4">
      <c r="B30" s="296"/>
      <c r="C30" s="297"/>
      <c r="D30" s="297"/>
      <c r="E30" s="297"/>
      <c r="F30" s="297"/>
      <c r="G30" s="297"/>
      <c r="H30" s="297"/>
      <c r="I30" s="297"/>
      <c r="J30" s="297"/>
      <c r="K30" s="297"/>
      <c r="L30" s="298"/>
      <c r="M30" s="302"/>
      <c r="N30" s="297"/>
      <c r="O30" s="297"/>
      <c r="P30" s="297"/>
      <c r="Q30" s="297"/>
      <c r="R30" s="297"/>
      <c r="S30" s="297"/>
      <c r="T30" s="297"/>
      <c r="U30" s="297"/>
      <c r="V30" s="297"/>
      <c r="W30" s="298"/>
      <c r="X30" s="302"/>
      <c r="Y30" s="297"/>
      <c r="Z30" s="297"/>
      <c r="AA30" s="297"/>
      <c r="AB30" s="297"/>
      <c r="AC30" s="297"/>
      <c r="AD30" s="297"/>
      <c r="AE30" s="297"/>
      <c r="AF30" s="297"/>
      <c r="AG30" s="297"/>
      <c r="AH30" s="298"/>
      <c r="AI30" s="302"/>
      <c r="AJ30" s="297"/>
      <c r="AK30" s="297"/>
      <c r="AL30" s="297"/>
      <c r="AM30" s="297"/>
      <c r="AN30" s="297"/>
      <c r="AO30" s="297"/>
      <c r="AP30" s="297"/>
      <c r="AQ30" s="297"/>
      <c r="AR30" s="297"/>
      <c r="AS30" s="297"/>
      <c r="AT30" s="298"/>
      <c r="AU30" s="302"/>
      <c r="AV30" s="297"/>
      <c r="AW30" s="297"/>
      <c r="AX30" s="297"/>
      <c r="AY30" s="297"/>
      <c r="AZ30" s="297"/>
      <c r="BA30" s="297"/>
      <c r="BB30" s="297"/>
      <c r="BC30" s="297"/>
      <c r="BD30" s="297"/>
      <c r="BE30" s="297"/>
      <c r="BF30" s="308"/>
    </row>
    <row r="31" spans="2:58" ht="13" customHeight="1" x14ac:dyDescent="0.4">
      <c r="B31" s="299"/>
      <c r="C31" s="300"/>
      <c r="D31" s="300"/>
      <c r="E31" s="300"/>
      <c r="F31" s="300"/>
      <c r="G31" s="300"/>
      <c r="H31" s="300"/>
      <c r="I31" s="300"/>
      <c r="J31" s="300"/>
      <c r="K31" s="300"/>
      <c r="L31" s="269"/>
      <c r="M31" s="303"/>
      <c r="N31" s="300"/>
      <c r="O31" s="300"/>
      <c r="P31" s="300"/>
      <c r="Q31" s="300"/>
      <c r="R31" s="300"/>
      <c r="S31" s="300"/>
      <c r="T31" s="300"/>
      <c r="U31" s="300"/>
      <c r="V31" s="300"/>
      <c r="W31" s="269"/>
      <c r="X31" s="303"/>
      <c r="Y31" s="300"/>
      <c r="Z31" s="300"/>
      <c r="AA31" s="300"/>
      <c r="AB31" s="300"/>
      <c r="AC31" s="300"/>
      <c r="AD31" s="300"/>
      <c r="AE31" s="300"/>
      <c r="AF31" s="300"/>
      <c r="AG31" s="300"/>
      <c r="AH31" s="269"/>
      <c r="AI31" s="303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269"/>
      <c r="AU31" s="303"/>
      <c r="AV31" s="300"/>
      <c r="AW31" s="300"/>
      <c r="AX31" s="300"/>
      <c r="AY31" s="300"/>
      <c r="AZ31" s="300"/>
      <c r="BA31" s="300"/>
      <c r="BB31" s="300"/>
      <c r="BC31" s="300"/>
      <c r="BD31" s="300"/>
      <c r="BE31" s="300"/>
      <c r="BF31" s="309"/>
    </row>
    <row r="32" spans="2:58" ht="13" customHeight="1" x14ac:dyDescent="0.4">
      <c r="B32" s="315" t="s">
        <v>251</v>
      </c>
      <c r="C32" s="313"/>
      <c r="D32" s="313"/>
      <c r="E32" s="313"/>
      <c r="F32" s="313"/>
      <c r="G32" s="313"/>
      <c r="H32" s="313"/>
      <c r="I32" s="313"/>
      <c r="J32" s="313"/>
      <c r="K32" s="313"/>
      <c r="L32" s="314"/>
      <c r="M32" s="318" t="s">
        <v>252</v>
      </c>
      <c r="N32" s="313"/>
      <c r="O32" s="313"/>
      <c r="P32" s="313"/>
      <c r="Q32" s="313"/>
      <c r="R32" s="313"/>
      <c r="S32" s="313"/>
      <c r="T32" s="313"/>
      <c r="U32" s="313"/>
      <c r="V32" s="313"/>
      <c r="W32" s="314"/>
      <c r="X32" s="319" t="s">
        <v>253</v>
      </c>
      <c r="Y32" s="313"/>
      <c r="Z32" s="313"/>
      <c r="AA32" s="313"/>
      <c r="AB32" s="313"/>
      <c r="AC32" s="313"/>
      <c r="AD32" s="313"/>
      <c r="AE32" s="313"/>
      <c r="AF32" s="313"/>
      <c r="AG32" s="313"/>
      <c r="AH32" s="314"/>
      <c r="AI32" s="211" t="s">
        <v>254</v>
      </c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4"/>
      <c r="AU32" s="211" t="s">
        <v>255</v>
      </c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20"/>
    </row>
    <row r="33" spans="2:58" ht="13" customHeight="1" x14ac:dyDescent="0.4">
      <c r="B33" s="293"/>
      <c r="C33" s="294"/>
      <c r="D33" s="294"/>
      <c r="E33" s="294"/>
      <c r="F33" s="294"/>
      <c r="G33" s="294"/>
      <c r="H33" s="294"/>
      <c r="I33" s="294"/>
      <c r="J33" s="294"/>
      <c r="K33" s="294"/>
      <c r="L33" s="295"/>
      <c r="M33" s="301"/>
      <c r="N33" s="294"/>
      <c r="O33" s="294"/>
      <c r="P33" s="294"/>
      <c r="Q33" s="294"/>
      <c r="R33" s="294"/>
      <c r="S33" s="294"/>
      <c r="T33" s="294"/>
      <c r="U33" s="294"/>
      <c r="V33" s="294"/>
      <c r="W33" s="295"/>
      <c r="X33" s="304"/>
      <c r="Y33" s="294"/>
      <c r="Z33" s="294"/>
      <c r="AA33" s="294"/>
      <c r="AB33" s="294"/>
      <c r="AC33" s="294"/>
      <c r="AD33" s="294"/>
      <c r="AE33" s="294"/>
      <c r="AF33" s="294"/>
      <c r="AG33" s="294"/>
      <c r="AH33" s="295"/>
      <c r="AI33" s="310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5"/>
      <c r="AU33" s="310"/>
      <c r="AV33" s="294"/>
      <c r="AW33" s="294"/>
      <c r="AX33" s="294"/>
      <c r="AY33" s="294"/>
      <c r="AZ33" s="294"/>
      <c r="BA33" s="294"/>
      <c r="BB33" s="294"/>
      <c r="BC33" s="294"/>
      <c r="BD33" s="294"/>
      <c r="BE33" s="294"/>
      <c r="BF33" s="307"/>
    </row>
    <row r="34" spans="2:58" ht="13" customHeight="1" x14ac:dyDescent="0.4">
      <c r="B34" s="296"/>
      <c r="C34" s="297"/>
      <c r="D34" s="297"/>
      <c r="E34" s="297"/>
      <c r="F34" s="297"/>
      <c r="G34" s="297"/>
      <c r="H34" s="297"/>
      <c r="I34" s="297"/>
      <c r="J34" s="297"/>
      <c r="K34" s="297"/>
      <c r="L34" s="298"/>
      <c r="M34" s="302"/>
      <c r="N34" s="297"/>
      <c r="O34" s="297"/>
      <c r="P34" s="297"/>
      <c r="Q34" s="297"/>
      <c r="R34" s="297"/>
      <c r="S34" s="297"/>
      <c r="T34" s="297"/>
      <c r="U34" s="297"/>
      <c r="V34" s="297"/>
      <c r="W34" s="298"/>
      <c r="X34" s="302"/>
      <c r="Y34" s="297"/>
      <c r="Z34" s="297"/>
      <c r="AA34" s="297"/>
      <c r="AB34" s="297"/>
      <c r="AC34" s="297"/>
      <c r="AD34" s="297"/>
      <c r="AE34" s="297"/>
      <c r="AF34" s="297"/>
      <c r="AG34" s="297"/>
      <c r="AH34" s="298"/>
      <c r="AI34" s="302"/>
      <c r="AJ34" s="297"/>
      <c r="AK34" s="297"/>
      <c r="AL34" s="297"/>
      <c r="AM34" s="297"/>
      <c r="AN34" s="297"/>
      <c r="AO34" s="297"/>
      <c r="AP34" s="297"/>
      <c r="AQ34" s="297"/>
      <c r="AR34" s="297"/>
      <c r="AS34" s="297"/>
      <c r="AT34" s="298"/>
      <c r="AU34" s="302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308"/>
    </row>
    <row r="35" spans="2:58" ht="13" customHeight="1" x14ac:dyDescent="0.4">
      <c r="B35" s="296"/>
      <c r="C35" s="297"/>
      <c r="D35" s="297"/>
      <c r="E35" s="297"/>
      <c r="F35" s="297"/>
      <c r="G35" s="297"/>
      <c r="H35" s="297"/>
      <c r="I35" s="297"/>
      <c r="J35" s="297"/>
      <c r="K35" s="297"/>
      <c r="L35" s="298"/>
      <c r="M35" s="302"/>
      <c r="N35" s="297"/>
      <c r="O35" s="297"/>
      <c r="P35" s="297"/>
      <c r="Q35" s="297"/>
      <c r="R35" s="297"/>
      <c r="S35" s="297"/>
      <c r="T35" s="297"/>
      <c r="U35" s="297"/>
      <c r="V35" s="297"/>
      <c r="W35" s="298"/>
      <c r="X35" s="302"/>
      <c r="Y35" s="297"/>
      <c r="Z35" s="297"/>
      <c r="AA35" s="297"/>
      <c r="AB35" s="297"/>
      <c r="AC35" s="297"/>
      <c r="AD35" s="297"/>
      <c r="AE35" s="297"/>
      <c r="AF35" s="297"/>
      <c r="AG35" s="297"/>
      <c r="AH35" s="298"/>
      <c r="AI35" s="302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8"/>
      <c r="AU35" s="302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308"/>
    </row>
    <row r="36" spans="2:58" ht="13" customHeight="1" x14ac:dyDescent="0.4">
      <c r="B36" s="296"/>
      <c r="C36" s="297"/>
      <c r="D36" s="297"/>
      <c r="E36" s="297"/>
      <c r="F36" s="297"/>
      <c r="G36" s="297"/>
      <c r="H36" s="297"/>
      <c r="I36" s="297"/>
      <c r="J36" s="297"/>
      <c r="K36" s="297"/>
      <c r="L36" s="298"/>
      <c r="M36" s="302"/>
      <c r="N36" s="297"/>
      <c r="O36" s="297"/>
      <c r="P36" s="297"/>
      <c r="Q36" s="297"/>
      <c r="R36" s="297"/>
      <c r="S36" s="297"/>
      <c r="T36" s="297"/>
      <c r="U36" s="297"/>
      <c r="V36" s="297"/>
      <c r="W36" s="298"/>
      <c r="X36" s="302"/>
      <c r="Y36" s="297"/>
      <c r="Z36" s="297"/>
      <c r="AA36" s="297"/>
      <c r="AB36" s="297"/>
      <c r="AC36" s="297"/>
      <c r="AD36" s="297"/>
      <c r="AE36" s="297"/>
      <c r="AF36" s="297"/>
      <c r="AG36" s="297"/>
      <c r="AH36" s="298"/>
      <c r="AI36" s="302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8"/>
      <c r="AU36" s="302"/>
      <c r="AV36" s="297"/>
      <c r="AW36" s="297"/>
      <c r="AX36" s="297"/>
      <c r="AY36" s="297"/>
      <c r="AZ36" s="297"/>
      <c r="BA36" s="297"/>
      <c r="BB36" s="297"/>
      <c r="BC36" s="297"/>
      <c r="BD36" s="297"/>
      <c r="BE36" s="297"/>
      <c r="BF36" s="308"/>
    </row>
    <row r="37" spans="2:58" ht="13" customHeight="1" x14ac:dyDescent="0.4">
      <c r="B37" s="296"/>
      <c r="C37" s="297"/>
      <c r="D37" s="297"/>
      <c r="E37" s="297"/>
      <c r="F37" s="297"/>
      <c r="G37" s="297"/>
      <c r="H37" s="297"/>
      <c r="I37" s="297"/>
      <c r="J37" s="297"/>
      <c r="K37" s="297"/>
      <c r="L37" s="298"/>
      <c r="M37" s="302"/>
      <c r="N37" s="297"/>
      <c r="O37" s="297"/>
      <c r="P37" s="297"/>
      <c r="Q37" s="297"/>
      <c r="R37" s="297"/>
      <c r="S37" s="297"/>
      <c r="T37" s="297"/>
      <c r="U37" s="297"/>
      <c r="V37" s="297"/>
      <c r="W37" s="298"/>
      <c r="X37" s="302"/>
      <c r="Y37" s="297"/>
      <c r="Z37" s="297"/>
      <c r="AA37" s="297"/>
      <c r="AB37" s="297"/>
      <c r="AC37" s="297"/>
      <c r="AD37" s="297"/>
      <c r="AE37" s="297"/>
      <c r="AF37" s="297"/>
      <c r="AG37" s="297"/>
      <c r="AH37" s="298"/>
      <c r="AI37" s="302"/>
      <c r="AJ37" s="297"/>
      <c r="AK37" s="297"/>
      <c r="AL37" s="297"/>
      <c r="AM37" s="297"/>
      <c r="AN37" s="297"/>
      <c r="AO37" s="297"/>
      <c r="AP37" s="297"/>
      <c r="AQ37" s="297"/>
      <c r="AR37" s="297"/>
      <c r="AS37" s="297"/>
      <c r="AT37" s="298"/>
      <c r="AU37" s="302"/>
      <c r="AV37" s="297"/>
      <c r="AW37" s="297"/>
      <c r="AX37" s="297"/>
      <c r="AY37" s="297"/>
      <c r="AZ37" s="297"/>
      <c r="BA37" s="297"/>
      <c r="BB37" s="297"/>
      <c r="BC37" s="297"/>
      <c r="BD37" s="297"/>
      <c r="BE37" s="297"/>
      <c r="BF37" s="308"/>
    </row>
    <row r="38" spans="2:58" ht="13" customHeight="1" x14ac:dyDescent="0.4">
      <c r="B38" s="299"/>
      <c r="C38" s="300"/>
      <c r="D38" s="300"/>
      <c r="E38" s="300"/>
      <c r="F38" s="300"/>
      <c r="G38" s="300"/>
      <c r="H38" s="300"/>
      <c r="I38" s="300"/>
      <c r="J38" s="300"/>
      <c r="K38" s="300"/>
      <c r="L38" s="269"/>
      <c r="M38" s="303"/>
      <c r="N38" s="300"/>
      <c r="O38" s="300"/>
      <c r="P38" s="300"/>
      <c r="Q38" s="300"/>
      <c r="R38" s="300"/>
      <c r="S38" s="300"/>
      <c r="T38" s="300"/>
      <c r="U38" s="300"/>
      <c r="V38" s="300"/>
      <c r="W38" s="269"/>
      <c r="X38" s="303"/>
      <c r="Y38" s="300"/>
      <c r="Z38" s="300"/>
      <c r="AA38" s="300"/>
      <c r="AB38" s="300"/>
      <c r="AC38" s="300"/>
      <c r="AD38" s="300"/>
      <c r="AE38" s="300"/>
      <c r="AF38" s="300"/>
      <c r="AG38" s="300"/>
      <c r="AH38" s="269"/>
      <c r="AI38" s="303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269"/>
      <c r="AU38" s="303"/>
      <c r="AV38" s="300"/>
      <c r="AW38" s="300"/>
      <c r="AX38" s="300"/>
      <c r="AY38" s="300"/>
      <c r="AZ38" s="300"/>
      <c r="BA38" s="300"/>
      <c r="BB38" s="300"/>
      <c r="BC38" s="300"/>
      <c r="BD38" s="300"/>
      <c r="BE38" s="300"/>
      <c r="BF38" s="309"/>
    </row>
    <row r="39" spans="2:58" ht="13" customHeight="1" x14ac:dyDescent="0.4">
      <c r="B39" s="315" t="s">
        <v>256</v>
      </c>
      <c r="C39" s="313"/>
      <c r="D39" s="313"/>
      <c r="E39" s="313"/>
      <c r="F39" s="313"/>
      <c r="G39" s="313"/>
      <c r="H39" s="313"/>
      <c r="I39" s="313"/>
      <c r="J39" s="313"/>
      <c r="K39" s="313"/>
      <c r="L39" s="314"/>
      <c r="M39" s="318" t="s">
        <v>257</v>
      </c>
      <c r="N39" s="313"/>
      <c r="O39" s="313"/>
      <c r="P39" s="313"/>
      <c r="Q39" s="313"/>
      <c r="R39" s="313"/>
      <c r="S39" s="313"/>
      <c r="T39" s="313"/>
      <c r="U39" s="313"/>
      <c r="V39" s="313"/>
      <c r="W39" s="314"/>
      <c r="X39" s="319" t="s">
        <v>258</v>
      </c>
      <c r="Y39" s="313"/>
      <c r="Z39" s="313"/>
      <c r="AA39" s="313"/>
      <c r="AB39" s="313"/>
      <c r="AC39" s="313"/>
      <c r="AD39" s="313"/>
      <c r="AE39" s="313"/>
      <c r="AF39" s="313"/>
      <c r="AG39" s="313"/>
      <c r="AH39" s="314"/>
      <c r="AI39" s="211" t="s">
        <v>259</v>
      </c>
      <c r="AJ39" s="313"/>
      <c r="AK39" s="313"/>
      <c r="AL39" s="313"/>
      <c r="AM39" s="313"/>
      <c r="AN39" s="313"/>
      <c r="AO39" s="313"/>
      <c r="AP39" s="313"/>
      <c r="AQ39" s="313"/>
      <c r="AR39" s="313"/>
      <c r="AS39" s="313"/>
      <c r="AT39" s="314"/>
      <c r="AU39" s="211" t="s">
        <v>260</v>
      </c>
      <c r="AV39" s="313"/>
      <c r="AW39" s="313"/>
      <c r="AX39" s="313"/>
      <c r="AY39" s="313"/>
      <c r="AZ39" s="313"/>
      <c r="BA39" s="313"/>
      <c r="BB39" s="313"/>
      <c r="BC39" s="313"/>
      <c r="BD39" s="313"/>
      <c r="BE39" s="313"/>
      <c r="BF39" s="320"/>
    </row>
    <row r="40" spans="2:58" ht="13" customHeight="1" x14ac:dyDescent="0.4">
      <c r="B40" s="293"/>
      <c r="C40" s="294"/>
      <c r="D40" s="294"/>
      <c r="E40" s="294"/>
      <c r="F40" s="294"/>
      <c r="G40" s="294"/>
      <c r="H40" s="294"/>
      <c r="I40" s="294"/>
      <c r="J40" s="294"/>
      <c r="K40" s="294"/>
      <c r="L40" s="295"/>
      <c r="M40" s="301"/>
      <c r="N40" s="294"/>
      <c r="O40" s="294"/>
      <c r="P40" s="294"/>
      <c r="Q40" s="294"/>
      <c r="R40" s="294"/>
      <c r="S40" s="294"/>
      <c r="T40" s="294"/>
      <c r="U40" s="294"/>
      <c r="V40" s="294"/>
      <c r="W40" s="295"/>
      <c r="X40" s="304"/>
      <c r="Y40" s="294"/>
      <c r="Z40" s="294"/>
      <c r="AA40" s="294"/>
      <c r="AB40" s="294"/>
      <c r="AC40" s="294"/>
      <c r="AD40" s="294"/>
      <c r="AE40" s="294"/>
      <c r="AF40" s="294"/>
      <c r="AG40" s="294"/>
      <c r="AH40" s="295"/>
      <c r="AI40" s="310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5"/>
      <c r="AU40" s="310"/>
      <c r="AV40" s="294"/>
      <c r="AW40" s="294"/>
      <c r="AX40" s="294"/>
      <c r="AY40" s="294"/>
      <c r="AZ40" s="294"/>
      <c r="BA40" s="294"/>
      <c r="BB40" s="294"/>
      <c r="BC40" s="294"/>
      <c r="BD40" s="294"/>
      <c r="BE40" s="294"/>
      <c r="BF40" s="307"/>
    </row>
    <row r="41" spans="2:58" ht="13" customHeight="1" x14ac:dyDescent="0.4">
      <c r="B41" s="296"/>
      <c r="C41" s="297"/>
      <c r="D41" s="297"/>
      <c r="E41" s="297"/>
      <c r="F41" s="297"/>
      <c r="G41" s="297"/>
      <c r="H41" s="297"/>
      <c r="I41" s="297"/>
      <c r="J41" s="297"/>
      <c r="K41" s="297"/>
      <c r="L41" s="298"/>
      <c r="M41" s="302"/>
      <c r="N41" s="297"/>
      <c r="O41" s="297"/>
      <c r="P41" s="297"/>
      <c r="Q41" s="297"/>
      <c r="R41" s="297"/>
      <c r="S41" s="297"/>
      <c r="T41" s="297"/>
      <c r="U41" s="297"/>
      <c r="V41" s="297"/>
      <c r="W41" s="298"/>
      <c r="X41" s="302"/>
      <c r="Y41" s="297"/>
      <c r="Z41" s="297"/>
      <c r="AA41" s="297"/>
      <c r="AB41" s="297"/>
      <c r="AC41" s="297"/>
      <c r="AD41" s="297"/>
      <c r="AE41" s="297"/>
      <c r="AF41" s="297"/>
      <c r="AG41" s="297"/>
      <c r="AH41" s="298"/>
      <c r="AI41" s="302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8"/>
      <c r="AU41" s="302"/>
      <c r="AV41" s="297"/>
      <c r="AW41" s="297"/>
      <c r="AX41" s="297"/>
      <c r="AY41" s="297"/>
      <c r="AZ41" s="297"/>
      <c r="BA41" s="297"/>
      <c r="BB41" s="297"/>
      <c r="BC41" s="297"/>
      <c r="BD41" s="297"/>
      <c r="BE41" s="297"/>
      <c r="BF41" s="308"/>
    </row>
    <row r="42" spans="2:58" ht="13" customHeight="1" x14ac:dyDescent="0.4">
      <c r="B42" s="296"/>
      <c r="C42" s="297"/>
      <c r="D42" s="297"/>
      <c r="E42" s="297"/>
      <c r="F42" s="297"/>
      <c r="G42" s="297"/>
      <c r="H42" s="297"/>
      <c r="I42" s="297"/>
      <c r="J42" s="297"/>
      <c r="K42" s="297"/>
      <c r="L42" s="298"/>
      <c r="M42" s="302"/>
      <c r="N42" s="297"/>
      <c r="O42" s="297"/>
      <c r="P42" s="297"/>
      <c r="Q42" s="297"/>
      <c r="R42" s="297"/>
      <c r="S42" s="297"/>
      <c r="T42" s="297"/>
      <c r="U42" s="297"/>
      <c r="V42" s="297"/>
      <c r="W42" s="298"/>
      <c r="X42" s="302"/>
      <c r="Y42" s="297"/>
      <c r="Z42" s="297"/>
      <c r="AA42" s="297"/>
      <c r="AB42" s="297"/>
      <c r="AC42" s="297"/>
      <c r="AD42" s="297"/>
      <c r="AE42" s="297"/>
      <c r="AF42" s="297"/>
      <c r="AG42" s="297"/>
      <c r="AH42" s="298"/>
      <c r="AI42" s="302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8"/>
      <c r="AU42" s="302"/>
      <c r="AV42" s="297"/>
      <c r="AW42" s="297"/>
      <c r="AX42" s="297"/>
      <c r="AY42" s="297"/>
      <c r="AZ42" s="297"/>
      <c r="BA42" s="297"/>
      <c r="BB42" s="297"/>
      <c r="BC42" s="297"/>
      <c r="BD42" s="297"/>
      <c r="BE42" s="297"/>
      <c r="BF42" s="308"/>
    </row>
    <row r="43" spans="2:58" ht="13" customHeight="1" x14ac:dyDescent="0.4">
      <c r="B43" s="296"/>
      <c r="C43" s="297"/>
      <c r="D43" s="297"/>
      <c r="E43" s="297"/>
      <c r="F43" s="297"/>
      <c r="G43" s="297"/>
      <c r="H43" s="297"/>
      <c r="I43" s="297"/>
      <c r="J43" s="297"/>
      <c r="K43" s="297"/>
      <c r="L43" s="298"/>
      <c r="M43" s="302"/>
      <c r="N43" s="297"/>
      <c r="O43" s="297"/>
      <c r="P43" s="297"/>
      <c r="Q43" s="297"/>
      <c r="R43" s="297"/>
      <c r="S43" s="297"/>
      <c r="T43" s="297"/>
      <c r="U43" s="297"/>
      <c r="V43" s="297"/>
      <c r="W43" s="298"/>
      <c r="X43" s="302"/>
      <c r="Y43" s="297"/>
      <c r="Z43" s="297"/>
      <c r="AA43" s="297"/>
      <c r="AB43" s="297"/>
      <c r="AC43" s="297"/>
      <c r="AD43" s="297"/>
      <c r="AE43" s="297"/>
      <c r="AF43" s="297"/>
      <c r="AG43" s="297"/>
      <c r="AH43" s="298"/>
      <c r="AI43" s="302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8"/>
      <c r="AU43" s="302"/>
      <c r="AV43" s="297"/>
      <c r="AW43" s="297"/>
      <c r="AX43" s="297"/>
      <c r="AY43" s="297"/>
      <c r="AZ43" s="297"/>
      <c r="BA43" s="297"/>
      <c r="BB43" s="297"/>
      <c r="BC43" s="297"/>
      <c r="BD43" s="297"/>
      <c r="BE43" s="297"/>
      <c r="BF43" s="308"/>
    </row>
    <row r="44" spans="2:58" ht="13" customHeight="1" x14ac:dyDescent="0.4">
      <c r="B44" s="296"/>
      <c r="C44" s="297"/>
      <c r="D44" s="297"/>
      <c r="E44" s="297"/>
      <c r="F44" s="297"/>
      <c r="G44" s="297"/>
      <c r="H44" s="297"/>
      <c r="I44" s="297"/>
      <c r="J44" s="297"/>
      <c r="K44" s="297"/>
      <c r="L44" s="298"/>
      <c r="M44" s="302"/>
      <c r="N44" s="297"/>
      <c r="O44" s="297"/>
      <c r="P44" s="297"/>
      <c r="Q44" s="297"/>
      <c r="R44" s="297"/>
      <c r="S44" s="297"/>
      <c r="T44" s="297"/>
      <c r="U44" s="297"/>
      <c r="V44" s="297"/>
      <c r="W44" s="298"/>
      <c r="X44" s="302"/>
      <c r="Y44" s="297"/>
      <c r="Z44" s="297"/>
      <c r="AA44" s="297"/>
      <c r="AB44" s="297"/>
      <c r="AC44" s="297"/>
      <c r="AD44" s="297"/>
      <c r="AE44" s="297"/>
      <c r="AF44" s="297"/>
      <c r="AG44" s="297"/>
      <c r="AH44" s="298"/>
      <c r="AI44" s="302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8"/>
      <c r="AU44" s="302"/>
      <c r="AV44" s="297"/>
      <c r="AW44" s="297"/>
      <c r="AX44" s="297"/>
      <c r="AY44" s="297"/>
      <c r="AZ44" s="297"/>
      <c r="BA44" s="297"/>
      <c r="BB44" s="297"/>
      <c r="BC44" s="297"/>
      <c r="BD44" s="297"/>
      <c r="BE44" s="297"/>
      <c r="BF44" s="308"/>
    </row>
    <row r="45" spans="2:58" ht="13" customHeight="1" x14ac:dyDescent="0.4">
      <c r="B45" s="299"/>
      <c r="C45" s="300"/>
      <c r="D45" s="300"/>
      <c r="E45" s="300"/>
      <c r="F45" s="300"/>
      <c r="G45" s="300"/>
      <c r="H45" s="300"/>
      <c r="I45" s="300"/>
      <c r="J45" s="300"/>
      <c r="K45" s="300"/>
      <c r="L45" s="269"/>
      <c r="M45" s="303"/>
      <c r="N45" s="300"/>
      <c r="O45" s="300"/>
      <c r="P45" s="300"/>
      <c r="Q45" s="300"/>
      <c r="R45" s="300"/>
      <c r="S45" s="300"/>
      <c r="T45" s="300"/>
      <c r="U45" s="300"/>
      <c r="V45" s="300"/>
      <c r="W45" s="269"/>
      <c r="X45" s="303"/>
      <c r="Y45" s="300"/>
      <c r="Z45" s="300"/>
      <c r="AA45" s="300"/>
      <c r="AB45" s="300"/>
      <c r="AC45" s="300"/>
      <c r="AD45" s="300"/>
      <c r="AE45" s="300"/>
      <c r="AF45" s="300"/>
      <c r="AG45" s="300"/>
      <c r="AH45" s="269"/>
      <c r="AI45" s="303"/>
      <c r="AJ45" s="300"/>
      <c r="AK45" s="300"/>
      <c r="AL45" s="300"/>
      <c r="AM45" s="300"/>
      <c r="AN45" s="300"/>
      <c r="AO45" s="300"/>
      <c r="AP45" s="300"/>
      <c r="AQ45" s="300"/>
      <c r="AR45" s="300"/>
      <c r="AS45" s="300"/>
      <c r="AT45" s="269"/>
      <c r="AU45" s="303"/>
      <c r="AV45" s="300"/>
      <c r="AW45" s="300"/>
      <c r="AX45" s="300"/>
      <c r="AY45" s="300"/>
      <c r="AZ45" s="300"/>
      <c r="BA45" s="300"/>
      <c r="BB45" s="300"/>
      <c r="BC45" s="300"/>
      <c r="BD45" s="300"/>
      <c r="BE45" s="300"/>
      <c r="BF45" s="309"/>
    </row>
    <row r="46" spans="2:58" ht="13" customHeight="1" x14ac:dyDescent="0.4">
      <c r="B46" s="315" t="s">
        <v>261</v>
      </c>
      <c r="C46" s="313"/>
      <c r="D46" s="313"/>
      <c r="E46" s="313"/>
      <c r="F46" s="313"/>
      <c r="G46" s="313"/>
      <c r="H46" s="313"/>
      <c r="I46" s="313"/>
      <c r="J46" s="313"/>
      <c r="K46" s="313"/>
      <c r="L46" s="314"/>
      <c r="M46" s="226" t="s">
        <v>262</v>
      </c>
      <c r="N46" s="313"/>
      <c r="O46" s="313"/>
      <c r="P46" s="313"/>
      <c r="Q46" s="313"/>
      <c r="R46" s="313"/>
      <c r="S46" s="313"/>
      <c r="T46" s="313"/>
      <c r="U46" s="313"/>
      <c r="V46" s="313"/>
      <c r="W46" s="314"/>
      <c r="X46" s="319" t="s">
        <v>263</v>
      </c>
      <c r="Y46" s="313"/>
      <c r="Z46" s="313"/>
      <c r="AA46" s="313"/>
      <c r="AB46" s="313"/>
      <c r="AC46" s="313"/>
      <c r="AD46" s="313"/>
      <c r="AE46" s="313"/>
      <c r="AF46" s="313"/>
      <c r="AG46" s="313"/>
      <c r="AH46" s="314"/>
      <c r="AI46" s="211" t="s">
        <v>264</v>
      </c>
      <c r="AJ46" s="313"/>
      <c r="AK46" s="313"/>
      <c r="AL46" s="313"/>
      <c r="AM46" s="313"/>
      <c r="AN46" s="313"/>
      <c r="AO46" s="313"/>
      <c r="AP46" s="313"/>
      <c r="AQ46" s="313"/>
      <c r="AR46" s="313"/>
      <c r="AS46" s="313"/>
      <c r="AT46" s="314"/>
      <c r="AU46" s="211" t="s">
        <v>265</v>
      </c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20"/>
    </row>
    <row r="47" spans="2:58" ht="13" customHeight="1" x14ac:dyDescent="0.4">
      <c r="B47" s="293"/>
      <c r="C47" s="294"/>
      <c r="D47" s="294"/>
      <c r="E47" s="294"/>
      <c r="F47" s="294"/>
      <c r="G47" s="294"/>
      <c r="H47" s="294"/>
      <c r="I47" s="294"/>
      <c r="J47" s="294"/>
      <c r="K47" s="294"/>
      <c r="L47" s="295"/>
      <c r="M47" s="301"/>
      <c r="N47" s="294"/>
      <c r="O47" s="294"/>
      <c r="P47" s="294"/>
      <c r="Q47" s="294"/>
      <c r="R47" s="294"/>
      <c r="S47" s="294"/>
      <c r="T47" s="294"/>
      <c r="U47" s="294"/>
      <c r="V47" s="294"/>
      <c r="W47" s="295"/>
      <c r="X47" s="304"/>
      <c r="Y47" s="294"/>
      <c r="Z47" s="294"/>
      <c r="AA47" s="294"/>
      <c r="AB47" s="294"/>
      <c r="AC47" s="294"/>
      <c r="AD47" s="294"/>
      <c r="AE47" s="294"/>
      <c r="AF47" s="294"/>
      <c r="AG47" s="294"/>
      <c r="AH47" s="295"/>
      <c r="AI47" s="310"/>
      <c r="AJ47" s="294"/>
      <c r="AK47" s="294"/>
      <c r="AL47" s="294"/>
      <c r="AM47" s="294"/>
      <c r="AN47" s="294"/>
      <c r="AO47" s="294"/>
      <c r="AP47" s="294"/>
      <c r="AQ47" s="294"/>
      <c r="AR47" s="294"/>
      <c r="AS47" s="294"/>
      <c r="AT47" s="295"/>
      <c r="AU47" s="310"/>
      <c r="AV47" s="294"/>
      <c r="AW47" s="294"/>
      <c r="AX47" s="294"/>
      <c r="AY47" s="294"/>
      <c r="AZ47" s="294"/>
      <c r="BA47" s="294"/>
      <c r="BB47" s="294"/>
      <c r="BC47" s="294"/>
      <c r="BD47" s="294"/>
      <c r="BE47" s="294"/>
      <c r="BF47" s="307"/>
    </row>
    <row r="48" spans="2:58" ht="13" customHeight="1" x14ac:dyDescent="0.4">
      <c r="B48" s="296"/>
      <c r="C48" s="297"/>
      <c r="D48" s="297"/>
      <c r="E48" s="297"/>
      <c r="F48" s="297"/>
      <c r="G48" s="297"/>
      <c r="H48" s="297"/>
      <c r="I48" s="297"/>
      <c r="J48" s="297"/>
      <c r="K48" s="297"/>
      <c r="L48" s="298"/>
      <c r="M48" s="302"/>
      <c r="N48" s="297"/>
      <c r="O48" s="297"/>
      <c r="P48" s="297"/>
      <c r="Q48" s="297"/>
      <c r="R48" s="297"/>
      <c r="S48" s="297"/>
      <c r="T48" s="297"/>
      <c r="U48" s="297"/>
      <c r="V48" s="297"/>
      <c r="W48" s="298"/>
      <c r="X48" s="302"/>
      <c r="Y48" s="297"/>
      <c r="Z48" s="297"/>
      <c r="AA48" s="297"/>
      <c r="AB48" s="297"/>
      <c r="AC48" s="297"/>
      <c r="AD48" s="297"/>
      <c r="AE48" s="297"/>
      <c r="AF48" s="297"/>
      <c r="AG48" s="297"/>
      <c r="AH48" s="298"/>
      <c r="AI48" s="302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8"/>
      <c r="AU48" s="302"/>
      <c r="AV48" s="297"/>
      <c r="AW48" s="297"/>
      <c r="AX48" s="297"/>
      <c r="AY48" s="297"/>
      <c r="AZ48" s="297"/>
      <c r="BA48" s="297"/>
      <c r="BB48" s="297"/>
      <c r="BC48" s="297"/>
      <c r="BD48" s="297"/>
      <c r="BE48" s="297"/>
      <c r="BF48" s="308"/>
    </row>
    <row r="49" spans="2:58" ht="13" customHeight="1" x14ac:dyDescent="0.4">
      <c r="B49" s="296"/>
      <c r="C49" s="297"/>
      <c r="D49" s="297"/>
      <c r="E49" s="297"/>
      <c r="F49" s="297"/>
      <c r="G49" s="297"/>
      <c r="H49" s="297"/>
      <c r="I49" s="297"/>
      <c r="J49" s="297"/>
      <c r="K49" s="297"/>
      <c r="L49" s="298"/>
      <c r="M49" s="302"/>
      <c r="N49" s="297"/>
      <c r="O49" s="297"/>
      <c r="P49" s="297"/>
      <c r="Q49" s="297"/>
      <c r="R49" s="297"/>
      <c r="S49" s="297"/>
      <c r="T49" s="297"/>
      <c r="U49" s="297"/>
      <c r="V49" s="297"/>
      <c r="W49" s="298"/>
      <c r="X49" s="302"/>
      <c r="Y49" s="297"/>
      <c r="Z49" s="297"/>
      <c r="AA49" s="297"/>
      <c r="AB49" s="297"/>
      <c r="AC49" s="297"/>
      <c r="AD49" s="297"/>
      <c r="AE49" s="297"/>
      <c r="AF49" s="297"/>
      <c r="AG49" s="297"/>
      <c r="AH49" s="298"/>
      <c r="AI49" s="302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8"/>
      <c r="AU49" s="302"/>
      <c r="AV49" s="297"/>
      <c r="AW49" s="297"/>
      <c r="AX49" s="297"/>
      <c r="AY49" s="297"/>
      <c r="AZ49" s="297"/>
      <c r="BA49" s="297"/>
      <c r="BB49" s="297"/>
      <c r="BC49" s="297"/>
      <c r="BD49" s="297"/>
      <c r="BE49" s="297"/>
      <c r="BF49" s="308"/>
    </row>
    <row r="50" spans="2:58" ht="13" customHeight="1" x14ac:dyDescent="0.4">
      <c r="B50" s="296"/>
      <c r="C50" s="297"/>
      <c r="D50" s="297"/>
      <c r="E50" s="297"/>
      <c r="F50" s="297"/>
      <c r="G50" s="297"/>
      <c r="H50" s="297"/>
      <c r="I50" s="297"/>
      <c r="J50" s="297"/>
      <c r="K50" s="297"/>
      <c r="L50" s="298"/>
      <c r="M50" s="302"/>
      <c r="N50" s="297"/>
      <c r="O50" s="297"/>
      <c r="P50" s="297"/>
      <c r="Q50" s="297"/>
      <c r="R50" s="297"/>
      <c r="S50" s="297"/>
      <c r="T50" s="297"/>
      <c r="U50" s="297"/>
      <c r="V50" s="297"/>
      <c r="W50" s="298"/>
      <c r="X50" s="302"/>
      <c r="Y50" s="297"/>
      <c r="Z50" s="297"/>
      <c r="AA50" s="297"/>
      <c r="AB50" s="297"/>
      <c r="AC50" s="297"/>
      <c r="AD50" s="297"/>
      <c r="AE50" s="297"/>
      <c r="AF50" s="297"/>
      <c r="AG50" s="297"/>
      <c r="AH50" s="298"/>
      <c r="AI50" s="302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8"/>
      <c r="AU50" s="302"/>
      <c r="AV50" s="297"/>
      <c r="AW50" s="297"/>
      <c r="AX50" s="297"/>
      <c r="AY50" s="297"/>
      <c r="AZ50" s="297"/>
      <c r="BA50" s="297"/>
      <c r="BB50" s="297"/>
      <c r="BC50" s="297"/>
      <c r="BD50" s="297"/>
      <c r="BE50" s="297"/>
      <c r="BF50" s="308"/>
    </row>
    <row r="51" spans="2:58" ht="13" customHeight="1" x14ac:dyDescent="0.4">
      <c r="B51" s="296"/>
      <c r="C51" s="297"/>
      <c r="D51" s="297"/>
      <c r="E51" s="297"/>
      <c r="F51" s="297"/>
      <c r="G51" s="297"/>
      <c r="H51" s="297"/>
      <c r="I51" s="297"/>
      <c r="J51" s="297"/>
      <c r="K51" s="297"/>
      <c r="L51" s="298"/>
      <c r="M51" s="302"/>
      <c r="N51" s="297"/>
      <c r="O51" s="297"/>
      <c r="P51" s="297"/>
      <c r="Q51" s="297"/>
      <c r="R51" s="297"/>
      <c r="S51" s="297"/>
      <c r="T51" s="297"/>
      <c r="U51" s="297"/>
      <c r="V51" s="297"/>
      <c r="W51" s="298"/>
      <c r="X51" s="302"/>
      <c r="Y51" s="297"/>
      <c r="Z51" s="297"/>
      <c r="AA51" s="297"/>
      <c r="AB51" s="297"/>
      <c r="AC51" s="297"/>
      <c r="AD51" s="297"/>
      <c r="AE51" s="297"/>
      <c r="AF51" s="297"/>
      <c r="AG51" s="297"/>
      <c r="AH51" s="298"/>
      <c r="AI51" s="302"/>
      <c r="AJ51" s="297"/>
      <c r="AK51" s="297"/>
      <c r="AL51" s="297"/>
      <c r="AM51" s="297"/>
      <c r="AN51" s="297"/>
      <c r="AO51" s="297"/>
      <c r="AP51" s="297"/>
      <c r="AQ51" s="297"/>
      <c r="AR51" s="297"/>
      <c r="AS51" s="297"/>
      <c r="AT51" s="298"/>
      <c r="AU51" s="302"/>
      <c r="AV51" s="297"/>
      <c r="AW51" s="297"/>
      <c r="AX51" s="297"/>
      <c r="AY51" s="297"/>
      <c r="AZ51" s="297"/>
      <c r="BA51" s="297"/>
      <c r="BB51" s="297"/>
      <c r="BC51" s="297"/>
      <c r="BD51" s="297"/>
      <c r="BE51" s="297"/>
      <c r="BF51" s="308"/>
    </row>
    <row r="52" spans="2:58" ht="13" customHeight="1" x14ac:dyDescent="0.4">
      <c r="B52" s="299"/>
      <c r="C52" s="300"/>
      <c r="D52" s="300"/>
      <c r="E52" s="300"/>
      <c r="F52" s="300"/>
      <c r="G52" s="300"/>
      <c r="H52" s="300"/>
      <c r="I52" s="300"/>
      <c r="J52" s="300"/>
      <c r="K52" s="300"/>
      <c r="L52" s="269"/>
      <c r="M52" s="303"/>
      <c r="N52" s="300"/>
      <c r="O52" s="300"/>
      <c r="P52" s="300"/>
      <c r="Q52" s="300"/>
      <c r="R52" s="300"/>
      <c r="S52" s="300"/>
      <c r="T52" s="300"/>
      <c r="U52" s="300"/>
      <c r="V52" s="300"/>
      <c r="W52" s="269"/>
      <c r="X52" s="303"/>
      <c r="Y52" s="300"/>
      <c r="Z52" s="300"/>
      <c r="AA52" s="300"/>
      <c r="AB52" s="300"/>
      <c r="AC52" s="300"/>
      <c r="AD52" s="300"/>
      <c r="AE52" s="300"/>
      <c r="AF52" s="300"/>
      <c r="AG52" s="300"/>
      <c r="AH52" s="269"/>
      <c r="AI52" s="303"/>
      <c r="AJ52" s="300"/>
      <c r="AK52" s="300"/>
      <c r="AL52" s="300"/>
      <c r="AM52" s="300"/>
      <c r="AN52" s="300"/>
      <c r="AO52" s="300"/>
      <c r="AP52" s="300"/>
      <c r="AQ52" s="300"/>
      <c r="AR52" s="300"/>
      <c r="AS52" s="300"/>
      <c r="AT52" s="269"/>
      <c r="AU52" s="303"/>
      <c r="AV52" s="300"/>
      <c r="AW52" s="300"/>
      <c r="AX52" s="300"/>
      <c r="AY52" s="300"/>
      <c r="AZ52" s="300"/>
      <c r="BA52" s="300"/>
      <c r="BB52" s="300"/>
      <c r="BC52" s="300"/>
      <c r="BD52" s="300"/>
      <c r="BE52" s="300"/>
      <c r="BF52" s="309"/>
    </row>
    <row r="53" spans="2:58" ht="13" customHeight="1" x14ac:dyDescent="0.4">
      <c r="B53" s="315" t="s">
        <v>266</v>
      </c>
      <c r="C53" s="313"/>
      <c r="D53" s="313"/>
      <c r="E53" s="313"/>
      <c r="F53" s="313"/>
      <c r="G53" s="313"/>
      <c r="H53" s="313"/>
      <c r="I53" s="313"/>
      <c r="J53" s="313"/>
      <c r="K53" s="313"/>
      <c r="L53" s="314"/>
      <c r="M53" s="318" t="s">
        <v>267</v>
      </c>
      <c r="N53" s="313"/>
      <c r="O53" s="313"/>
      <c r="P53" s="313"/>
      <c r="Q53" s="313"/>
      <c r="R53" s="313"/>
      <c r="S53" s="313"/>
      <c r="T53" s="313"/>
      <c r="U53" s="313"/>
      <c r="V53" s="313"/>
      <c r="W53" s="314"/>
      <c r="X53" s="319" t="s">
        <v>268</v>
      </c>
      <c r="Y53" s="313"/>
      <c r="Z53" s="313"/>
      <c r="AA53" s="313"/>
      <c r="AB53" s="313"/>
      <c r="AC53" s="313"/>
      <c r="AD53" s="313"/>
      <c r="AE53" s="313"/>
      <c r="AF53" s="313"/>
      <c r="AG53" s="313"/>
      <c r="AH53" s="314"/>
      <c r="AI53" s="211" t="s">
        <v>269</v>
      </c>
      <c r="AJ53" s="313"/>
      <c r="AK53" s="313"/>
      <c r="AL53" s="313"/>
      <c r="AM53" s="313"/>
      <c r="AN53" s="313"/>
      <c r="AO53" s="313"/>
      <c r="AP53" s="313"/>
      <c r="AQ53" s="313"/>
      <c r="AR53" s="313"/>
      <c r="AS53" s="313"/>
      <c r="AT53" s="314"/>
      <c r="AU53" s="211" t="s">
        <v>270</v>
      </c>
      <c r="AV53" s="313"/>
      <c r="AW53" s="313"/>
      <c r="AX53" s="313"/>
      <c r="AY53" s="313"/>
      <c r="AZ53" s="313"/>
      <c r="BA53" s="313"/>
      <c r="BB53" s="313"/>
      <c r="BC53" s="313"/>
      <c r="BD53" s="313"/>
      <c r="BE53" s="313"/>
      <c r="BF53" s="320"/>
    </row>
    <row r="54" spans="2:58" ht="13" customHeight="1" x14ac:dyDescent="0.4">
      <c r="B54" s="293"/>
      <c r="C54" s="294"/>
      <c r="D54" s="294"/>
      <c r="E54" s="294"/>
      <c r="F54" s="294"/>
      <c r="G54" s="294"/>
      <c r="H54" s="294"/>
      <c r="I54" s="294"/>
      <c r="J54" s="294"/>
      <c r="K54" s="294"/>
      <c r="L54" s="295"/>
      <c r="M54" s="317"/>
      <c r="N54" s="294"/>
      <c r="O54" s="294"/>
      <c r="P54" s="294"/>
      <c r="Q54" s="294"/>
      <c r="R54" s="294"/>
      <c r="S54" s="294"/>
      <c r="T54" s="294"/>
      <c r="U54" s="294"/>
      <c r="V54" s="294"/>
      <c r="W54" s="295"/>
      <c r="X54" s="304"/>
      <c r="Y54" s="294"/>
      <c r="Z54" s="294"/>
      <c r="AA54" s="294"/>
      <c r="AB54" s="294"/>
      <c r="AC54" s="294"/>
      <c r="AD54" s="294"/>
      <c r="AE54" s="294"/>
      <c r="AF54" s="294"/>
      <c r="AG54" s="294"/>
      <c r="AH54" s="295"/>
      <c r="AI54" s="310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5"/>
      <c r="AU54" s="310"/>
      <c r="AV54" s="294"/>
      <c r="AW54" s="294"/>
      <c r="AX54" s="294"/>
      <c r="AY54" s="294"/>
      <c r="AZ54" s="294"/>
      <c r="BA54" s="294"/>
      <c r="BB54" s="294"/>
      <c r="BC54" s="294"/>
      <c r="BD54" s="294"/>
      <c r="BE54" s="294"/>
      <c r="BF54" s="307"/>
    </row>
    <row r="55" spans="2:58" ht="13" customHeight="1" x14ac:dyDescent="0.4">
      <c r="B55" s="296"/>
      <c r="C55" s="297"/>
      <c r="D55" s="297"/>
      <c r="E55" s="297"/>
      <c r="F55" s="297"/>
      <c r="G55" s="297"/>
      <c r="H55" s="297"/>
      <c r="I55" s="297"/>
      <c r="J55" s="297"/>
      <c r="K55" s="297"/>
      <c r="L55" s="298"/>
      <c r="M55" s="302"/>
      <c r="N55" s="297"/>
      <c r="O55" s="297"/>
      <c r="P55" s="297"/>
      <c r="Q55" s="297"/>
      <c r="R55" s="297"/>
      <c r="S55" s="297"/>
      <c r="T55" s="297"/>
      <c r="U55" s="297"/>
      <c r="V55" s="297"/>
      <c r="W55" s="298"/>
      <c r="X55" s="302"/>
      <c r="Y55" s="297"/>
      <c r="Z55" s="297"/>
      <c r="AA55" s="297"/>
      <c r="AB55" s="297"/>
      <c r="AC55" s="297"/>
      <c r="AD55" s="297"/>
      <c r="AE55" s="297"/>
      <c r="AF55" s="297"/>
      <c r="AG55" s="297"/>
      <c r="AH55" s="298"/>
      <c r="AI55" s="302"/>
      <c r="AJ55" s="297"/>
      <c r="AK55" s="297"/>
      <c r="AL55" s="297"/>
      <c r="AM55" s="297"/>
      <c r="AN55" s="297"/>
      <c r="AO55" s="297"/>
      <c r="AP55" s="297"/>
      <c r="AQ55" s="297"/>
      <c r="AR55" s="297"/>
      <c r="AS55" s="297"/>
      <c r="AT55" s="298"/>
      <c r="AU55" s="302"/>
      <c r="AV55" s="297"/>
      <c r="AW55" s="297"/>
      <c r="AX55" s="297"/>
      <c r="AY55" s="297"/>
      <c r="AZ55" s="297"/>
      <c r="BA55" s="297"/>
      <c r="BB55" s="297"/>
      <c r="BC55" s="297"/>
      <c r="BD55" s="297"/>
      <c r="BE55" s="297"/>
      <c r="BF55" s="308"/>
    </row>
    <row r="56" spans="2:58" ht="13" customHeight="1" x14ac:dyDescent="0.4">
      <c r="B56" s="296"/>
      <c r="C56" s="297"/>
      <c r="D56" s="297"/>
      <c r="E56" s="297"/>
      <c r="F56" s="297"/>
      <c r="G56" s="297"/>
      <c r="H56" s="297"/>
      <c r="I56" s="297"/>
      <c r="J56" s="297"/>
      <c r="K56" s="297"/>
      <c r="L56" s="298"/>
      <c r="M56" s="302"/>
      <c r="N56" s="297"/>
      <c r="O56" s="297"/>
      <c r="P56" s="297"/>
      <c r="Q56" s="297"/>
      <c r="R56" s="297"/>
      <c r="S56" s="297"/>
      <c r="T56" s="297"/>
      <c r="U56" s="297"/>
      <c r="V56" s="297"/>
      <c r="W56" s="298"/>
      <c r="X56" s="302"/>
      <c r="Y56" s="297"/>
      <c r="Z56" s="297"/>
      <c r="AA56" s="297"/>
      <c r="AB56" s="297"/>
      <c r="AC56" s="297"/>
      <c r="AD56" s="297"/>
      <c r="AE56" s="297"/>
      <c r="AF56" s="297"/>
      <c r="AG56" s="297"/>
      <c r="AH56" s="298"/>
      <c r="AI56" s="302"/>
      <c r="AJ56" s="297"/>
      <c r="AK56" s="297"/>
      <c r="AL56" s="297"/>
      <c r="AM56" s="297"/>
      <c r="AN56" s="297"/>
      <c r="AO56" s="297"/>
      <c r="AP56" s="297"/>
      <c r="AQ56" s="297"/>
      <c r="AR56" s="297"/>
      <c r="AS56" s="297"/>
      <c r="AT56" s="298"/>
      <c r="AU56" s="302"/>
      <c r="AV56" s="297"/>
      <c r="AW56" s="297"/>
      <c r="AX56" s="297"/>
      <c r="AY56" s="297"/>
      <c r="AZ56" s="297"/>
      <c r="BA56" s="297"/>
      <c r="BB56" s="297"/>
      <c r="BC56" s="297"/>
      <c r="BD56" s="297"/>
      <c r="BE56" s="297"/>
      <c r="BF56" s="308"/>
    </row>
    <row r="57" spans="2:58" ht="13" customHeight="1" x14ac:dyDescent="0.4">
      <c r="B57" s="296"/>
      <c r="C57" s="297"/>
      <c r="D57" s="297"/>
      <c r="E57" s="297"/>
      <c r="F57" s="297"/>
      <c r="G57" s="297"/>
      <c r="H57" s="297"/>
      <c r="I57" s="297"/>
      <c r="J57" s="297"/>
      <c r="K57" s="297"/>
      <c r="L57" s="298"/>
      <c r="M57" s="302"/>
      <c r="N57" s="297"/>
      <c r="O57" s="297"/>
      <c r="P57" s="297"/>
      <c r="Q57" s="297"/>
      <c r="R57" s="297"/>
      <c r="S57" s="297"/>
      <c r="T57" s="297"/>
      <c r="U57" s="297"/>
      <c r="V57" s="297"/>
      <c r="W57" s="298"/>
      <c r="X57" s="302"/>
      <c r="Y57" s="297"/>
      <c r="Z57" s="297"/>
      <c r="AA57" s="297"/>
      <c r="AB57" s="297"/>
      <c r="AC57" s="297"/>
      <c r="AD57" s="297"/>
      <c r="AE57" s="297"/>
      <c r="AF57" s="297"/>
      <c r="AG57" s="297"/>
      <c r="AH57" s="298"/>
      <c r="AI57" s="302"/>
      <c r="AJ57" s="297"/>
      <c r="AK57" s="297"/>
      <c r="AL57" s="297"/>
      <c r="AM57" s="297"/>
      <c r="AN57" s="297"/>
      <c r="AO57" s="297"/>
      <c r="AP57" s="297"/>
      <c r="AQ57" s="297"/>
      <c r="AR57" s="297"/>
      <c r="AS57" s="297"/>
      <c r="AT57" s="298"/>
      <c r="AU57" s="302"/>
      <c r="AV57" s="297"/>
      <c r="AW57" s="297"/>
      <c r="AX57" s="297"/>
      <c r="AY57" s="297"/>
      <c r="AZ57" s="297"/>
      <c r="BA57" s="297"/>
      <c r="BB57" s="297"/>
      <c r="BC57" s="297"/>
      <c r="BD57" s="297"/>
      <c r="BE57" s="297"/>
      <c r="BF57" s="308"/>
    </row>
    <row r="58" spans="2:58" ht="13" customHeight="1" x14ac:dyDescent="0.4">
      <c r="B58" s="296"/>
      <c r="C58" s="297"/>
      <c r="D58" s="297"/>
      <c r="E58" s="297"/>
      <c r="F58" s="297"/>
      <c r="G58" s="297"/>
      <c r="H58" s="297"/>
      <c r="I58" s="297"/>
      <c r="J58" s="297"/>
      <c r="K58" s="297"/>
      <c r="L58" s="298"/>
      <c r="M58" s="302"/>
      <c r="N58" s="297"/>
      <c r="O58" s="297"/>
      <c r="P58" s="297"/>
      <c r="Q58" s="297"/>
      <c r="R58" s="297"/>
      <c r="S58" s="297"/>
      <c r="T58" s="297"/>
      <c r="U58" s="297"/>
      <c r="V58" s="297"/>
      <c r="W58" s="298"/>
      <c r="X58" s="302"/>
      <c r="Y58" s="297"/>
      <c r="Z58" s="297"/>
      <c r="AA58" s="297"/>
      <c r="AB58" s="297"/>
      <c r="AC58" s="297"/>
      <c r="AD58" s="297"/>
      <c r="AE58" s="297"/>
      <c r="AF58" s="297"/>
      <c r="AG58" s="297"/>
      <c r="AH58" s="298"/>
      <c r="AI58" s="302"/>
      <c r="AJ58" s="297"/>
      <c r="AK58" s="297"/>
      <c r="AL58" s="297"/>
      <c r="AM58" s="297"/>
      <c r="AN58" s="297"/>
      <c r="AO58" s="297"/>
      <c r="AP58" s="297"/>
      <c r="AQ58" s="297"/>
      <c r="AR58" s="297"/>
      <c r="AS58" s="297"/>
      <c r="AT58" s="298"/>
      <c r="AU58" s="302"/>
      <c r="AV58" s="297"/>
      <c r="AW58" s="297"/>
      <c r="AX58" s="297"/>
      <c r="AY58" s="297"/>
      <c r="AZ58" s="297"/>
      <c r="BA58" s="297"/>
      <c r="BB58" s="297"/>
      <c r="BC58" s="297"/>
      <c r="BD58" s="297"/>
      <c r="BE58" s="297"/>
      <c r="BF58" s="308"/>
    </row>
    <row r="59" spans="2:58" ht="13" customHeight="1" x14ac:dyDescent="0.4">
      <c r="B59" s="321"/>
      <c r="C59" s="322"/>
      <c r="D59" s="322"/>
      <c r="E59" s="322"/>
      <c r="F59" s="322"/>
      <c r="G59" s="322"/>
      <c r="H59" s="322"/>
      <c r="I59" s="322"/>
      <c r="J59" s="322"/>
      <c r="K59" s="322"/>
      <c r="L59" s="323"/>
      <c r="M59" s="324"/>
      <c r="N59" s="322"/>
      <c r="O59" s="322"/>
      <c r="P59" s="322"/>
      <c r="Q59" s="322"/>
      <c r="R59" s="322"/>
      <c r="S59" s="322"/>
      <c r="T59" s="322"/>
      <c r="U59" s="322"/>
      <c r="V59" s="322"/>
      <c r="W59" s="323"/>
      <c r="X59" s="324"/>
      <c r="Y59" s="322"/>
      <c r="Z59" s="322"/>
      <c r="AA59" s="322"/>
      <c r="AB59" s="322"/>
      <c r="AC59" s="322"/>
      <c r="AD59" s="322"/>
      <c r="AE59" s="322"/>
      <c r="AF59" s="322"/>
      <c r="AG59" s="322"/>
      <c r="AH59" s="323"/>
      <c r="AI59" s="324"/>
      <c r="AJ59" s="322"/>
      <c r="AK59" s="322"/>
      <c r="AL59" s="322"/>
      <c r="AM59" s="322"/>
      <c r="AN59" s="322"/>
      <c r="AO59" s="322"/>
      <c r="AP59" s="322"/>
      <c r="AQ59" s="322"/>
      <c r="AR59" s="322"/>
      <c r="AS59" s="322"/>
      <c r="AT59" s="323"/>
      <c r="AU59" s="324"/>
      <c r="AV59" s="322"/>
      <c r="AW59" s="322"/>
      <c r="AX59" s="322"/>
      <c r="AY59" s="322"/>
      <c r="AZ59" s="322"/>
      <c r="BA59" s="322"/>
      <c r="BB59" s="322"/>
      <c r="BC59" s="322"/>
      <c r="BD59" s="322"/>
      <c r="BE59" s="322"/>
      <c r="BF59" s="325"/>
    </row>
    <row r="60" spans="2:58" ht="13" customHeight="1" x14ac:dyDescent="0.4">
      <c r="B60" s="280" t="s">
        <v>49</v>
      </c>
      <c r="C60" s="281"/>
      <c r="D60" s="85" t="s">
        <v>19</v>
      </c>
      <c r="E60" s="282" t="s">
        <v>20</v>
      </c>
      <c r="F60" s="285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286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87"/>
      <c r="BD60" s="287"/>
      <c r="BE60" s="287"/>
      <c r="BF60" s="288"/>
    </row>
    <row r="61" spans="2:58" ht="13" customHeight="1" x14ac:dyDescent="0.4">
      <c r="B61" s="255" t="s">
        <v>226</v>
      </c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3"/>
      <c r="AF61" s="283"/>
      <c r="AG61" s="283"/>
      <c r="AH61" s="283"/>
      <c r="AI61" s="283"/>
      <c r="AJ61" s="283"/>
      <c r="AK61" s="283"/>
      <c r="AL61" s="283"/>
      <c r="AM61" s="283"/>
      <c r="AN61" s="283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  <c r="BD61" s="211"/>
      <c r="BE61" s="211"/>
      <c r="BF61" s="289"/>
    </row>
    <row r="62" spans="2:58" ht="13" customHeight="1" thickBot="1" x14ac:dyDescent="0.45">
      <c r="B62" s="292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  <c r="AK62" s="284"/>
      <c r="AL62" s="284"/>
      <c r="AM62" s="284"/>
      <c r="AN62" s="284"/>
      <c r="AO62" s="290"/>
      <c r="AP62" s="290"/>
      <c r="AQ62" s="290"/>
      <c r="AR62" s="290"/>
      <c r="AS62" s="290"/>
      <c r="AT62" s="290"/>
      <c r="AU62" s="290"/>
      <c r="AV62" s="290"/>
      <c r="AW62" s="290"/>
      <c r="AX62" s="290"/>
      <c r="AY62" s="290"/>
      <c r="AZ62" s="290"/>
      <c r="BA62" s="290"/>
      <c r="BB62" s="290"/>
      <c r="BC62" s="290"/>
      <c r="BD62" s="290"/>
      <c r="BE62" s="290"/>
      <c r="BF62" s="291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1FA-5897-4555-851A-F7BA26B3C8EB}">
  <dimension ref="B1:AU541"/>
  <sheetViews>
    <sheetView tabSelected="1" topLeftCell="A13" zoomScaleNormal="100" workbookViewId="0">
      <selection activeCell="AA31" sqref="AA31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  <col min="16170" max="16384" width="9" style="7"/>
  </cols>
  <sheetData>
    <row r="1" spans="2:47" ht="5.0999999999999996" customHeight="1" x14ac:dyDescent="0.4"/>
    <row r="2" spans="2:47" ht="17.5" customHeight="1" thickBot="1" x14ac:dyDescent="0.45">
      <c r="B2" s="219" t="s">
        <v>227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</row>
    <row r="3" spans="2:47" ht="20.100000000000001" customHeight="1" x14ac:dyDescent="0.4">
      <c r="B3" s="223" t="s">
        <v>181</v>
      </c>
      <c r="C3" s="221" t="s">
        <v>163</v>
      </c>
      <c r="D3" s="235"/>
      <c r="E3" s="235"/>
      <c r="F3" s="235"/>
      <c r="G3" s="235"/>
      <c r="H3" s="236"/>
      <c r="I3" s="239" t="s">
        <v>8</v>
      </c>
      <c r="J3" s="235"/>
      <c r="K3" s="235"/>
      <c r="L3" s="235"/>
      <c r="M3" s="235"/>
      <c r="N3" s="235"/>
      <c r="O3" s="235"/>
      <c r="P3" s="240"/>
      <c r="Q3" s="221" t="s">
        <v>77</v>
      </c>
      <c r="R3" s="235"/>
      <c r="S3" s="240"/>
      <c r="T3" s="221" t="s">
        <v>10</v>
      </c>
      <c r="U3" s="235"/>
      <c r="V3" s="235"/>
      <c r="W3" s="240"/>
      <c r="X3" s="221" t="s">
        <v>80</v>
      </c>
      <c r="Y3" s="222"/>
      <c r="Z3" s="221" t="s">
        <v>11</v>
      </c>
      <c r="AA3" s="222"/>
      <c r="AB3" s="18" t="s">
        <v>13</v>
      </c>
      <c r="AC3" s="270" t="s">
        <v>14</v>
      </c>
      <c r="AD3" s="271"/>
      <c r="AE3" s="272" t="s">
        <v>88</v>
      </c>
      <c r="AF3" s="273"/>
      <c r="AG3" s="273"/>
      <c r="AH3" s="273"/>
      <c r="AI3" s="273"/>
      <c r="AJ3" s="273"/>
      <c r="AK3" s="274"/>
      <c r="AL3" s="221" t="s">
        <v>18</v>
      </c>
      <c r="AM3" s="229"/>
      <c r="AN3" s="230"/>
      <c r="AO3" s="233" t="s">
        <v>16</v>
      </c>
      <c r="AP3" s="233"/>
      <c r="AQ3" s="233"/>
      <c r="AR3" s="234"/>
    </row>
    <row r="4" spans="2:47" ht="30" customHeight="1" x14ac:dyDescent="0.4">
      <c r="B4" s="224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162</v>
      </c>
      <c r="I4" s="237" t="s">
        <v>62</v>
      </c>
      <c r="J4" s="238"/>
      <c r="K4" s="30" t="s">
        <v>6</v>
      </c>
      <c r="L4" s="30" t="s">
        <v>66</v>
      </c>
      <c r="M4" s="30" t="s">
        <v>164</v>
      </c>
      <c r="N4" s="30" t="s">
        <v>165</v>
      </c>
      <c r="O4" s="209" t="s">
        <v>7</v>
      </c>
      <c r="P4" s="213"/>
      <c r="Q4" s="226" t="s">
        <v>71</v>
      </c>
      <c r="R4" s="213"/>
      <c r="S4" s="30" t="s">
        <v>51</v>
      </c>
      <c r="T4" s="30" t="s">
        <v>75</v>
      </c>
      <c r="U4" s="226" t="s">
        <v>78</v>
      </c>
      <c r="V4" s="213"/>
      <c r="W4" s="30" t="s">
        <v>9</v>
      </c>
      <c r="X4" s="30" t="s">
        <v>157</v>
      </c>
      <c r="Y4" s="30" t="s">
        <v>158</v>
      </c>
      <c r="Z4" s="30" t="s">
        <v>1</v>
      </c>
      <c r="AA4" s="30" t="s">
        <v>12</v>
      </c>
      <c r="AB4" s="3" t="s">
        <v>159</v>
      </c>
      <c r="AC4" s="3" t="s">
        <v>1</v>
      </c>
      <c r="AD4" s="3" t="s">
        <v>12</v>
      </c>
      <c r="AE4" s="227" t="s">
        <v>89</v>
      </c>
      <c r="AF4" s="228"/>
      <c r="AG4" s="227" t="s">
        <v>92</v>
      </c>
      <c r="AH4" s="228"/>
      <c r="AI4" s="14" t="s">
        <v>166</v>
      </c>
      <c r="AJ4" s="14" t="s">
        <v>167</v>
      </c>
      <c r="AK4" s="15" t="s">
        <v>115</v>
      </c>
      <c r="AL4" s="226" t="s">
        <v>110</v>
      </c>
      <c r="AM4" s="213"/>
      <c r="AN4" s="63" t="s">
        <v>111</v>
      </c>
      <c r="AO4" s="53" t="s">
        <v>12</v>
      </c>
      <c r="AP4" s="3" t="s">
        <v>1</v>
      </c>
      <c r="AQ4" s="231" t="s">
        <v>161</v>
      </c>
      <c r="AR4" s="232"/>
      <c r="AU4" s="43"/>
    </row>
    <row r="5" spans="2:47" ht="20.100000000000001" customHeight="1" x14ac:dyDescent="0.4">
      <c r="B5" s="225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101</v>
      </c>
      <c r="V5" s="30" t="s">
        <v>460</v>
      </c>
      <c r="W5" s="36" t="s">
        <v>79</v>
      </c>
      <c r="X5" s="30" t="s">
        <v>81</v>
      </c>
      <c r="Y5" s="82" t="s">
        <v>4</v>
      </c>
      <c r="Z5" s="36" t="s">
        <v>83</v>
      </c>
      <c r="AA5" s="36" t="s">
        <v>84</v>
      </c>
      <c r="AB5" s="1" t="s">
        <v>85</v>
      </c>
      <c r="AC5" s="1" t="s">
        <v>86</v>
      </c>
      <c r="AD5" s="1" t="s">
        <v>87</v>
      </c>
      <c r="AE5" s="14" t="s">
        <v>90</v>
      </c>
      <c r="AF5" s="14" t="s">
        <v>91</v>
      </c>
      <c r="AG5" s="14" t="s">
        <v>93</v>
      </c>
      <c r="AH5" s="17" t="s">
        <v>94</v>
      </c>
      <c r="AI5" s="17" t="s">
        <v>94</v>
      </c>
      <c r="AJ5" s="17" t="s">
        <v>94</v>
      </c>
      <c r="AK5" s="15" t="s">
        <v>82</v>
      </c>
      <c r="AL5" s="45" t="s">
        <v>95</v>
      </c>
      <c r="AM5" s="27" t="s">
        <v>109</v>
      </c>
      <c r="AN5" s="63" t="s">
        <v>112</v>
      </c>
      <c r="AO5" s="53" t="s">
        <v>96</v>
      </c>
      <c r="AP5" s="3" t="s">
        <v>97</v>
      </c>
      <c r="AQ5" s="3" t="s">
        <v>98</v>
      </c>
      <c r="AR5" s="44" t="s">
        <v>160</v>
      </c>
    </row>
    <row r="6" spans="2:47" ht="13.5" customHeight="1" x14ac:dyDescent="0.4">
      <c r="B6" s="83" t="s">
        <v>50</v>
      </c>
      <c r="C6" s="36"/>
      <c r="D6" s="36"/>
      <c r="E6" s="36"/>
      <c r="F6" s="36"/>
      <c r="G6" s="36"/>
      <c r="H6" s="78"/>
      <c r="I6" s="5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89"/>
      <c r="Y6" s="89" t="s">
        <v>4</v>
      </c>
      <c r="Z6" s="36"/>
      <c r="AA6" s="36"/>
      <c r="AB6" s="1"/>
      <c r="AC6" s="1"/>
      <c r="AD6" s="1"/>
      <c r="AE6" s="15"/>
      <c r="AF6" s="15"/>
      <c r="AG6" s="15"/>
      <c r="AH6" s="15"/>
      <c r="AI6" s="15"/>
      <c r="AJ6" s="15"/>
      <c r="AK6" s="15"/>
      <c r="AL6" s="36"/>
      <c r="AM6" s="27"/>
      <c r="AN6" s="63"/>
      <c r="AO6" s="54"/>
      <c r="AP6" s="25"/>
      <c r="AQ6" s="25"/>
      <c r="AR6" s="23"/>
    </row>
    <row r="7" spans="2:47" ht="13.5" customHeight="1" x14ac:dyDescent="0.4">
      <c r="B7" s="38">
        <v>0.875</v>
      </c>
      <c r="C7" s="36"/>
      <c r="D7" s="36"/>
      <c r="E7" s="36"/>
      <c r="F7" s="36"/>
      <c r="G7" s="36"/>
      <c r="H7" s="78"/>
      <c r="I7" s="5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89"/>
      <c r="Y7" s="89" t="s">
        <v>82</v>
      </c>
      <c r="Z7" s="36"/>
      <c r="AA7" s="36"/>
      <c r="AB7" s="1"/>
      <c r="AC7" s="1"/>
      <c r="AD7" s="1"/>
      <c r="AE7" s="15"/>
      <c r="AF7" s="15"/>
      <c r="AG7" s="15"/>
      <c r="AH7" s="15"/>
      <c r="AI7" s="15"/>
      <c r="AJ7" s="15"/>
      <c r="AK7" s="15"/>
      <c r="AL7" s="36"/>
      <c r="AM7" s="27"/>
      <c r="AN7" s="63"/>
      <c r="AO7" s="54"/>
      <c r="AP7" s="25"/>
      <c r="AQ7" s="25"/>
      <c r="AR7" s="23"/>
    </row>
    <row r="8" spans="2:47" ht="13.5" customHeight="1" x14ac:dyDescent="0.4">
      <c r="B8" s="83" t="s">
        <v>271</v>
      </c>
      <c r="C8" s="36"/>
      <c r="D8" s="36"/>
      <c r="E8" s="36"/>
      <c r="F8" s="36"/>
      <c r="G8" s="36"/>
      <c r="H8" s="78"/>
      <c r="I8" s="5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89"/>
      <c r="Y8" s="89" t="s">
        <v>82</v>
      </c>
      <c r="Z8" s="36"/>
      <c r="AA8" s="36"/>
      <c r="AB8" s="1"/>
      <c r="AC8" s="1"/>
      <c r="AD8" s="1"/>
      <c r="AE8" s="15"/>
      <c r="AF8" s="15"/>
      <c r="AG8" s="15"/>
      <c r="AH8" s="15"/>
      <c r="AI8" s="15"/>
      <c r="AJ8" s="15"/>
      <c r="AK8" s="15"/>
      <c r="AL8" s="36"/>
      <c r="AM8" s="27"/>
      <c r="AN8" s="63"/>
      <c r="AO8" s="54"/>
      <c r="AP8" s="25"/>
      <c r="AQ8" s="25"/>
      <c r="AR8" s="23"/>
    </row>
    <row r="9" spans="2:47" ht="13.5" customHeight="1" x14ac:dyDescent="0.4">
      <c r="B9" s="38">
        <v>0.95833333333333337</v>
      </c>
      <c r="C9" s="36"/>
      <c r="D9" s="36"/>
      <c r="E9" s="36"/>
      <c r="F9" s="36"/>
      <c r="G9" s="36"/>
      <c r="H9" s="78"/>
      <c r="I9" s="5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89"/>
      <c r="Y9" s="89" t="s">
        <v>82</v>
      </c>
      <c r="Z9" s="36"/>
      <c r="AA9" s="36"/>
      <c r="AB9" s="1"/>
      <c r="AC9" s="1"/>
      <c r="AD9" s="1"/>
      <c r="AE9" s="15"/>
      <c r="AF9" s="15"/>
      <c r="AG9" s="15"/>
      <c r="AH9" s="15"/>
      <c r="AI9" s="15"/>
      <c r="AJ9" s="15"/>
      <c r="AK9" s="15"/>
      <c r="AL9" s="36"/>
      <c r="AM9" s="27"/>
      <c r="AN9" s="63"/>
      <c r="AO9" s="54"/>
      <c r="AP9" s="25"/>
      <c r="AQ9" s="25"/>
      <c r="AR9" s="23"/>
    </row>
    <row r="10" spans="2:47" ht="13.5" customHeight="1" x14ac:dyDescent="0.4">
      <c r="B10" s="83" t="s">
        <v>272</v>
      </c>
      <c r="C10" s="36"/>
      <c r="D10" s="36"/>
      <c r="E10" s="36"/>
      <c r="F10" s="36"/>
      <c r="G10" s="36"/>
      <c r="H10" s="78"/>
      <c r="I10" s="5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89"/>
      <c r="Y10" s="89" t="s">
        <v>82</v>
      </c>
      <c r="Z10" s="36"/>
      <c r="AA10" s="36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36"/>
      <c r="AM10" s="27"/>
      <c r="AN10" s="63"/>
      <c r="AO10" s="54"/>
      <c r="AP10" s="25"/>
      <c r="AQ10" s="25"/>
      <c r="AR10" s="23"/>
    </row>
    <row r="11" spans="2:47" ht="13.5" customHeight="1" x14ac:dyDescent="0.4">
      <c r="B11" s="38">
        <v>4.1666666666666664E-2</v>
      </c>
      <c r="C11" s="36"/>
      <c r="D11" s="36"/>
      <c r="E11" s="36"/>
      <c r="F11" s="36"/>
      <c r="G11" s="36"/>
      <c r="H11" s="78"/>
      <c r="I11" s="5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89"/>
      <c r="Y11" s="89" t="s">
        <v>82</v>
      </c>
      <c r="Z11" s="36"/>
      <c r="AA11" s="36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36"/>
      <c r="AM11" s="27"/>
      <c r="AN11" s="63"/>
      <c r="AO11" s="54"/>
      <c r="AP11" s="25"/>
      <c r="AQ11" s="25"/>
      <c r="AR11" s="23"/>
    </row>
    <row r="12" spans="2:47" ht="13.5" customHeight="1" x14ac:dyDescent="0.4">
      <c r="B12" s="83" t="s">
        <v>273</v>
      </c>
      <c r="C12" s="36"/>
      <c r="D12" s="36"/>
      <c r="E12" s="36"/>
      <c r="F12" s="36"/>
      <c r="G12" s="36"/>
      <c r="H12" s="78"/>
      <c r="I12" s="5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89"/>
      <c r="Y12" s="89" t="s">
        <v>82</v>
      </c>
      <c r="Z12" s="36"/>
      <c r="AA12" s="36"/>
      <c r="AB12" s="1"/>
      <c r="AC12" s="1"/>
      <c r="AD12" s="1"/>
      <c r="AE12" s="15"/>
      <c r="AF12" s="15"/>
      <c r="AG12" s="15"/>
      <c r="AH12" s="15"/>
      <c r="AI12" s="15"/>
      <c r="AJ12" s="15"/>
      <c r="AK12" s="15"/>
      <c r="AL12" s="36"/>
      <c r="AM12" s="27"/>
      <c r="AN12" s="63"/>
      <c r="AO12" s="54"/>
      <c r="AP12" s="25"/>
      <c r="AQ12" s="25"/>
      <c r="AR12" s="23"/>
    </row>
    <row r="13" spans="2:47" ht="13.5" customHeight="1" x14ac:dyDescent="0.4">
      <c r="B13" s="38">
        <v>0.125</v>
      </c>
      <c r="C13" s="36"/>
      <c r="D13" s="36"/>
      <c r="E13" s="36"/>
      <c r="F13" s="36"/>
      <c r="G13" s="36"/>
      <c r="H13" s="78"/>
      <c r="I13" s="5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89"/>
      <c r="Y13" s="89" t="s">
        <v>82</v>
      </c>
      <c r="Z13" s="36"/>
      <c r="AA13" s="36"/>
      <c r="AB13" s="1"/>
      <c r="AC13" s="1"/>
      <c r="AD13" s="1"/>
      <c r="AE13" s="15"/>
      <c r="AF13" s="15"/>
      <c r="AG13" s="15"/>
      <c r="AH13" s="15"/>
      <c r="AI13" s="15"/>
      <c r="AJ13" s="15"/>
      <c r="AK13" s="15"/>
      <c r="AL13" s="36"/>
      <c r="AM13" s="27"/>
      <c r="AN13" s="63"/>
      <c r="AO13" s="54"/>
      <c r="AP13" s="25"/>
      <c r="AQ13" s="25"/>
      <c r="AR13" s="23"/>
    </row>
    <row r="14" spans="2:47" ht="13.5" customHeight="1" x14ac:dyDescent="0.4">
      <c r="B14" s="38">
        <v>0.16666666666666666</v>
      </c>
      <c r="C14" s="36"/>
      <c r="D14" s="36"/>
      <c r="E14" s="36"/>
      <c r="F14" s="36"/>
      <c r="G14" s="36"/>
      <c r="H14" s="78"/>
      <c r="I14" s="5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89"/>
      <c r="Y14" s="89" t="s">
        <v>82</v>
      </c>
      <c r="Z14" s="36"/>
      <c r="AA14" s="36"/>
      <c r="AB14" s="1"/>
      <c r="AC14" s="1"/>
      <c r="AD14" s="1"/>
      <c r="AE14" s="15"/>
      <c r="AF14" s="15"/>
      <c r="AG14" s="15"/>
      <c r="AH14" s="15"/>
      <c r="AI14" s="15"/>
      <c r="AJ14" s="15"/>
      <c r="AK14" s="15"/>
      <c r="AL14" s="36"/>
      <c r="AM14" s="27"/>
      <c r="AN14" s="63"/>
      <c r="AO14" s="54"/>
      <c r="AP14" s="25"/>
      <c r="AQ14" s="25"/>
      <c r="AR14" s="23"/>
    </row>
    <row r="15" spans="2:47" ht="13.5" customHeight="1" x14ac:dyDescent="0.4">
      <c r="B15" s="38">
        <v>0.20833333333333334</v>
      </c>
      <c r="C15" s="36"/>
      <c r="D15" s="36"/>
      <c r="E15" s="36"/>
      <c r="F15" s="36"/>
      <c r="G15" s="36"/>
      <c r="H15" s="78"/>
      <c r="I15" s="5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89"/>
      <c r="Y15" s="89" t="s">
        <v>82</v>
      </c>
      <c r="Z15" s="36"/>
      <c r="AA15" s="36"/>
      <c r="AB15" s="1"/>
      <c r="AC15" s="1"/>
      <c r="AD15" s="1"/>
      <c r="AE15" s="15"/>
      <c r="AF15" s="15"/>
      <c r="AG15" s="15"/>
      <c r="AH15" s="15"/>
      <c r="AI15" s="15"/>
      <c r="AJ15" s="15"/>
      <c r="AK15" s="15"/>
      <c r="AL15" s="36"/>
      <c r="AM15" s="27"/>
      <c r="AN15" s="63"/>
      <c r="AO15" s="54"/>
      <c r="AP15" s="25"/>
      <c r="AQ15" s="25"/>
      <c r="AR15" s="23"/>
    </row>
    <row r="16" spans="2:47" ht="13.5" customHeight="1" x14ac:dyDescent="0.4">
      <c r="B16" s="38">
        <v>0.25</v>
      </c>
      <c r="C16" s="36"/>
      <c r="D16" s="36"/>
      <c r="E16" s="36"/>
      <c r="F16" s="36"/>
      <c r="G16" s="36"/>
      <c r="H16" s="78"/>
      <c r="I16" s="5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89"/>
      <c r="Y16" s="89" t="s">
        <v>82</v>
      </c>
      <c r="Z16" s="36"/>
      <c r="AA16" s="36"/>
      <c r="AB16" s="1"/>
      <c r="AC16" s="1"/>
      <c r="AD16" s="1"/>
      <c r="AE16" s="15"/>
      <c r="AF16" s="15"/>
      <c r="AG16" s="15"/>
      <c r="AH16" s="15"/>
      <c r="AI16" s="15"/>
      <c r="AJ16" s="15"/>
      <c r="AK16" s="15"/>
      <c r="AL16" s="36"/>
      <c r="AM16" s="27"/>
      <c r="AN16" s="63"/>
      <c r="AO16" s="54"/>
      <c r="AP16" s="25"/>
      <c r="AQ16" s="25"/>
      <c r="AR16" s="23"/>
    </row>
    <row r="17" spans="2:44" ht="13.5" customHeight="1" x14ac:dyDescent="0.4">
      <c r="B17" s="38">
        <v>0.29166666666666669</v>
      </c>
      <c r="C17" s="36"/>
      <c r="D17" s="36"/>
      <c r="E17" s="36"/>
      <c r="F17" s="36"/>
      <c r="G17" s="36"/>
      <c r="H17" s="78"/>
      <c r="I17" s="5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89"/>
      <c r="Y17" s="89" t="s">
        <v>82</v>
      </c>
      <c r="Z17" s="36"/>
      <c r="AA17" s="36"/>
      <c r="AB17" s="1"/>
      <c r="AC17" s="1"/>
      <c r="AD17" s="1"/>
      <c r="AE17" s="15"/>
      <c r="AF17" s="15"/>
      <c r="AG17" s="15"/>
      <c r="AH17" s="15"/>
      <c r="AI17" s="15"/>
      <c r="AJ17" s="15"/>
      <c r="AK17" s="15"/>
      <c r="AL17" s="36"/>
      <c r="AM17" s="27"/>
      <c r="AN17" s="63"/>
      <c r="AO17" s="54"/>
      <c r="AP17" s="25"/>
      <c r="AQ17" s="25"/>
      <c r="AR17" s="23"/>
    </row>
    <row r="18" spans="2:44" ht="13.5" customHeight="1" x14ac:dyDescent="0.4">
      <c r="B18" s="84">
        <v>0.33333333333333331</v>
      </c>
      <c r="C18" s="46"/>
      <c r="D18" s="46"/>
      <c r="E18" s="46"/>
      <c r="F18" s="46"/>
      <c r="G18" s="46"/>
      <c r="H18" s="81"/>
      <c r="I18" s="57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90"/>
      <c r="Y18" s="90"/>
      <c r="Z18" s="46"/>
      <c r="AA18" s="4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46"/>
      <c r="AM18" s="42"/>
      <c r="AN18" s="68"/>
      <c r="AO18" s="54"/>
      <c r="AP18" s="25"/>
      <c r="AQ18" s="25"/>
      <c r="AR18" s="48"/>
    </row>
    <row r="19" spans="2:44" ht="18" customHeight="1" x14ac:dyDescent="0.4">
      <c r="B19" s="241" t="s">
        <v>181</v>
      </c>
      <c r="C19" s="75" t="s">
        <v>168</v>
      </c>
      <c r="D19" s="75" t="s">
        <v>171</v>
      </c>
      <c r="E19" s="198" t="s">
        <v>17</v>
      </c>
      <c r="F19" s="256"/>
      <c r="G19" s="257"/>
      <c r="H19" s="258" t="s">
        <v>108</v>
      </c>
      <c r="I19" s="256"/>
      <c r="J19" s="256"/>
      <c r="K19" s="256"/>
      <c r="L19" s="259"/>
      <c r="M19" s="260" t="s">
        <v>123</v>
      </c>
      <c r="N19" s="256"/>
      <c r="O19" s="256"/>
      <c r="P19" s="256"/>
      <c r="Q19" s="257"/>
      <c r="R19" s="262" t="s">
        <v>147</v>
      </c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4"/>
      <c r="AG19" s="217" t="s">
        <v>24</v>
      </c>
      <c r="AH19" s="264"/>
      <c r="AI19" s="275" t="s">
        <v>173</v>
      </c>
      <c r="AJ19" s="276"/>
      <c r="AK19" s="276"/>
      <c r="AL19" s="276"/>
      <c r="AM19" s="277"/>
      <c r="AN19" s="217" t="s">
        <v>47</v>
      </c>
      <c r="AO19" s="265"/>
      <c r="AP19" s="263" t="s">
        <v>180</v>
      </c>
      <c r="AQ19" s="266"/>
      <c r="AR19" s="267"/>
    </row>
    <row r="20" spans="2:44" ht="20.100000000000001" customHeight="1" x14ac:dyDescent="0.4">
      <c r="B20" s="242"/>
      <c r="C20" s="30" t="s">
        <v>169</v>
      </c>
      <c r="D20" s="30" t="s">
        <v>113</v>
      </c>
      <c r="E20" s="30" t="s">
        <v>15</v>
      </c>
      <c r="F20" s="209" t="s">
        <v>100</v>
      </c>
      <c r="G20" s="213"/>
      <c r="H20" s="32" t="s">
        <v>103</v>
      </c>
      <c r="I20" s="32" t="s">
        <v>105</v>
      </c>
      <c r="J20" s="31" t="s">
        <v>106</v>
      </c>
      <c r="K20" s="36" t="s">
        <v>107</v>
      </c>
      <c r="L20" s="76" t="s">
        <v>115</v>
      </c>
      <c r="M20" s="77" t="s">
        <v>116</v>
      </c>
      <c r="N20" s="32" t="s">
        <v>118</v>
      </c>
      <c r="O20" s="30" t="s">
        <v>228</v>
      </c>
      <c r="P20" s="30" t="s">
        <v>229</v>
      </c>
      <c r="Q20" s="30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4" t="s">
        <v>145</v>
      </c>
      <c r="AD20" s="231" t="s">
        <v>148</v>
      </c>
      <c r="AE20" s="261"/>
      <c r="AF20" s="24" t="s">
        <v>151</v>
      </c>
      <c r="AG20" s="24" t="s">
        <v>153</v>
      </c>
      <c r="AH20" s="24" t="s">
        <v>155</v>
      </c>
      <c r="AI20" s="227" t="s">
        <v>89</v>
      </c>
      <c r="AJ20" s="228"/>
      <c r="AK20" s="227" t="s">
        <v>92</v>
      </c>
      <c r="AL20" s="228"/>
      <c r="AM20" s="49" t="s">
        <v>172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178</v>
      </c>
    </row>
    <row r="21" spans="2:44" ht="22" customHeight="1" x14ac:dyDescent="0.4">
      <c r="B21" s="242"/>
      <c r="C21" s="36" t="s">
        <v>170</v>
      </c>
      <c r="D21" s="30" t="s">
        <v>114</v>
      </c>
      <c r="E21" s="36" t="s">
        <v>99</v>
      </c>
      <c r="F21" s="30" t="s">
        <v>101</v>
      </c>
      <c r="G21" s="32" t="s">
        <v>102</v>
      </c>
      <c r="H21" s="32" t="s">
        <v>104</v>
      </c>
      <c r="I21" s="32" t="s">
        <v>104</v>
      </c>
      <c r="J21" s="32" t="s">
        <v>104</v>
      </c>
      <c r="K21" s="32" t="s">
        <v>104</v>
      </c>
      <c r="L21" s="76" t="s">
        <v>82</v>
      </c>
      <c r="M21" s="77" t="s">
        <v>117</v>
      </c>
      <c r="N21" s="32" t="s">
        <v>119</v>
      </c>
      <c r="O21" s="32" t="s">
        <v>120</v>
      </c>
      <c r="P21" s="32" t="s">
        <v>121</v>
      </c>
      <c r="Q21" s="30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4" t="s">
        <v>146</v>
      </c>
      <c r="AD21" s="24" t="s">
        <v>149</v>
      </c>
      <c r="AE21" s="24" t="s">
        <v>150</v>
      </c>
      <c r="AF21" s="24" t="s">
        <v>152</v>
      </c>
      <c r="AG21" s="24" t="s">
        <v>154</v>
      </c>
      <c r="AH21" s="24" t="s">
        <v>156</v>
      </c>
      <c r="AI21" s="14" t="s">
        <v>90</v>
      </c>
      <c r="AJ21" s="14" t="s">
        <v>91</v>
      </c>
      <c r="AK21" s="14" t="s">
        <v>93</v>
      </c>
      <c r="AL21" s="17" t="s">
        <v>94</v>
      </c>
      <c r="AM21" s="17" t="s">
        <v>94</v>
      </c>
      <c r="AN21" s="24" t="s">
        <v>174</v>
      </c>
      <c r="AO21" s="59" t="s">
        <v>175</v>
      </c>
      <c r="AP21" s="54" t="s">
        <v>176</v>
      </c>
      <c r="AQ21" s="25" t="s">
        <v>177</v>
      </c>
      <c r="AR21" s="23" t="s">
        <v>179</v>
      </c>
    </row>
    <row r="22" spans="2:44" ht="13.5" customHeight="1" x14ac:dyDescent="0.4">
      <c r="B22" s="83" t="s">
        <v>50</v>
      </c>
      <c r="C22" s="36"/>
      <c r="D22" s="36"/>
      <c r="E22" s="36"/>
      <c r="F22" s="36"/>
      <c r="G22" s="36"/>
      <c r="H22" s="36"/>
      <c r="I22" s="36"/>
      <c r="J22" s="36"/>
      <c r="K22" s="36"/>
      <c r="L22" s="78"/>
      <c r="M22" s="51"/>
      <c r="N22" s="36"/>
      <c r="O22" s="36"/>
      <c r="P22" s="36"/>
      <c r="Q22" s="36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24"/>
      <c r="AD22" s="24"/>
      <c r="AE22" s="24"/>
      <c r="AF22" s="24"/>
      <c r="AG22" s="24"/>
      <c r="AH22" s="24"/>
      <c r="AI22" s="49"/>
      <c r="AJ22" s="49"/>
      <c r="AK22" s="49"/>
      <c r="AL22" s="49"/>
      <c r="AM22" s="49"/>
      <c r="AN22" s="24"/>
      <c r="AO22" s="59"/>
      <c r="AP22" s="54"/>
      <c r="AQ22" s="25"/>
      <c r="AR22" s="23"/>
    </row>
    <row r="23" spans="2:44" ht="13.5" customHeight="1" x14ac:dyDescent="0.4">
      <c r="B23" s="38">
        <v>0.875</v>
      </c>
      <c r="C23" s="36"/>
      <c r="D23" s="36"/>
      <c r="E23" s="36"/>
      <c r="F23" s="36"/>
      <c r="G23" s="36"/>
      <c r="H23" s="36"/>
      <c r="I23" s="31"/>
      <c r="J23" s="31"/>
      <c r="K23" s="31"/>
      <c r="L23" s="79"/>
      <c r="M23" s="51"/>
      <c r="N23" s="36"/>
      <c r="O23" s="36"/>
      <c r="P23" s="36"/>
      <c r="Q23" s="36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24"/>
      <c r="AD23" s="24"/>
      <c r="AE23" s="24"/>
      <c r="AF23" s="24"/>
      <c r="AG23" s="24"/>
      <c r="AH23" s="24"/>
      <c r="AI23" s="49"/>
      <c r="AJ23" s="49"/>
      <c r="AK23" s="49"/>
      <c r="AL23" s="49"/>
      <c r="AM23" s="49"/>
      <c r="AN23" s="24"/>
      <c r="AO23" s="59"/>
      <c r="AP23" s="54"/>
      <c r="AQ23" s="25"/>
      <c r="AR23" s="23"/>
    </row>
    <row r="24" spans="2:44" ht="13.5" customHeight="1" x14ac:dyDescent="0.4">
      <c r="B24" s="83" t="s">
        <v>271</v>
      </c>
      <c r="C24" s="36"/>
      <c r="D24" s="31"/>
      <c r="E24" s="31"/>
      <c r="F24" s="31"/>
      <c r="G24" s="31"/>
      <c r="H24" s="31"/>
      <c r="I24" s="31"/>
      <c r="J24" s="31"/>
      <c r="K24" s="31"/>
      <c r="L24" s="79"/>
      <c r="M24" s="80"/>
      <c r="N24" s="31"/>
      <c r="O24" s="31"/>
      <c r="P24" s="31"/>
      <c r="Q24" s="31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24"/>
      <c r="AD24" s="24"/>
      <c r="AE24" s="24"/>
      <c r="AF24" s="24"/>
      <c r="AG24" s="24"/>
      <c r="AH24" s="24"/>
      <c r="AI24" s="49"/>
      <c r="AJ24" s="49"/>
      <c r="AK24" s="49"/>
      <c r="AL24" s="49"/>
      <c r="AM24" s="49"/>
      <c r="AN24" s="24"/>
      <c r="AO24" s="59"/>
      <c r="AP24" s="54"/>
      <c r="AQ24" s="25"/>
      <c r="AR24" s="23"/>
    </row>
    <row r="25" spans="2:44" ht="13.5" customHeight="1" x14ac:dyDescent="0.4">
      <c r="B25" s="38">
        <v>0.95833333333333337</v>
      </c>
      <c r="C25" s="36"/>
      <c r="D25" s="36"/>
      <c r="E25" s="36"/>
      <c r="F25" s="36"/>
      <c r="G25" s="36"/>
      <c r="H25" s="36"/>
      <c r="I25" s="36"/>
      <c r="J25" s="36"/>
      <c r="K25" s="36"/>
      <c r="L25" s="78"/>
      <c r="M25" s="51"/>
      <c r="N25" s="36"/>
      <c r="O25" s="36"/>
      <c r="P25" s="36"/>
      <c r="Q25" s="36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24"/>
      <c r="AD25" s="24"/>
      <c r="AE25" s="24"/>
      <c r="AF25" s="24"/>
      <c r="AG25" s="24"/>
      <c r="AH25" s="24"/>
      <c r="AI25" s="49"/>
      <c r="AJ25" s="49"/>
      <c r="AK25" s="49"/>
      <c r="AL25" s="49"/>
      <c r="AM25" s="49"/>
      <c r="AN25" s="24"/>
      <c r="AO25" s="59"/>
      <c r="AP25" s="54"/>
      <c r="AQ25" s="25"/>
      <c r="AR25" s="23"/>
    </row>
    <row r="26" spans="2:44" ht="13.5" customHeight="1" x14ac:dyDescent="0.4">
      <c r="B26" s="83" t="s">
        <v>272</v>
      </c>
      <c r="C26" s="36"/>
      <c r="D26" s="36"/>
      <c r="E26" s="36"/>
      <c r="F26" s="36"/>
      <c r="G26" s="36"/>
      <c r="H26" s="36"/>
      <c r="I26" s="31"/>
      <c r="J26" s="31"/>
      <c r="K26" s="31"/>
      <c r="L26" s="79"/>
      <c r="M26" s="51"/>
      <c r="N26" s="36"/>
      <c r="O26" s="36"/>
      <c r="P26" s="36"/>
      <c r="Q26" s="36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49"/>
      <c r="AJ26" s="49"/>
      <c r="AK26" s="49"/>
      <c r="AL26" s="49"/>
      <c r="AM26" s="49"/>
      <c r="AN26" s="24"/>
      <c r="AO26" s="59"/>
      <c r="AP26" s="54"/>
      <c r="AQ26" s="25"/>
      <c r="AR26" s="23"/>
    </row>
    <row r="27" spans="2:44" ht="13.5" customHeight="1" x14ac:dyDescent="0.4">
      <c r="B27" s="38">
        <v>4.1666666666666664E-2</v>
      </c>
      <c r="C27" s="36"/>
      <c r="D27" s="31"/>
      <c r="E27" s="31"/>
      <c r="F27" s="31"/>
      <c r="G27" s="31"/>
      <c r="H27" s="31"/>
      <c r="I27" s="31"/>
      <c r="J27" s="31"/>
      <c r="K27" s="31"/>
      <c r="L27" s="79"/>
      <c r="M27" s="80"/>
      <c r="N27" s="31"/>
      <c r="O27" s="31"/>
      <c r="P27" s="31"/>
      <c r="Q27" s="31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49"/>
      <c r="AJ27" s="49"/>
      <c r="AK27" s="49"/>
      <c r="AL27" s="49"/>
      <c r="AM27" s="49"/>
      <c r="AN27" s="24"/>
      <c r="AO27" s="59"/>
      <c r="AP27" s="54"/>
      <c r="AQ27" s="25"/>
      <c r="AR27" s="23"/>
    </row>
    <row r="28" spans="2:44" ht="13.5" customHeight="1" x14ac:dyDescent="0.4">
      <c r="B28" s="83" t="s">
        <v>273</v>
      </c>
      <c r="C28" s="36"/>
      <c r="D28" s="36"/>
      <c r="E28" s="36"/>
      <c r="F28" s="36"/>
      <c r="G28" s="36"/>
      <c r="H28" s="36"/>
      <c r="I28" s="36"/>
      <c r="J28" s="36"/>
      <c r="K28" s="36"/>
      <c r="L28" s="78"/>
      <c r="M28" s="51"/>
      <c r="N28" s="36"/>
      <c r="O28" s="36"/>
      <c r="P28" s="36"/>
      <c r="Q28" s="36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24"/>
      <c r="AD28" s="24"/>
      <c r="AE28" s="24"/>
      <c r="AF28" s="24"/>
      <c r="AG28" s="24"/>
      <c r="AH28" s="24"/>
      <c r="AI28" s="49"/>
      <c r="AJ28" s="49"/>
      <c r="AK28" s="49"/>
      <c r="AL28" s="49"/>
      <c r="AM28" s="49"/>
      <c r="AN28" s="24"/>
      <c r="AO28" s="59"/>
      <c r="AP28" s="54"/>
      <c r="AQ28" s="25"/>
      <c r="AR28" s="23"/>
    </row>
    <row r="29" spans="2:44" ht="13.5" customHeight="1" x14ac:dyDescent="0.4">
      <c r="B29" s="38">
        <v>0.125</v>
      </c>
      <c r="C29" s="36"/>
      <c r="D29" s="36"/>
      <c r="E29" s="36"/>
      <c r="F29" s="36"/>
      <c r="G29" s="36"/>
      <c r="H29" s="36"/>
      <c r="I29" s="31"/>
      <c r="J29" s="31"/>
      <c r="K29" s="31"/>
      <c r="L29" s="79"/>
      <c r="M29" s="51"/>
      <c r="N29" s="36"/>
      <c r="O29" s="36"/>
      <c r="P29" s="36"/>
      <c r="Q29" s="36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24"/>
      <c r="AD29" s="24"/>
      <c r="AE29" s="24"/>
      <c r="AF29" s="24"/>
      <c r="AG29" s="24"/>
      <c r="AH29" s="24"/>
      <c r="AI29" s="49"/>
      <c r="AJ29" s="49"/>
      <c r="AK29" s="49"/>
      <c r="AL29" s="49"/>
      <c r="AM29" s="49"/>
      <c r="AN29" s="24"/>
      <c r="AO29" s="59"/>
      <c r="AP29" s="54"/>
      <c r="AQ29" s="25"/>
      <c r="AR29" s="23"/>
    </row>
    <row r="30" spans="2:44" ht="13.5" customHeight="1" x14ac:dyDescent="0.4">
      <c r="B30" s="38">
        <v>0.16666666666666666</v>
      </c>
      <c r="C30" s="36"/>
      <c r="D30" s="31"/>
      <c r="E30" s="31"/>
      <c r="F30" s="31"/>
      <c r="G30" s="31"/>
      <c r="H30" s="31"/>
      <c r="I30" s="31"/>
      <c r="J30" s="31"/>
      <c r="K30" s="31"/>
      <c r="L30" s="79"/>
      <c r="M30" s="80"/>
      <c r="N30" s="31"/>
      <c r="O30" s="31"/>
      <c r="P30" s="31"/>
      <c r="Q30" s="31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24"/>
      <c r="AD30" s="24"/>
      <c r="AE30" s="24"/>
      <c r="AF30" s="24"/>
      <c r="AG30" s="24"/>
      <c r="AH30" s="24"/>
      <c r="AI30" s="49"/>
      <c r="AJ30" s="49"/>
      <c r="AK30" s="49"/>
      <c r="AL30" s="49"/>
      <c r="AM30" s="49"/>
      <c r="AN30" s="24"/>
      <c r="AO30" s="59"/>
      <c r="AP30" s="54"/>
      <c r="AQ30" s="25"/>
      <c r="AR30" s="23"/>
    </row>
    <row r="31" spans="2:44" ht="13.5" customHeight="1" x14ac:dyDescent="0.4">
      <c r="B31" s="38">
        <v>0.20833333333333334</v>
      </c>
      <c r="C31" s="36"/>
      <c r="D31" s="36"/>
      <c r="E31" s="36"/>
      <c r="F31" s="36"/>
      <c r="G31" s="36"/>
      <c r="H31" s="36"/>
      <c r="I31" s="36"/>
      <c r="J31" s="36"/>
      <c r="K31" s="36"/>
      <c r="L31" s="78"/>
      <c r="M31" s="51"/>
      <c r="N31" s="36"/>
      <c r="O31" s="36"/>
      <c r="P31" s="36"/>
      <c r="Q31" s="36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24"/>
      <c r="AD31" s="24"/>
      <c r="AE31" s="24"/>
      <c r="AF31" s="24"/>
      <c r="AG31" s="24"/>
      <c r="AH31" s="24"/>
      <c r="AI31" s="49"/>
      <c r="AJ31" s="49"/>
      <c r="AK31" s="49"/>
      <c r="AL31" s="49"/>
      <c r="AM31" s="49"/>
      <c r="AN31" s="24"/>
      <c r="AO31" s="59"/>
      <c r="AP31" s="54"/>
      <c r="AQ31" s="25"/>
      <c r="AR31" s="23"/>
    </row>
    <row r="32" spans="2:44" ht="13.5" customHeight="1" x14ac:dyDescent="0.4">
      <c r="B32" s="38">
        <v>0.25</v>
      </c>
      <c r="C32" s="36"/>
      <c r="D32" s="36"/>
      <c r="E32" s="36"/>
      <c r="F32" s="36"/>
      <c r="G32" s="36"/>
      <c r="H32" s="36"/>
      <c r="I32" s="31"/>
      <c r="J32" s="31"/>
      <c r="K32" s="31"/>
      <c r="L32" s="79"/>
      <c r="M32" s="51"/>
      <c r="N32" s="36"/>
      <c r="O32" s="36"/>
      <c r="P32" s="36"/>
      <c r="Q32" s="36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24"/>
      <c r="AD32" s="24"/>
      <c r="AE32" s="24"/>
      <c r="AF32" s="24"/>
      <c r="AG32" s="24"/>
      <c r="AH32" s="24"/>
      <c r="AI32" s="49"/>
      <c r="AJ32" s="49"/>
      <c r="AK32" s="49"/>
      <c r="AL32" s="49"/>
      <c r="AM32" s="49"/>
      <c r="AN32" s="24"/>
      <c r="AO32" s="59"/>
      <c r="AP32" s="54"/>
      <c r="AQ32" s="25"/>
      <c r="AR32" s="23"/>
    </row>
    <row r="33" spans="2:44" ht="13.5" customHeight="1" x14ac:dyDescent="0.4">
      <c r="B33" s="38">
        <v>0.29166666666666669</v>
      </c>
      <c r="C33" s="36"/>
      <c r="D33" s="31"/>
      <c r="E33" s="31"/>
      <c r="F33" s="31"/>
      <c r="G33" s="31"/>
      <c r="H33" s="31"/>
      <c r="I33" s="31"/>
      <c r="J33" s="31"/>
      <c r="K33" s="31"/>
      <c r="L33" s="79"/>
      <c r="M33" s="80"/>
      <c r="N33" s="31"/>
      <c r="O33" s="31"/>
      <c r="P33" s="31"/>
      <c r="Q33" s="31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24"/>
      <c r="AD33" s="24"/>
      <c r="AE33" s="24"/>
      <c r="AF33" s="24"/>
      <c r="AG33" s="24"/>
      <c r="AH33" s="24"/>
      <c r="AI33" s="49"/>
      <c r="AJ33" s="49"/>
      <c r="AK33" s="49"/>
      <c r="AL33" s="49"/>
      <c r="AM33" s="49"/>
      <c r="AN33" s="24"/>
      <c r="AO33" s="59"/>
      <c r="AP33" s="54"/>
      <c r="AQ33" s="25"/>
      <c r="AR33" s="23"/>
    </row>
    <row r="34" spans="2:44" ht="13.5" customHeight="1" x14ac:dyDescent="0.4">
      <c r="B34" s="84">
        <v>0.33333333333333331</v>
      </c>
      <c r="C34" s="46"/>
      <c r="D34" s="46"/>
      <c r="E34" s="46"/>
      <c r="F34" s="46"/>
      <c r="G34" s="46"/>
      <c r="H34" s="46"/>
      <c r="I34" s="46"/>
      <c r="J34" s="46"/>
      <c r="K34" s="46"/>
      <c r="L34" s="81"/>
      <c r="M34" s="52"/>
      <c r="N34" s="46"/>
      <c r="O34" s="46"/>
      <c r="P34" s="46"/>
      <c r="Q34" s="4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58"/>
      <c r="AJ34" s="58"/>
      <c r="AK34" s="58"/>
      <c r="AL34" s="58"/>
      <c r="AM34" s="58"/>
      <c r="AN34" s="13"/>
      <c r="AO34" s="60"/>
      <c r="AP34" s="61"/>
      <c r="AQ34" s="22"/>
      <c r="AR34" s="21"/>
    </row>
    <row r="35" spans="2:44" s="29" customFormat="1" ht="15" customHeight="1" x14ac:dyDescent="0.4">
      <c r="B35" s="254" t="s">
        <v>181</v>
      </c>
      <c r="C35" s="198" t="s">
        <v>38</v>
      </c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200" t="s">
        <v>216</v>
      </c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2"/>
      <c r="AK35" s="217" t="s">
        <v>48</v>
      </c>
      <c r="AL35" s="218"/>
      <c r="AM35" s="203" t="s">
        <v>223</v>
      </c>
      <c r="AN35" s="204"/>
      <c r="AO35" s="86"/>
      <c r="AP35" s="86"/>
      <c r="AQ35" s="86"/>
      <c r="AR35" s="87"/>
    </row>
    <row r="36" spans="2:44" s="29" customFormat="1" ht="20.100000000000001" customHeight="1" x14ac:dyDescent="0.4">
      <c r="B36" s="255"/>
      <c r="C36" s="209" t="s">
        <v>32</v>
      </c>
      <c r="D36" s="215"/>
      <c r="E36" s="209" t="s">
        <v>33</v>
      </c>
      <c r="F36" s="214"/>
      <c r="G36" s="215"/>
      <c r="H36" s="205" t="s">
        <v>276</v>
      </c>
      <c r="I36" s="206"/>
      <c r="J36" s="32" t="s">
        <v>27</v>
      </c>
      <c r="K36" s="32" t="s">
        <v>30</v>
      </c>
      <c r="L36" s="32" t="s">
        <v>191</v>
      </c>
      <c r="M36" s="207" t="s">
        <v>192</v>
      </c>
      <c r="N36" s="208"/>
      <c r="O36" s="32" t="s">
        <v>26</v>
      </c>
      <c r="P36" s="32" t="s">
        <v>197</v>
      </c>
      <c r="Q36" s="209" t="s">
        <v>199</v>
      </c>
      <c r="R36" s="216"/>
      <c r="S36" s="209" t="s">
        <v>202</v>
      </c>
      <c r="T36" s="216"/>
      <c r="U36" s="209" t="s">
        <v>201</v>
      </c>
      <c r="V36" s="210"/>
      <c r="W36" s="62" t="s">
        <v>15</v>
      </c>
      <c r="X36" s="32" t="s">
        <v>12</v>
      </c>
      <c r="Y36" s="33" t="s">
        <v>204</v>
      </c>
      <c r="Z36" s="33" t="s">
        <v>205</v>
      </c>
      <c r="AA36" s="33" t="s">
        <v>206</v>
      </c>
      <c r="AB36" s="8" t="s">
        <v>207</v>
      </c>
      <c r="AC36" s="33" t="s">
        <v>208</v>
      </c>
      <c r="AD36" s="33" t="s">
        <v>210</v>
      </c>
      <c r="AE36" s="33" t="s">
        <v>211</v>
      </c>
      <c r="AF36" s="8" t="s">
        <v>212</v>
      </c>
      <c r="AG36" s="27" t="s">
        <v>213</v>
      </c>
      <c r="AH36" s="211" t="s">
        <v>46</v>
      </c>
      <c r="AI36" s="212"/>
      <c r="AJ36" s="213"/>
      <c r="AK36" s="27" t="s">
        <v>15</v>
      </c>
      <c r="AL36" s="63" t="s">
        <v>12</v>
      </c>
      <c r="AM36" s="47" t="s">
        <v>224</v>
      </c>
      <c r="AN36" s="49" t="s">
        <v>225</v>
      </c>
      <c r="AO36" s="27"/>
      <c r="AP36" s="27"/>
      <c r="AQ36" s="27"/>
      <c r="AR36" s="28"/>
    </row>
    <row r="37" spans="2:44" s="29" customFormat="1" ht="22" customHeight="1" x14ac:dyDescent="0.4">
      <c r="B37" s="255"/>
      <c r="C37" s="32" t="s">
        <v>186</v>
      </c>
      <c r="D37" s="32" t="s">
        <v>187</v>
      </c>
      <c r="E37" s="32" t="s">
        <v>34</v>
      </c>
      <c r="F37" s="32" t="s">
        <v>188</v>
      </c>
      <c r="G37" s="32" t="s">
        <v>189</v>
      </c>
      <c r="H37" s="32" t="s">
        <v>277</v>
      </c>
      <c r="I37" s="32" t="s">
        <v>278</v>
      </c>
      <c r="J37" s="32" t="s">
        <v>25</v>
      </c>
      <c r="K37" s="32" t="s">
        <v>31</v>
      </c>
      <c r="L37" s="31" t="s">
        <v>29</v>
      </c>
      <c r="M37" s="34" t="s">
        <v>193</v>
      </c>
      <c r="N37" s="34" t="s">
        <v>194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209</v>
      </c>
      <c r="AD37" s="32" t="s">
        <v>43</v>
      </c>
      <c r="AE37" s="35" t="s">
        <v>44</v>
      </c>
      <c r="AF37" s="33" t="s">
        <v>45</v>
      </c>
      <c r="AG37" s="27" t="s">
        <v>214</v>
      </c>
      <c r="AH37" s="27" t="s">
        <v>217</v>
      </c>
      <c r="AI37" s="27" t="s">
        <v>218</v>
      </c>
      <c r="AJ37" s="27" t="s">
        <v>219</v>
      </c>
      <c r="AK37" s="25" t="s">
        <v>221</v>
      </c>
      <c r="AL37" s="59" t="s">
        <v>222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255"/>
      <c r="C38" s="50" t="s">
        <v>182</v>
      </c>
      <c r="D38" s="45" t="s">
        <v>183</v>
      </c>
      <c r="E38" s="30" t="s">
        <v>185</v>
      </c>
      <c r="F38" s="50" t="s">
        <v>182</v>
      </c>
      <c r="G38" s="45" t="s">
        <v>183</v>
      </c>
      <c r="H38" s="50" t="s">
        <v>279</v>
      </c>
      <c r="I38" s="45" t="s">
        <v>183</v>
      </c>
      <c r="J38" s="30" t="s">
        <v>185</v>
      </c>
      <c r="K38" s="36" t="s">
        <v>190</v>
      </c>
      <c r="L38" s="30" t="s">
        <v>185</v>
      </c>
      <c r="M38" s="36" t="s">
        <v>463</v>
      </c>
      <c r="N38" s="36" t="s">
        <v>462</v>
      </c>
      <c r="O38" s="30" t="s">
        <v>185</v>
      </c>
      <c r="P38" s="36" t="s">
        <v>198</v>
      </c>
      <c r="Q38" s="30" t="s">
        <v>200</v>
      </c>
      <c r="R38" s="45" t="s">
        <v>183</v>
      </c>
      <c r="S38" s="30" t="s">
        <v>200</v>
      </c>
      <c r="T38" s="45" t="s">
        <v>183</v>
      </c>
      <c r="U38" s="30" t="s">
        <v>200</v>
      </c>
      <c r="V38" s="72" t="s">
        <v>183</v>
      </c>
      <c r="W38" s="65" t="s">
        <v>203</v>
      </c>
      <c r="X38" s="34" t="s">
        <v>184</v>
      </c>
      <c r="Y38" s="33" t="s">
        <v>190</v>
      </c>
      <c r="Z38" s="34" t="s">
        <v>195</v>
      </c>
      <c r="AA38" s="34" t="s">
        <v>184</v>
      </c>
      <c r="AB38" s="34" t="s">
        <v>184</v>
      </c>
      <c r="AC38" s="33" t="s">
        <v>190</v>
      </c>
      <c r="AD38" s="34" t="s">
        <v>195</v>
      </c>
      <c r="AE38" s="34" t="s">
        <v>184</v>
      </c>
      <c r="AF38" s="34" t="s">
        <v>184</v>
      </c>
      <c r="AG38" s="27" t="s">
        <v>215</v>
      </c>
      <c r="AH38" s="37" t="s">
        <v>203</v>
      </c>
      <c r="AI38" s="34" t="s">
        <v>195</v>
      </c>
      <c r="AJ38" s="34" t="s">
        <v>196</v>
      </c>
      <c r="AK38" s="25" t="s">
        <v>203</v>
      </c>
      <c r="AL38" s="59" t="s">
        <v>220</v>
      </c>
      <c r="AM38" s="47" t="s">
        <v>203</v>
      </c>
      <c r="AN38" s="49" t="s">
        <v>203</v>
      </c>
      <c r="AO38" s="27"/>
      <c r="AP38" s="27"/>
      <c r="AQ38" s="27"/>
      <c r="AR38" s="28"/>
    </row>
    <row r="39" spans="2:44" s="29" customFormat="1" ht="13.5" customHeight="1" x14ac:dyDescent="0.4">
      <c r="B39" s="83" t="s">
        <v>50</v>
      </c>
      <c r="C39" s="36"/>
      <c r="D39" s="36"/>
      <c r="E39" s="36"/>
      <c r="F39" s="36"/>
      <c r="G39" s="36"/>
      <c r="H39" s="36"/>
      <c r="I39" s="36"/>
      <c r="J39" s="36"/>
      <c r="K39" s="31"/>
      <c r="L39" s="31"/>
      <c r="M39" s="31"/>
      <c r="N39" s="31"/>
      <c r="O39" s="36"/>
      <c r="P39" s="36"/>
      <c r="Q39" s="36"/>
      <c r="R39" s="36"/>
      <c r="S39" s="36"/>
      <c r="T39" s="36"/>
      <c r="U39" s="34"/>
      <c r="V39" s="73"/>
      <c r="W39" s="66"/>
      <c r="X39" s="33"/>
      <c r="Y39" s="34"/>
      <c r="Z39" s="33"/>
      <c r="AA39" s="33"/>
      <c r="AB39" s="34"/>
      <c r="AC39" s="33"/>
      <c r="AD39" s="33"/>
      <c r="AE39" s="27"/>
      <c r="AF39" s="27"/>
      <c r="AG39" s="27"/>
      <c r="AH39" s="27"/>
      <c r="AI39" s="27"/>
      <c r="AJ39" s="27"/>
      <c r="AK39" s="27"/>
      <c r="AL39" s="63"/>
      <c r="AM39" s="47"/>
      <c r="AN39" s="49"/>
      <c r="AO39" s="27"/>
      <c r="AP39" s="27"/>
      <c r="AQ39" s="27"/>
      <c r="AR39" s="28"/>
    </row>
    <row r="40" spans="2:44" s="29" customFormat="1" ht="13.5" customHeight="1" x14ac:dyDescent="0.4">
      <c r="B40" s="38">
        <v>0.875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4"/>
      <c r="V40" s="73"/>
      <c r="W40" s="66"/>
      <c r="X40" s="33"/>
      <c r="Y40" s="34"/>
      <c r="Z40" s="33"/>
      <c r="AA40" s="33"/>
      <c r="AB40" s="34"/>
      <c r="AC40" s="33"/>
      <c r="AD40" s="33"/>
      <c r="AE40" s="27"/>
      <c r="AF40" s="27"/>
      <c r="AG40" s="27"/>
      <c r="AH40" s="27"/>
      <c r="AI40" s="27"/>
      <c r="AJ40" s="27"/>
      <c r="AK40" s="27"/>
      <c r="AL40" s="63"/>
      <c r="AM40" s="47"/>
      <c r="AN40" s="49"/>
      <c r="AO40" s="27"/>
      <c r="AP40" s="27"/>
      <c r="AQ40" s="27"/>
      <c r="AR40" s="28"/>
    </row>
    <row r="41" spans="2:44" s="29" customFormat="1" ht="13.5" customHeight="1" x14ac:dyDescent="0.4">
      <c r="B41" s="83" t="s">
        <v>271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4"/>
      <c r="V41" s="73"/>
      <c r="W41" s="66"/>
      <c r="X41" s="33"/>
      <c r="Y41" s="34"/>
      <c r="Z41" s="33"/>
      <c r="AA41" s="33"/>
      <c r="AB41" s="34"/>
      <c r="AC41" s="33"/>
      <c r="AD41" s="33"/>
      <c r="AE41" s="27"/>
      <c r="AF41" s="27"/>
      <c r="AG41" s="27"/>
      <c r="AH41" s="27"/>
      <c r="AI41" s="27"/>
      <c r="AJ41" s="27"/>
      <c r="AK41" s="27"/>
      <c r="AL41" s="63"/>
      <c r="AM41" s="47"/>
      <c r="AN41" s="49"/>
      <c r="AO41" s="27"/>
      <c r="AP41" s="27"/>
      <c r="AQ41" s="27"/>
      <c r="AR41" s="28"/>
    </row>
    <row r="42" spans="2:44" s="29" customFormat="1" ht="13.5" customHeight="1" x14ac:dyDescent="0.4">
      <c r="B42" s="38">
        <v>0.95833333333333337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4"/>
      <c r="V42" s="73"/>
      <c r="W42" s="66"/>
      <c r="X42" s="33"/>
      <c r="Y42" s="34"/>
      <c r="Z42" s="33"/>
      <c r="AA42" s="33"/>
      <c r="AB42" s="34"/>
      <c r="AC42" s="33"/>
      <c r="AD42" s="33"/>
      <c r="AE42" s="27"/>
      <c r="AF42" s="27"/>
      <c r="AG42" s="27"/>
      <c r="AH42" s="27"/>
      <c r="AI42" s="27"/>
      <c r="AJ42" s="27"/>
      <c r="AK42" s="27"/>
      <c r="AL42" s="63"/>
      <c r="AM42" s="47"/>
      <c r="AN42" s="49"/>
      <c r="AO42" s="27"/>
      <c r="AP42" s="27"/>
      <c r="AQ42" s="27"/>
      <c r="AR42" s="28"/>
    </row>
    <row r="43" spans="2:44" s="29" customFormat="1" ht="13.5" customHeight="1" x14ac:dyDescent="0.4">
      <c r="B43" s="83" t="s">
        <v>272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4"/>
      <c r="V43" s="73"/>
      <c r="W43" s="66"/>
      <c r="X43" s="33"/>
      <c r="Y43" s="34"/>
      <c r="Z43" s="33"/>
      <c r="AA43" s="33"/>
      <c r="AB43" s="34"/>
      <c r="AC43" s="33"/>
      <c r="AD43" s="33"/>
      <c r="AE43" s="27"/>
      <c r="AF43" s="27"/>
      <c r="AG43" s="27"/>
      <c r="AH43" s="27"/>
      <c r="AI43" s="27"/>
      <c r="AJ43" s="27"/>
      <c r="AK43" s="27"/>
      <c r="AL43" s="63"/>
      <c r="AM43" s="47"/>
      <c r="AN43" s="49"/>
      <c r="AO43" s="27"/>
      <c r="AP43" s="27"/>
      <c r="AQ43" s="27"/>
      <c r="AR43" s="28"/>
    </row>
    <row r="44" spans="2:44" s="29" customFormat="1" ht="13.5" customHeight="1" x14ac:dyDescent="0.4">
      <c r="B44" s="38">
        <v>4.1666666666666664E-2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4"/>
      <c r="V44" s="73"/>
      <c r="W44" s="66"/>
      <c r="X44" s="33"/>
      <c r="Y44" s="34"/>
      <c r="Z44" s="33"/>
      <c r="AA44" s="33"/>
      <c r="AB44" s="34"/>
      <c r="AC44" s="33"/>
      <c r="AD44" s="33"/>
      <c r="AE44" s="27"/>
      <c r="AF44" s="27"/>
      <c r="AG44" s="27"/>
      <c r="AH44" s="27"/>
      <c r="AI44" s="27"/>
      <c r="AJ44" s="27"/>
      <c r="AK44" s="27"/>
      <c r="AL44" s="63"/>
      <c r="AM44" s="47"/>
      <c r="AN44" s="49"/>
      <c r="AO44" s="27"/>
      <c r="AP44" s="27"/>
      <c r="AQ44" s="27"/>
      <c r="AR44" s="28"/>
    </row>
    <row r="45" spans="2:44" s="29" customFormat="1" ht="13.5" customHeight="1" x14ac:dyDescent="0.4">
      <c r="B45" s="83" t="s">
        <v>273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4"/>
      <c r="V45" s="73"/>
      <c r="W45" s="66"/>
      <c r="X45" s="33"/>
      <c r="Y45" s="34"/>
      <c r="Z45" s="33"/>
      <c r="AA45" s="33"/>
      <c r="AB45" s="34"/>
      <c r="AC45" s="33"/>
      <c r="AD45" s="33"/>
      <c r="AE45" s="27"/>
      <c r="AF45" s="27"/>
      <c r="AG45" s="27"/>
      <c r="AH45" s="27"/>
      <c r="AI45" s="27"/>
      <c r="AJ45" s="27"/>
      <c r="AK45" s="27"/>
      <c r="AL45" s="63"/>
      <c r="AM45" s="47"/>
      <c r="AN45" s="49"/>
      <c r="AO45" s="27"/>
      <c r="AP45" s="27"/>
      <c r="AQ45" s="27"/>
      <c r="AR45" s="28"/>
    </row>
    <row r="46" spans="2:44" s="29" customFormat="1" ht="13.5" customHeight="1" x14ac:dyDescent="0.4">
      <c r="B46" s="38">
        <v>0.125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4"/>
      <c r="V46" s="73"/>
      <c r="W46" s="66"/>
      <c r="X46" s="33"/>
      <c r="Y46" s="34"/>
      <c r="Z46" s="33"/>
      <c r="AA46" s="33"/>
      <c r="AB46" s="34"/>
      <c r="AC46" s="33"/>
      <c r="AD46" s="33"/>
      <c r="AE46" s="27"/>
      <c r="AF46" s="27"/>
      <c r="AG46" s="27"/>
      <c r="AH46" s="27"/>
      <c r="AI46" s="27"/>
      <c r="AJ46" s="27"/>
      <c r="AK46" s="27"/>
      <c r="AL46" s="63"/>
      <c r="AM46" s="47"/>
      <c r="AN46" s="49"/>
      <c r="AO46" s="27"/>
      <c r="AP46" s="27"/>
      <c r="AQ46" s="27"/>
      <c r="AR46" s="28"/>
    </row>
    <row r="47" spans="2:44" s="29" customFormat="1" ht="13.5" customHeight="1" x14ac:dyDescent="0.4">
      <c r="B47" s="38">
        <v>0.16666666666666666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4"/>
      <c r="V47" s="73"/>
      <c r="W47" s="66"/>
      <c r="X47" s="33"/>
      <c r="Y47" s="34"/>
      <c r="Z47" s="33"/>
      <c r="AA47" s="33"/>
      <c r="AB47" s="34"/>
      <c r="AC47" s="33"/>
      <c r="AD47" s="33"/>
      <c r="AE47" s="27"/>
      <c r="AF47" s="27"/>
      <c r="AG47" s="27"/>
      <c r="AH47" s="27"/>
      <c r="AI47" s="27"/>
      <c r="AJ47" s="27"/>
      <c r="AK47" s="27"/>
      <c r="AL47" s="63"/>
      <c r="AM47" s="47"/>
      <c r="AN47" s="49"/>
      <c r="AO47" s="27"/>
      <c r="AP47" s="27"/>
      <c r="AQ47" s="27"/>
      <c r="AR47" s="28"/>
    </row>
    <row r="48" spans="2:44" s="29" customFormat="1" ht="13.5" customHeight="1" x14ac:dyDescent="0.4">
      <c r="B48" s="38">
        <v>0.20833333333333334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4"/>
      <c r="V48" s="73"/>
      <c r="W48" s="66"/>
      <c r="X48" s="33"/>
      <c r="Y48" s="34"/>
      <c r="Z48" s="33"/>
      <c r="AA48" s="33"/>
      <c r="AB48" s="34"/>
      <c r="AC48" s="33"/>
      <c r="AD48" s="33"/>
      <c r="AE48" s="27"/>
      <c r="AF48" s="27"/>
      <c r="AG48" s="27"/>
      <c r="AH48" s="27"/>
      <c r="AI48" s="27"/>
      <c r="AJ48" s="27"/>
      <c r="AK48" s="27"/>
      <c r="AL48" s="63"/>
      <c r="AM48" s="47"/>
      <c r="AN48" s="49"/>
      <c r="AO48" s="27"/>
      <c r="AP48" s="27"/>
      <c r="AQ48" s="27"/>
      <c r="AR48" s="28"/>
    </row>
    <row r="49" spans="2:44" s="29" customFormat="1" ht="13.5" customHeight="1" x14ac:dyDescent="0.4">
      <c r="B49" s="38">
        <v>0.25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4"/>
      <c r="V49" s="73"/>
      <c r="W49" s="66"/>
      <c r="X49" s="33"/>
      <c r="Y49" s="34"/>
      <c r="Z49" s="33"/>
      <c r="AA49" s="33"/>
      <c r="AB49" s="34"/>
      <c r="AC49" s="33"/>
      <c r="AD49" s="33"/>
      <c r="AE49" s="27"/>
      <c r="AF49" s="27"/>
      <c r="AG49" s="27"/>
      <c r="AH49" s="27"/>
      <c r="AI49" s="27"/>
      <c r="AJ49" s="27"/>
      <c r="AK49" s="27"/>
      <c r="AL49" s="63"/>
      <c r="AM49" s="47"/>
      <c r="AN49" s="49"/>
      <c r="AO49" s="27"/>
      <c r="AP49" s="27"/>
      <c r="AQ49" s="27"/>
      <c r="AR49" s="28"/>
    </row>
    <row r="50" spans="2:44" s="29" customFormat="1" ht="13.5" customHeight="1" x14ac:dyDescent="0.4">
      <c r="B50" s="38">
        <v>0.29166666666666669</v>
      </c>
      <c r="C50" s="36"/>
      <c r="D50" s="36"/>
      <c r="E50" s="36"/>
      <c r="F50" s="36"/>
      <c r="G50" s="36"/>
      <c r="H50" s="36"/>
      <c r="I50" s="36"/>
      <c r="J50" s="36"/>
      <c r="K50" s="31"/>
      <c r="L50" s="31"/>
      <c r="M50" s="31"/>
      <c r="N50" s="31"/>
      <c r="O50" s="36"/>
      <c r="P50" s="36"/>
      <c r="Q50" s="36"/>
      <c r="R50" s="36"/>
      <c r="S50" s="36"/>
      <c r="T50" s="36"/>
      <c r="U50" s="34"/>
      <c r="V50" s="73"/>
      <c r="W50" s="66"/>
      <c r="X50" s="33"/>
      <c r="Y50" s="34"/>
      <c r="Z50" s="33"/>
      <c r="AA50" s="33"/>
      <c r="AB50" s="34"/>
      <c r="AC50" s="33"/>
      <c r="AD50" s="33"/>
      <c r="AE50" s="27"/>
      <c r="AF50" s="27"/>
      <c r="AG50" s="27"/>
      <c r="AH50" s="27"/>
      <c r="AI50" s="27"/>
      <c r="AJ50" s="27"/>
      <c r="AK50" s="27"/>
      <c r="AL50" s="63"/>
      <c r="AM50" s="47"/>
      <c r="AN50" s="49"/>
      <c r="AO50" s="27"/>
      <c r="AP50" s="27"/>
      <c r="AQ50" s="27"/>
      <c r="AR50" s="28"/>
    </row>
    <row r="51" spans="2:44" s="29" customFormat="1" ht="13.5" customHeight="1" x14ac:dyDescent="0.4">
      <c r="B51" s="84">
        <v>0.33333333333333331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40"/>
      <c r="V51" s="74"/>
      <c r="W51" s="67"/>
      <c r="X51" s="41"/>
      <c r="Y51" s="40"/>
      <c r="Z51" s="41"/>
      <c r="AA51" s="41"/>
      <c r="AB51" s="40"/>
      <c r="AC51" s="41"/>
      <c r="AD51" s="41"/>
      <c r="AE51" s="42"/>
      <c r="AF51" s="42"/>
      <c r="AG51" s="42"/>
      <c r="AH51" s="42"/>
      <c r="AI51" s="42"/>
      <c r="AJ51" s="42"/>
      <c r="AK51" s="42"/>
      <c r="AL51" s="68"/>
      <c r="AM51" s="70"/>
      <c r="AN51" s="58"/>
      <c r="AO51" s="42"/>
      <c r="AP51" s="42"/>
      <c r="AQ51" s="42"/>
      <c r="AR51" s="88"/>
    </row>
    <row r="52" spans="2:44" ht="13.5" customHeight="1" x14ac:dyDescent="0.4">
      <c r="B52" s="268" t="s">
        <v>49</v>
      </c>
      <c r="C52" s="269"/>
      <c r="D52" s="12" t="s">
        <v>274</v>
      </c>
      <c r="E52" s="243" t="s">
        <v>20</v>
      </c>
      <c r="F52" s="246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7"/>
      <c r="AG52" s="247"/>
      <c r="AH52" s="247"/>
      <c r="AI52" s="247"/>
      <c r="AJ52" s="247"/>
      <c r="AK52" s="247"/>
      <c r="AL52" s="247"/>
      <c r="AM52" s="247"/>
      <c r="AN52" s="247"/>
      <c r="AO52" s="248"/>
      <c r="AP52" s="248"/>
      <c r="AQ52" s="248"/>
      <c r="AR52" s="249"/>
    </row>
    <row r="53" spans="2:44" ht="13.5" customHeight="1" x14ac:dyDescent="0.4">
      <c r="B53" s="242" t="s">
        <v>275</v>
      </c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31"/>
      <c r="AP53" s="231"/>
      <c r="AQ53" s="231"/>
      <c r="AR53" s="250"/>
    </row>
    <row r="54" spans="2:44" ht="13.5" customHeight="1" thickBot="1" x14ac:dyDescent="0.45">
      <c r="B54" s="253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51"/>
      <c r="AP54" s="251"/>
      <c r="AQ54" s="251"/>
      <c r="AR54" s="25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3F1F-5760-4265-BDF5-19B9701076ED}">
  <dimension ref="B1:BF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  <col min="16184" max="16384" width="9" style="29"/>
  </cols>
  <sheetData>
    <row r="1" spans="2:58" ht="17.5" customHeight="1" thickBot="1" x14ac:dyDescent="0.45">
      <c r="B1" s="278" t="s">
        <v>230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79"/>
      <c r="AZ1" s="279"/>
      <c r="BA1" s="279"/>
      <c r="BB1" s="279"/>
      <c r="BC1" s="279"/>
      <c r="BD1" s="279"/>
      <c r="BE1" s="279"/>
      <c r="BF1" s="279"/>
    </row>
    <row r="2" spans="2:58" ht="13" customHeight="1" x14ac:dyDescent="0.4">
      <c r="B2" s="327" t="s">
        <v>232</v>
      </c>
      <c r="C2" s="328"/>
      <c r="D2" s="328"/>
      <c r="E2" s="328"/>
      <c r="F2" s="328"/>
      <c r="G2" s="328"/>
      <c r="H2" s="328"/>
      <c r="I2" s="328"/>
      <c r="J2" s="328"/>
      <c r="K2" s="328"/>
      <c r="L2" s="329"/>
      <c r="M2" s="330" t="s">
        <v>231</v>
      </c>
      <c r="N2" s="328"/>
      <c r="O2" s="328"/>
      <c r="P2" s="328"/>
      <c r="Q2" s="328"/>
      <c r="R2" s="328"/>
      <c r="S2" s="328"/>
      <c r="T2" s="328"/>
      <c r="U2" s="328"/>
      <c r="V2" s="328"/>
      <c r="W2" s="329"/>
      <c r="X2" s="221" t="s">
        <v>233</v>
      </c>
      <c r="Y2" s="328"/>
      <c r="Z2" s="328"/>
      <c r="AA2" s="328"/>
      <c r="AB2" s="328"/>
      <c r="AC2" s="328"/>
      <c r="AD2" s="328"/>
      <c r="AE2" s="328"/>
      <c r="AF2" s="328"/>
      <c r="AG2" s="328"/>
      <c r="AH2" s="329"/>
      <c r="AI2" s="330" t="s">
        <v>234</v>
      </c>
      <c r="AJ2" s="328"/>
      <c r="AK2" s="328"/>
      <c r="AL2" s="328"/>
      <c r="AM2" s="328"/>
      <c r="AN2" s="328"/>
      <c r="AO2" s="328"/>
      <c r="AP2" s="328"/>
      <c r="AQ2" s="328"/>
      <c r="AR2" s="328"/>
      <c r="AS2" s="328"/>
      <c r="AT2" s="329"/>
      <c r="AU2" s="221" t="s">
        <v>235</v>
      </c>
      <c r="AV2" s="328"/>
      <c r="AW2" s="328"/>
      <c r="AX2" s="328"/>
      <c r="AY2" s="328"/>
      <c r="AZ2" s="328"/>
      <c r="BA2" s="328"/>
      <c r="BB2" s="328"/>
      <c r="BC2" s="328"/>
      <c r="BD2" s="328"/>
      <c r="BE2" s="328"/>
      <c r="BF2" s="331"/>
    </row>
    <row r="3" spans="2:58" ht="13" customHeight="1" x14ac:dyDescent="0.4">
      <c r="B3" s="293"/>
      <c r="C3" s="294"/>
      <c r="D3" s="294"/>
      <c r="E3" s="294"/>
      <c r="F3" s="294"/>
      <c r="G3" s="294"/>
      <c r="H3" s="294"/>
      <c r="I3" s="294"/>
      <c r="J3" s="294"/>
      <c r="K3" s="294"/>
      <c r="L3" s="295"/>
      <c r="M3" s="301"/>
      <c r="N3" s="294"/>
      <c r="O3" s="294"/>
      <c r="P3" s="294"/>
      <c r="Q3" s="294"/>
      <c r="R3" s="294"/>
      <c r="S3" s="294"/>
      <c r="T3" s="294"/>
      <c r="U3" s="294"/>
      <c r="V3" s="294"/>
      <c r="W3" s="295"/>
      <c r="X3" s="305"/>
      <c r="Y3" s="294"/>
      <c r="Z3" s="294"/>
      <c r="AA3" s="294"/>
      <c r="AB3" s="294"/>
      <c r="AC3" s="294"/>
      <c r="AD3" s="294"/>
      <c r="AE3" s="294"/>
      <c r="AF3" s="294"/>
      <c r="AG3" s="294"/>
      <c r="AH3" s="295"/>
      <c r="AI3" s="306"/>
      <c r="AJ3" s="294"/>
      <c r="AK3" s="294"/>
      <c r="AL3" s="294"/>
      <c r="AM3" s="294"/>
      <c r="AN3" s="294"/>
      <c r="AO3" s="294"/>
      <c r="AP3" s="294"/>
      <c r="AQ3" s="294"/>
      <c r="AR3" s="294"/>
      <c r="AS3" s="294"/>
      <c r="AT3" s="295"/>
      <c r="AU3" s="305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307"/>
    </row>
    <row r="4" spans="2:58" ht="13" customHeight="1" x14ac:dyDescent="0.4">
      <c r="B4" s="296"/>
      <c r="C4" s="297"/>
      <c r="D4" s="297"/>
      <c r="E4" s="297"/>
      <c r="F4" s="297"/>
      <c r="G4" s="297"/>
      <c r="H4" s="297"/>
      <c r="I4" s="297"/>
      <c r="J4" s="297"/>
      <c r="K4" s="297"/>
      <c r="L4" s="298"/>
      <c r="M4" s="302"/>
      <c r="N4" s="297"/>
      <c r="O4" s="297"/>
      <c r="P4" s="297"/>
      <c r="Q4" s="297"/>
      <c r="R4" s="297"/>
      <c r="S4" s="297"/>
      <c r="T4" s="297"/>
      <c r="U4" s="297"/>
      <c r="V4" s="297"/>
      <c r="W4" s="298"/>
      <c r="X4" s="302"/>
      <c r="Y4" s="297"/>
      <c r="Z4" s="297"/>
      <c r="AA4" s="297"/>
      <c r="AB4" s="297"/>
      <c r="AC4" s="297"/>
      <c r="AD4" s="297"/>
      <c r="AE4" s="297"/>
      <c r="AF4" s="297"/>
      <c r="AG4" s="297"/>
      <c r="AH4" s="298"/>
      <c r="AI4" s="302"/>
      <c r="AJ4" s="297"/>
      <c r="AK4" s="297"/>
      <c r="AL4" s="297"/>
      <c r="AM4" s="297"/>
      <c r="AN4" s="297"/>
      <c r="AO4" s="297"/>
      <c r="AP4" s="297"/>
      <c r="AQ4" s="297"/>
      <c r="AR4" s="297"/>
      <c r="AS4" s="297"/>
      <c r="AT4" s="298"/>
      <c r="AU4" s="302"/>
      <c r="AV4" s="297"/>
      <c r="AW4" s="297"/>
      <c r="AX4" s="297"/>
      <c r="AY4" s="297"/>
      <c r="AZ4" s="297"/>
      <c r="BA4" s="297"/>
      <c r="BB4" s="297"/>
      <c r="BC4" s="297"/>
      <c r="BD4" s="297"/>
      <c r="BE4" s="297"/>
      <c r="BF4" s="308"/>
    </row>
    <row r="5" spans="2:58" ht="13" customHeight="1" x14ac:dyDescent="0.4">
      <c r="B5" s="296"/>
      <c r="C5" s="297"/>
      <c r="D5" s="297"/>
      <c r="E5" s="297"/>
      <c r="F5" s="297"/>
      <c r="G5" s="297"/>
      <c r="H5" s="297"/>
      <c r="I5" s="297"/>
      <c r="J5" s="297"/>
      <c r="K5" s="297"/>
      <c r="L5" s="298"/>
      <c r="M5" s="302"/>
      <c r="N5" s="297"/>
      <c r="O5" s="297"/>
      <c r="P5" s="297"/>
      <c r="Q5" s="297"/>
      <c r="R5" s="297"/>
      <c r="S5" s="297"/>
      <c r="T5" s="297"/>
      <c r="U5" s="297"/>
      <c r="V5" s="297"/>
      <c r="W5" s="298"/>
      <c r="X5" s="302"/>
      <c r="Y5" s="297"/>
      <c r="Z5" s="297"/>
      <c r="AA5" s="297"/>
      <c r="AB5" s="297"/>
      <c r="AC5" s="297"/>
      <c r="AD5" s="297"/>
      <c r="AE5" s="297"/>
      <c r="AF5" s="297"/>
      <c r="AG5" s="297"/>
      <c r="AH5" s="298"/>
      <c r="AI5" s="302"/>
      <c r="AJ5" s="297"/>
      <c r="AK5" s="297"/>
      <c r="AL5" s="297"/>
      <c r="AM5" s="297"/>
      <c r="AN5" s="297"/>
      <c r="AO5" s="297"/>
      <c r="AP5" s="297"/>
      <c r="AQ5" s="297"/>
      <c r="AR5" s="297"/>
      <c r="AS5" s="297"/>
      <c r="AT5" s="298"/>
      <c r="AU5" s="302"/>
      <c r="AV5" s="297"/>
      <c r="AW5" s="297"/>
      <c r="AX5" s="297"/>
      <c r="AY5" s="297"/>
      <c r="AZ5" s="297"/>
      <c r="BA5" s="297"/>
      <c r="BB5" s="297"/>
      <c r="BC5" s="297"/>
      <c r="BD5" s="297"/>
      <c r="BE5" s="297"/>
      <c r="BF5" s="308"/>
    </row>
    <row r="6" spans="2:58" ht="13" customHeight="1" x14ac:dyDescent="0.4">
      <c r="B6" s="296"/>
      <c r="C6" s="297"/>
      <c r="D6" s="297"/>
      <c r="E6" s="297"/>
      <c r="F6" s="297"/>
      <c r="G6" s="297"/>
      <c r="H6" s="297"/>
      <c r="I6" s="297"/>
      <c r="J6" s="297"/>
      <c r="K6" s="297"/>
      <c r="L6" s="298"/>
      <c r="M6" s="302"/>
      <c r="N6" s="297"/>
      <c r="O6" s="297"/>
      <c r="P6" s="297"/>
      <c r="Q6" s="297"/>
      <c r="R6" s="297"/>
      <c r="S6" s="297"/>
      <c r="T6" s="297"/>
      <c r="U6" s="297"/>
      <c r="V6" s="297"/>
      <c r="W6" s="298"/>
      <c r="X6" s="302"/>
      <c r="Y6" s="297"/>
      <c r="Z6" s="297"/>
      <c r="AA6" s="297"/>
      <c r="AB6" s="297"/>
      <c r="AC6" s="297"/>
      <c r="AD6" s="297"/>
      <c r="AE6" s="297"/>
      <c r="AF6" s="297"/>
      <c r="AG6" s="297"/>
      <c r="AH6" s="298"/>
      <c r="AI6" s="302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8"/>
      <c r="AU6" s="302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308"/>
    </row>
    <row r="7" spans="2:58" ht="13" customHeight="1" x14ac:dyDescent="0.4">
      <c r="B7" s="296"/>
      <c r="C7" s="297"/>
      <c r="D7" s="297"/>
      <c r="E7" s="297"/>
      <c r="F7" s="297"/>
      <c r="G7" s="297"/>
      <c r="H7" s="297"/>
      <c r="I7" s="297"/>
      <c r="J7" s="297"/>
      <c r="K7" s="297"/>
      <c r="L7" s="298"/>
      <c r="M7" s="302"/>
      <c r="N7" s="297"/>
      <c r="O7" s="297"/>
      <c r="P7" s="297"/>
      <c r="Q7" s="297"/>
      <c r="R7" s="297"/>
      <c r="S7" s="297"/>
      <c r="T7" s="297"/>
      <c r="U7" s="297"/>
      <c r="V7" s="297"/>
      <c r="W7" s="298"/>
      <c r="X7" s="302"/>
      <c r="Y7" s="297"/>
      <c r="Z7" s="297"/>
      <c r="AA7" s="297"/>
      <c r="AB7" s="297"/>
      <c r="AC7" s="297"/>
      <c r="AD7" s="297"/>
      <c r="AE7" s="297"/>
      <c r="AF7" s="297"/>
      <c r="AG7" s="297"/>
      <c r="AH7" s="298"/>
      <c r="AI7" s="302"/>
      <c r="AJ7" s="297"/>
      <c r="AK7" s="297"/>
      <c r="AL7" s="297"/>
      <c r="AM7" s="297"/>
      <c r="AN7" s="297"/>
      <c r="AO7" s="297"/>
      <c r="AP7" s="297"/>
      <c r="AQ7" s="297"/>
      <c r="AR7" s="297"/>
      <c r="AS7" s="297"/>
      <c r="AT7" s="298"/>
      <c r="AU7" s="302"/>
      <c r="AV7" s="297"/>
      <c r="AW7" s="297"/>
      <c r="AX7" s="297"/>
      <c r="AY7" s="297"/>
      <c r="AZ7" s="297"/>
      <c r="BA7" s="297"/>
      <c r="BB7" s="297"/>
      <c r="BC7" s="297"/>
      <c r="BD7" s="297"/>
      <c r="BE7" s="297"/>
      <c r="BF7" s="308"/>
    </row>
    <row r="8" spans="2:58" ht="13" customHeight="1" x14ac:dyDescent="0.4">
      <c r="B8" s="296"/>
      <c r="C8" s="297"/>
      <c r="D8" s="297"/>
      <c r="E8" s="297"/>
      <c r="F8" s="297"/>
      <c r="G8" s="297"/>
      <c r="H8" s="297"/>
      <c r="I8" s="297"/>
      <c r="J8" s="297"/>
      <c r="K8" s="297"/>
      <c r="L8" s="298"/>
      <c r="M8" s="302"/>
      <c r="N8" s="297"/>
      <c r="O8" s="297"/>
      <c r="P8" s="297"/>
      <c r="Q8" s="297"/>
      <c r="R8" s="297"/>
      <c r="S8" s="297"/>
      <c r="T8" s="297"/>
      <c r="U8" s="297"/>
      <c r="V8" s="297"/>
      <c r="W8" s="298"/>
      <c r="X8" s="302"/>
      <c r="Y8" s="297"/>
      <c r="Z8" s="297"/>
      <c r="AA8" s="297"/>
      <c r="AB8" s="297"/>
      <c r="AC8" s="297"/>
      <c r="AD8" s="297"/>
      <c r="AE8" s="297"/>
      <c r="AF8" s="297"/>
      <c r="AG8" s="297"/>
      <c r="AH8" s="298"/>
      <c r="AI8" s="302"/>
      <c r="AJ8" s="297"/>
      <c r="AK8" s="297"/>
      <c r="AL8" s="297"/>
      <c r="AM8" s="297"/>
      <c r="AN8" s="297"/>
      <c r="AO8" s="297"/>
      <c r="AP8" s="297"/>
      <c r="AQ8" s="297"/>
      <c r="AR8" s="297"/>
      <c r="AS8" s="297"/>
      <c r="AT8" s="298"/>
      <c r="AU8" s="302"/>
      <c r="AV8" s="297"/>
      <c r="AW8" s="297"/>
      <c r="AX8" s="297"/>
      <c r="AY8" s="297"/>
      <c r="AZ8" s="297"/>
      <c r="BA8" s="297"/>
      <c r="BB8" s="297"/>
      <c r="BC8" s="297"/>
      <c r="BD8" s="297"/>
      <c r="BE8" s="297"/>
      <c r="BF8" s="308"/>
    </row>
    <row r="9" spans="2:58" ht="13" customHeight="1" x14ac:dyDescent="0.4">
      <c r="B9" s="299"/>
      <c r="C9" s="300"/>
      <c r="D9" s="300"/>
      <c r="E9" s="300"/>
      <c r="F9" s="300"/>
      <c r="G9" s="300"/>
      <c r="H9" s="300"/>
      <c r="I9" s="300"/>
      <c r="J9" s="300"/>
      <c r="K9" s="300"/>
      <c r="L9" s="269"/>
      <c r="M9" s="303"/>
      <c r="N9" s="300"/>
      <c r="O9" s="300"/>
      <c r="P9" s="300"/>
      <c r="Q9" s="300"/>
      <c r="R9" s="300"/>
      <c r="S9" s="300"/>
      <c r="T9" s="300"/>
      <c r="U9" s="300"/>
      <c r="V9" s="300"/>
      <c r="W9" s="269"/>
      <c r="X9" s="303"/>
      <c r="Y9" s="300"/>
      <c r="Z9" s="300"/>
      <c r="AA9" s="300"/>
      <c r="AB9" s="300"/>
      <c r="AC9" s="300"/>
      <c r="AD9" s="300"/>
      <c r="AE9" s="300"/>
      <c r="AF9" s="300"/>
      <c r="AG9" s="300"/>
      <c r="AH9" s="269"/>
      <c r="AI9" s="303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269"/>
      <c r="AU9" s="303"/>
      <c r="AV9" s="300"/>
      <c r="AW9" s="300"/>
      <c r="AX9" s="300"/>
      <c r="AY9" s="300"/>
      <c r="AZ9" s="300"/>
      <c r="BA9" s="300"/>
      <c r="BB9" s="300"/>
      <c r="BC9" s="300"/>
      <c r="BD9" s="300"/>
      <c r="BE9" s="300"/>
      <c r="BF9" s="309"/>
    </row>
    <row r="10" spans="2:58" ht="13" customHeight="1" x14ac:dyDescent="0.4">
      <c r="B10" s="315" t="s">
        <v>236</v>
      </c>
      <c r="C10" s="313"/>
      <c r="D10" s="313"/>
      <c r="E10" s="313"/>
      <c r="F10" s="313"/>
      <c r="G10" s="313"/>
      <c r="H10" s="313"/>
      <c r="I10" s="313"/>
      <c r="J10" s="313"/>
      <c r="K10" s="313"/>
      <c r="L10" s="314"/>
      <c r="M10" s="326" t="s">
        <v>237</v>
      </c>
      <c r="N10" s="313"/>
      <c r="O10" s="313"/>
      <c r="P10" s="313"/>
      <c r="Q10" s="313"/>
      <c r="R10" s="313"/>
      <c r="S10" s="313"/>
      <c r="T10" s="313"/>
      <c r="U10" s="313"/>
      <c r="V10" s="313"/>
      <c r="W10" s="314"/>
      <c r="X10" s="226" t="s">
        <v>238</v>
      </c>
      <c r="Y10" s="313"/>
      <c r="Z10" s="313"/>
      <c r="AA10" s="313"/>
      <c r="AB10" s="313"/>
      <c r="AC10" s="313"/>
      <c r="AD10" s="313"/>
      <c r="AE10" s="313"/>
      <c r="AF10" s="313"/>
      <c r="AG10" s="313"/>
      <c r="AH10" s="314"/>
      <c r="AI10" s="226" t="s">
        <v>239</v>
      </c>
      <c r="AJ10" s="313"/>
      <c r="AK10" s="313"/>
      <c r="AL10" s="313"/>
      <c r="AM10" s="313"/>
      <c r="AN10" s="313"/>
      <c r="AO10" s="313"/>
      <c r="AP10" s="313"/>
      <c r="AQ10" s="313"/>
      <c r="AR10" s="313"/>
      <c r="AS10" s="313"/>
      <c r="AT10" s="314"/>
      <c r="AU10" s="211" t="s">
        <v>240</v>
      </c>
      <c r="AV10" s="313"/>
      <c r="AW10" s="313"/>
      <c r="AX10" s="313"/>
      <c r="AY10" s="313"/>
      <c r="AZ10" s="313"/>
      <c r="BA10" s="313"/>
      <c r="BB10" s="313"/>
      <c r="BC10" s="313"/>
      <c r="BD10" s="313"/>
      <c r="BE10" s="313"/>
      <c r="BF10" s="320"/>
    </row>
    <row r="11" spans="2:58" ht="13" customHeight="1" x14ac:dyDescent="0.4">
      <c r="B11" s="293"/>
      <c r="C11" s="294"/>
      <c r="D11" s="294"/>
      <c r="E11" s="294"/>
      <c r="F11" s="294"/>
      <c r="G11" s="294"/>
      <c r="H11" s="294"/>
      <c r="I11" s="294"/>
      <c r="J11" s="294"/>
      <c r="K11" s="294"/>
      <c r="L11" s="295"/>
      <c r="M11" s="301"/>
      <c r="N11" s="294"/>
      <c r="O11" s="294"/>
      <c r="P11" s="294"/>
      <c r="Q11" s="294"/>
      <c r="R11" s="294"/>
      <c r="S11" s="294"/>
      <c r="T11" s="294"/>
      <c r="U11" s="294"/>
      <c r="V11" s="294"/>
      <c r="W11" s="295"/>
      <c r="X11" s="301"/>
      <c r="Y11" s="294"/>
      <c r="Z11" s="294"/>
      <c r="AA11" s="294"/>
      <c r="AB11" s="294"/>
      <c r="AC11" s="294"/>
      <c r="AD11" s="294"/>
      <c r="AE11" s="294"/>
      <c r="AF11" s="294"/>
      <c r="AG11" s="294"/>
      <c r="AH11" s="295"/>
      <c r="AI11" s="301"/>
      <c r="AJ11" s="294"/>
      <c r="AK11" s="294"/>
      <c r="AL11" s="294"/>
      <c r="AM11" s="294"/>
      <c r="AN11" s="294"/>
      <c r="AO11" s="294"/>
      <c r="AP11" s="294"/>
      <c r="AQ11" s="294"/>
      <c r="AR11" s="294"/>
      <c r="AS11" s="294"/>
      <c r="AT11" s="295"/>
      <c r="AU11" s="310"/>
      <c r="AV11" s="294"/>
      <c r="AW11" s="294"/>
      <c r="AX11" s="294"/>
      <c r="AY11" s="294"/>
      <c r="AZ11" s="294"/>
      <c r="BA11" s="294"/>
      <c r="BB11" s="294"/>
      <c r="BC11" s="294"/>
      <c r="BD11" s="294"/>
      <c r="BE11" s="294"/>
      <c r="BF11" s="307"/>
    </row>
    <row r="12" spans="2:58" ht="13" customHeight="1" x14ac:dyDescent="0.4">
      <c r="B12" s="296"/>
      <c r="C12" s="297"/>
      <c r="D12" s="297"/>
      <c r="E12" s="297"/>
      <c r="F12" s="297"/>
      <c r="G12" s="297"/>
      <c r="H12" s="297"/>
      <c r="I12" s="297"/>
      <c r="J12" s="297"/>
      <c r="K12" s="297"/>
      <c r="L12" s="298"/>
      <c r="M12" s="302"/>
      <c r="N12" s="297"/>
      <c r="O12" s="297"/>
      <c r="P12" s="297"/>
      <c r="Q12" s="297"/>
      <c r="R12" s="297"/>
      <c r="S12" s="297"/>
      <c r="T12" s="297"/>
      <c r="U12" s="297"/>
      <c r="V12" s="297"/>
      <c r="W12" s="298"/>
      <c r="X12" s="302"/>
      <c r="Y12" s="297"/>
      <c r="Z12" s="297"/>
      <c r="AA12" s="297"/>
      <c r="AB12" s="297"/>
      <c r="AC12" s="297"/>
      <c r="AD12" s="297"/>
      <c r="AE12" s="297"/>
      <c r="AF12" s="297"/>
      <c r="AG12" s="297"/>
      <c r="AH12" s="298"/>
      <c r="AI12" s="302"/>
      <c r="AJ12" s="297"/>
      <c r="AK12" s="297"/>
      <c r="AL12" s="297"/>
      <c r="AM12" s="297"/>
      <c r="AN12" s="297"/>
      <c r="AO12" s="297"/>
      <c r="AP12" s="297"/>
      <c r="AQ12" s="297"/>
      <c r="AR12" s="297"/>
      <c r="AS12" s="297"/>
      <c r="AT12" s="298"/>
      <c r="AU12" s="302"/>
      <c r="AV12" s="297"/>
      <c r="AW12" s="297"/>
      <c r="AX12" s="297"/>
      <c r="AY12" s="297"/>
      <c r="AZ12" s="297"/>
      <c r="BA12" s="297"/>
      <c r="BB12" s="297"/>
      <c r="BC12" s="297"/>
      <c r="BD12" s="297"/>
      <c r="BE12" s="297"/>
      <c r="BF12" s="308"/>
    </row>
    <row r="13" spans="2:58" ht="13" customHeight="1" x14ac:dyDescent="0.4">
      <c r="B13" s="296"/>
      <c r="C13" s="297"/>
      <c r="D13" s="297"/>
      <c r="E13" s="297"/>
      <c r="F13" s="297"/>
      <c r="G13" s="297"/>
      <c r="H13" s="297"/>
      <c r="I13" s="297"/>
      <c r="J13" s="297"/>
      <c r="K13" s="297"/>
      <c r="L13" s="298"/>
      <c r="M13" s="302"/>
      <c r="N13" s="297"/>
      <c r="O13" s="297"/>
      <c r="P13" s="297"/>
      <c r="Q13" s="297"/>
      <c r="R13" s="297"/>
      <c r="S13" s="297"/>
      <c r="T13" s="297"/>
      <c r="U13" s="297"/>
      <c r="V13" s="297"/>
      <c r="W13" s="298"/>
      <c r="X13" s="302"/>
      <c r="Y13" s="297"/>
      <c r="Z13" s="297"/>
      <c r="AA13" s="297"/>
      <c r="AB13" s="297"/>
      <c r="AC13" s="297"/>
      <c r="AD13" s="297"/>
      <c r="AE13" s="297"/>
      <c r="AF13" s="297"/>
      <c r="AG13" s="297"/>
      <c r="AH13" s="298"/>
      <c r="AI13" s="302"/>
      <c r="AJ13" s="297"/>
      <c r="AK13" s="297"/>
      <c r="AL13" s="297"/>
      <c r="AM13" s="297"/>
      <c r="AN13" s="297"/>
      <c r="AO13" s="297"/>
      <c r="AP13" s="297"/>
      <c r="AQ13" s="297"/>
      <c r="AR13" s="297"/>
      <c r="AS13" s="297"/>
      <c r="AT13" s="298"/>
      <c r="AU13" s="302"/>
      <c r="AV13" s="297"/>
      <c r="AW13" s="297"/>
      <c r="AX13" s="297"/>
      <c r="AY13" s="297"/>
      <c r="AZ13" s="297"/>
      <c r="BA13" s="297"/>
      <c r="BB13" s="297"/>
      <c r="BC13" s="297"/>
      <c r="BD13" s="297"/>
      <c r="BE13" s="297"/>
      <c r="BF13" s="308"/>
    </row>
    <row r="14" spans="2:58" ht="13" customHeight="1" x14ac:dyDescent="0.4">
      <c r="B14" s="296"/>
      <c r="C14" s="297"/>
      <c r="D14" s="297"/>
      <c r="E14" s="297"/>
      <c r="F14" s="297"/>
      <c r="G14" s="297"/>
      <c r="H14" s="297"/>
      <c r="I14" s="297"/>
      <c r="J14" s="297"/>
      <c r="K14" s="297"/>
      <c r="L14" s="298"/>
      <c r="M14" s="302"/>
      <c r="N14" s="297"/>
      <c r="O14" s="297"/>
      <c r="P14" s="297"/>
      <c r="Q14" s="297"/>
      <c r="R14" s="297"/>
      <c r="S14" s="297"/>
      <c r="T14" s="297"/>
      <c r="U14" s="297"/>
      <c r="V14" s="297"/>
      <c r="W14" s="298"/>
      <c r="X14" s="302"/>
      <c r="Y14" s="297"/>
      <c r="Z14" s="297"/>
      <c r="AA14" s="297"/>
      <c r="AB14" s="297"/>
      <c r="AC14" s="297"/>
      <c r="AD14" s="297"/>
      <c r="AE14" s="297"/>
      <c r="AF14" s="297"/>
      <c r="AG14" s="297"/>
      <c r="AH14" s="298"/>
      <c r="AI14" s="302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8"/>
      <c r="AU14" s="302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308"/>
    </row>
    <row r="15" spans="2:58" ht="13" customHeight="1" x14ac:dyDescent="0.4">
      <c r="B15" s="296"/>
      <c r="C15" s="297"/>
      <c r="D15" s="297"/>
      <c r="E15" s="297"/>
      <c r="F15" s="297"/>
      <c r="G15" s="297"/>
      <c r="H15" s="297"/>
      <c r="I15" s="297"/>
      <c r="J15" s="297"/>
      <c r="K15" s="297"/>
      <c r="L15" s="298"/>
      <c r="M15" s="302"/>
      <c r="N15" s="297"/>
      <c r="O15" s="297"/>
      <c r="P15" s="297"/>
      <c r="Q15" s="297"/>
      <c r="R15" s="297"/>
      <c r="S15" s="297"/>
      <c r="T15" s="297"/>
      <c r="U15" s="297"/>
      <c r="V15" s="297"/>
      <c r="W15" s="298"/>
      <c r="X15" s="302"/>
      <c r="Y15" s="297"/>
      <c r="Z15" s="297"/>
      <c r="AA15" s="297"/>
      <c r="AB15" s="297"/>
      <c r="AC15" s="297"/>
      <c r="AD15" s="297"/>
      <c r="AE15" s="297"/>
      <c r="AF15" s="297"/>
      <c r="AG15" s="297"/>
      <c r="AH15" s="298"/>
      <c r="AI15" s="302"/>
      <c r="AJ15" s="297"/>
      <c r="AK15" s="297"/>
      <c r="AL15" s="297"/>
      <c r="AM15" s="297"/>
      <c r="AN15" s="297"/>
      <c r="AO15" s="297"/>
      <c r="AP15" s="297"/>
      <c r="AQ15" s="297"/>
      <c r="AR15" s="297"/>
      <c r="AS15" s="297"/>
      <c r="AT15" s="298"/>
      <c r="AU15" s="302"/>
      <c r="AV15" s="297"/>
      <c r="AW15" s="297"/>
      <c r="AX15" s="297"/>
      <c r="AY15" s="297"/>
      <c r="AZ15" s="297"/>
      <c r="BA15" s="297"/>
      <c r="BB15" s="297"/>
      <c r="BC15" s="297"/>
      <c r="BD15" s="297"/>
      <c r="BE15" s="297"/>
      <c r="BF15" s="308"/>
    </row>
    <row r="16" spans="2:58" ht="13" customHeight="1" x14ac:dyDescent="0.4">
      <c r="B16" s="296"/>
      <c r="C16" s="297"/>
      <c r="D16" s="297"/>
      <c r="E16" s="297"/>
      <c r="F16" s="297"/>
      <c r="G16" s="297"/>
      <c r="H16" s="297"/>
      <c r="I16" s="297"/>
      <c r="J16" s="297"/>
      <c r="K16" s="297"/>
      <c r="L16" s="298"/>
      <c r="M16" s="302"/>
      <c r="N16" s="297"/>
      <c r="O16" s="297"/>
      <c r="P16" s="297"/>
      <c r="Q16" s="297"/>
      <c r="R16" s="297"/>
      <c r="S16" s="297"/>
      <c r="T16" s="297"/>
      <c r="U16" s="297"/>
      <c r="V16" s="297"/>
      <c r="W16" s="298"/>
      <c r="X16" s="302"/>
      <c r="Y16" s="297"/>
      <c r="Z16" s="297"/>
      <c r="AA16" s="297"/>
      <c r="AB16" s="297"/>
      <c r="AC16" s="297"/>
      <c r="AD16" s="297"/>
      <c r="AE16" s="297"/>
      <c r="AF16" s="297"/>
      <c r="AG16" s="297"/>
      <c r="AH16" s="298"/>
      <c r="AI16" s="302"/>
      <c r="AJ16" s="297"/>
      <c r="AK16" s="297"/>
      <c r="AL16" s="297"/>
      <c r="AM16" s="297"/>
      <c r="AN16" s="297"/>
      <c r="AO16" s="297"/>
      <c r="AP16" s="297"/>
      <c r="AQ16" s="297"/>
      <c r="AR16" s="297"/>
      <c r="AS16" s="297"/>
      <c r="AT16" s="298"/>
      <c r="AU16" s="302"/>
      <c r="AV16" s="297"/>
      <c r="AW16" s="297"/>
      <c r="AX16" s="297"/>
      <c r="AY16" s="297"/>
      <c r="AZ16" s="297"/>
      <c r="BA16" s="297"/>
      <c r="BB16" s="297"/>
      <c r="BC16" s="297"/>
      <c r="BD16" s="297"/>
      <c r="BE16" s="297"/>
      <c r="BF16" s="308"/>
    </row>
    <row r="17" spans="2:58" ht="13" customHeight="1" x14ac:dyDescent="0.4">
      <c r="B17" s="299"/>
      <c r="C17" s="300"/>
      <c r="D17" s="300"/>
      <c r="E17" s="300"/>
      <c r="F17" s="300"/>
      <c r="G17" s="300"/>
      <c r="H17" s="300"/>
      <c r="I17" s="300"/>
      <c r="J17" s="300"/>
      <c r="K17" s="300"/>
      <c r="L17" s="269"/>
      <c r="M17" s="303"/>
      <c r="N17" s="300"/>
      <c r="O17" s="300"/>
      <c r="P17" s="300"/>
      <c r="Q17" s="300"/>
      <c r="R17" s="300"/>
      <c r="S17" s="300"/>
      <c r="T17" s="300"/>
      <c r="U17" s="300"/>
      <c r="V17" s="300"/>
      <c r="W17" s="269"/>
      <c r="X17" s="303"/>
      <c r="Y17" s="300"/>
      <c r="Z17" s="300"/>
      <c r="AA17" s="300"/>
      <c r="AB17" s="300"/>
      <c r="AC17" s="300"/>
      <c r="AD17" s="300"/>
      <c r="AE17" s="300"/>
      <c r="AF17" s="300"/>
      <c r="AG17" s="300"/>
      <c r="AH17" s="269"/>
      <c r="AI17" s="303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269"/>
      <c r="AU17" s="303"/>
      <c r="AV17" s="300"/>
      <c r="AW17" s="300"/>
      <c r="AX17" s="300"/>
      <c r="AY17" s="300"/>
      <c r="AZ17" s="300"/>
      <c r="BA17" s="300"/>
      <c r="BB17" s="300"/>
      <c r="BC17" s="300"/>
      <c r="BD17" s="300"/>
      <c r="BE17" s="300"/>
      <c r="BF17" s="309"/>
    </row>
    <row r="18" spans="2:58" ht="13" customHeight="1" x14ac:dyDescent="0.4">
      <c r="B18" s="315" t="s">
        <v>241</v>
      </c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6" t="s">
        <v>242</v>
      </c>
      <c r="N18" s="313"/>
      <c r="O18" s="313"/>
      <c r="P18" s="313"/>
      <c r="Q18" s="313"/>
      <c r="R18" s="313"/>
      <c r="S18" s="313"/>
      <c r="T18" s="313"/>
      <c r="U18" s="313"/>
      <c r="V18" s="313"/>
      <c r="W18" s="314"/>
      <c r="X18" s="312" t="s">
        <v>243</v>
      </c>
      <c r="Y18" s="313"/>
      <c r="Z18" s="313"/>
      <c r="AA18" s="313"/>
      <c r="AB18" s="313"/>
      <c r="AC18" s="313"/>
      <c r="AD18" s="313"/>
      <c r="AE18" s="313"/>
      <c r="AF18" s="313"/>
      <c r="AG18" s="313"/>
      <c r="AH18" s="314"/>
      <c r="AI18" s="209" t="s">
        <v>244</v>
      </c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4"/>
      <c r="AU18" s="211" t="s">
        <v>245</v>
      </c>
      <c r="AV18" s="313"/>
      <c r="AW18" s="313"/>
      <c r="AX18" s="313"/>
      <c r="AY18" s="313"/>
      <c r="AZ18" s="313"/>
      <c r="BA18" s="313"/>
      <c r="BB18" s="313"/>
      <c r="BC18" s="313"/>
      <c r="BD18" s="313"/>
      <c r="BE18" s="313"/>
      <c r="BF18" s="320"/>
    </row>
    <row r="19" spans="2:58" ht="13" customHeight="1" x14ac:dyDescent="0.4">
      <c r="B19" s="293"/>
      <c r="C19" s="294"/>
      <c r="D19" s="294"/>
      <c r="E19" s="294"/>
      <c r="F19" s="294"/>
      <c r="G19" s="294"/>
      <c r="H19" s="294"/>
      <c r="I19" s="294"/>
      <c r="J19" s="294"/>
      <c r="K19" s="294"/>
      <c r="L19" s="295"/>
      <c r="M19" s="311"/>
      <c r="N19" s="294"/>
      <c r="O19" s="294"/>
      <c r="P19" s="294"/>
      <c r="Q19" s="294"/>
      <c r="R19" s="294"/>
      <c r="S19" s="294"/>
      <c r="T19" s="294"/>
      <c r="U19" s="294"/>
      <c r="V19" s="294"/>
      <c r="W19" s="295"/>
      <c r="X19" s="332"/>
      <c r="Y19" s="294"/>
      <c r="Z19" s="294"/>
      <c r="AA19" s="294"/>
      <c r="AB19" s="294"/>
      <c r="AC19" s="294"/>
      <c r="AD19" s="294"/>
      <c r="AE19" s="294"/>
      <c r="AF19" s="294"/>
      <c r="AG19" s="294"/>
      <c r="AH19" s="295"/>
      <c r="AI19" s="305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95"/>
      <c r="AU19" s="310"/>
      <c r="AV19" s="294"/>
      <c r="AW19" s="294"/>
      <c r="AX19" s="294"/>
      <c r="AY19" s="294"/>
      <c r="AZ19" s="294"/>
      <c r="BA19" s="294"/>
      <c r="BB19" s="294"/>
      <c r="BC19" s="294"/>
      <c r="BD19" s="294"/>
      <c r="BE19" s="294"/>
      <c r="BF19" s="307"/>
    </row>
    <row r="20" spans="2:58" ht="13" customHeight="1" x14ac:dyDescent="0.4">
      <c r="B20" s="296"/>
      <c r="C20" s="297"/>
      <c r="D20" s="297"/>
      <c r="E20" s="297"/>
      <c r="F20" s="297"/>
      <c r="G20" s="297"/>
      <c r="H20" s="297"/>
      <c r="I20" s="297"/>
      <c r="J20" s="297"/>
      <c r="K20" s="297"/>
      <c r="L20" s="298"/>
      <c r="M20" s="302"/>
      <c r="N20" s="297"/>
      <c r="O20" s="297"/>
      <c r="P20" s="297"/>
      <c r="Q20" s="297"/>
      <c r="R20" s="297"/>
      <c r="S20" s="297"/>
      <c r="T20" s="297"/>
      <c r="U20" s="297"/>
      <c r="V20" s="297"/>
      <c r="W20" s="298"/>
      <c r="X20" s="302"/>
      <c r="Y20" s="297"/>
      <c r="Z20" s="297"/>
      <c r="AA20" s="297"/>
      <c r="AB20" s="297"/>
      <c r="AC20" s="297"/>
      <c r="AD20" s="297"/>
      <c r="AE20" s="297"/>
      <c r="AF20" s="297"/>
      <c r="AG20" s="297"/>
      <c r="AH20" s="298"/>
      <c r="AI20" s="302"/>
      <c r="AJ20" s="297"/>
      <c r="AK20" s="297"/>
      <c r="AL20" s="297"/>
      <c r="AM20" s="297"/>
      <c r="AN20" s="297"/>
      <c r="AO20" s="297"/>
      <c r="AP20" s="297"/>
      <c r="AQ20" s="297"/>
      <c r="AR20" s="297"/>
      <c r="AS20" s="297"/>
      <c r="AT20" s="298"/>
      <c r="AU20" s="302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308"/>
    </row>
    <row r="21" spans="2:58" ht="13" customHeight="1" x14ac:dyDescent="0.4">
      <c r="B21" s="296"/>
      <c r="C21" s="297"/>
      <c r="D21" s="297"/>
      <c r="E21" s="297"/>
      <c r="F21" s="297"/>
      <c r="G21" s="297"/>
      <c r="H21" s="297"/>
      <c r="I21" s="297"/>
      <c r="J21" s="297"/>
      <c r="K21" s="297"/>
      <c r="L21" s="298"/>
      <c r="M21" s="302"/>
      <c r="N21" s="297"/>
      <c r="O21" s="297"/>
      <c r="P21" s="297"/>
      <c r="Q21" s="297"/>
      <c r="R21" s="297"/>
      <c r="S21" s="297"/>
      <c r="T21" s="297"/>
      <c r="U21" s="297"/>
      <c r="V21" s="297"/>
      <c r="W21" s="298"/>
      <c r="X21" s="302"/>
      <c r="Y21" s="297"/>
      <c r="Z21" s="297"/>
      <c r="AA21" s="297"/>
      <c r="AB21" s="297"/>
      <c r="AC21" s="297"/>
      <c r="AD21" s="297"/>
      <c r="AE21" s="297"/>
      <c r="AF21" s="297"/>
      <c r="AG21" s="297"/>
      <c r="AH21" s="298"/>
      <c r="AI21" s="302"/>
      <c r="AJ21" s="297"/>
      <c r="AK21" s="297"/>
      <c r="AL21" s="297"/>
      <c r="AM21" s="297"/>
      <c r="AN21" s="297"/>
      <c r="AO21" s="297"/>
      <c r="AP21" s="297"/>
      <c r="AQ21" s="297"/>
      <c r="AR21" s="297"/>
      <c r="AS21" s="297"/>
      <c r="AT21" s="298"/>
      <c r="AU21" s="302"/>
      <c r="AV21" s="297"/>
      <c r="AW21" s="297"/>
      <c r="AX21" s="297"/>
      <c r="AY21" s="297"/>
      <c r="AZ21" s="297"/>
      <c r="BA21" s="297"/>
      <c r="BB21" s="297"/>
      <c r="BC21" s="297"/>
      <c r="BD21" s="297"/>
      <c r="BE21" s="297"/>
      <c r="BF21" s="308"/>
    </row>
    <row r="22" spans="2:58" ht="13" customHeight="1" x14ac:dyDescent="0.4">
      <c r="B22" s="296"/>
      <c r="C22" s="297"/>
      <c r="D22" s="297"/>
      <c r="E22" s="297"/>
      <c r="F22" s="297"/>
      <c r="G22" s="297"/>
      <c r="H22" s="297"/>
      <c r="I22" s="297"/>
      <c r="J22" s="297"/>
      <c r="K22" s="297"/>
      <c r="L22" s="298"/>
      <c r="M22" s="302"/>
      <c r="N22" s="297"/>
      <c r="O22" s="297"/>
      <c r="P22" s="297"/>
      <c r="Q22" s="297"/>
      <c r="R22" s="297"/>
      <c r="S22" s="297"/>
      <c r="T22" s="297"/>
      <c r="U22" s="297"/>
      <c r="V22" s="297"/>
      <c r="W22" s="298"/>
      <c r="X22" s="302"/>
      <c r="Y22" s="297"/>
      <c r="Z22" s="297"/>
      <c r="AA22" s="297"/>
      <c r="AB22" s="297"/>
      <c r="AC22" s="297"/>
      <c r="AD22" s="297"/>
      <c r="AE22" s="297"/>
      <c r="AF22" s="297"/>
      <c r="AG22" s="297"/>
      <c r="AH22" s="298"/>
      <c r="AI22" s="302"/>
      <c r="AJ22" s="297"/>
      <c r="AK22" s="297"/>
      <c r="AL22" s="297"/>
      <c r="AM22" s="297"/>
      <c r="AN22" s="297"/>
      <c r="AO22" s="297"/>
      <c r="AP22" s="297"/>
      <c r="AQ22" s="297"/>
      <c r="AR22" s="297"/>
      <c r="AS22" s="297"/>
      <c r="AT22" s="298"/>
      <c r="AU22" s="302"/>
      <c r="AV22" s="297"/>
      <c r="AW22" s="297"/>
      <c r="AX22" s="297"/>
      <c r="AY22" s="297"/>
      <c r="AZ22" s="297"/>
      <c r="BA22" s="297"/>
      <c r="BB22" s="297"/>
      <c r="BC22" s="297"/>
      <c r="BD22" s="297"/>
      <c r="BE22" s="297"/>
      <c r="BF22" s="308"/>
    </row>
    <row r="23" spans="2:58" ht="13" customHeight="1" x14ac:dyDescent="0.4">
      <c r="B23" s="296"/>
      <c r="C23" s="297"/>
      <c r="D23" s="297"/>
      <c r="E23" s="297"/>
      <c r="F23" s="297"/>
      <c r="G23" s="297"/>
      <c r="H23" s="297"/>
      <c r="I23" s="297"/>
      <c r="J23" s="297"/>
      <c r="K23" s="297"/>
      <c r="L23" s="298"/>
      <c r="M23" s="302"/>
      <c r="N23" s="297"/>
      <c r="O23" s="297"/>
      <c r="P23" s="297"/>
      <c r="Q23" s="297"/>
      <c r="R23" s="297"/>
      <c r="S23" s="297"/>
      <c r="T23" s="297"/>
      <c r="U23" s="297"/>
      <c r="V23" s="297"/>
      <c r="W23" s="298"/>
      <c r="X23" s="302"/>
      <c r="Y23" s="297"/>
      <c r="Z23" s="297"/>
      <c r="AA23" s="297"/>
      <c r="AB23" s="297"/>
      <c r="AC23" s="297"/>
      <c r="AD23" s="297"/>
      <c r="AE23" s="297"/>
      <c r="AF23" s="297"/>
      <c r="AG23" s="297"/>
      <c r="AH23" s="298"/>
      <c r="AI23" s="302"/>
      <c r="AJ23" s="297"/>
      <c r="AK23" s="297"/>
      <c r="AL23" s="297"/>
      <c r="AM23" s="297"/>
      <c r="AN23" s="297"/>
      <c r="AO23" s="297"/>
      <c r="AP23" s="297"/>
      <c r="AQ23" s="297"/>
      <c r="AR23" s="297"/>
      <c r="AS23" s="297"/>
      <c r="AT23" s="298"/>
      <c r="AU23" s="302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308"/>
    </row>
    <row r="24" spans="2:58" ht="13" customHeight="1" x14ac:dyDescent="0.4">
      <c r="B24" s="299"/>
      <c r="C24" s="300"/>
      <c r="D24" s="300"/>
      <c r="E24" s="300"/>
      <c r="F24" s="300"/>
      <c r="G24" s="300"/>
      <c r="H24" s="300"/>
      <c r="I24" s="300"/>
      <c r="J24" s="300"/>
      <c r="K24" s="300"/>
      <c r="L24" s="269"/>
      <c r="M24" s="303"/>
      <c r="N24" s="300"/>
      <c r="O24" s="300"/>
      <c r="P24" s="300"/>
      <c r="Q24" s="300"/>
      <c r="R24" s="300"/>
      <c r="S24" s="300"/>
      <c r="T24" s="300"/>
      <c r="U24" s="300"/>
      <c r="V24" s="300"/>
      <c r="W24" s="269"/>
      <c r="X24" s="303"/>
      <c r="Y24" s="300"/>
      <c r="Z24" s="300"/>
      <c r="AA24" s="300"/>
      <c r="AB24" s="300"/>
      <c r="AC24" s="300"/>
      <c r="AD24" s="300"/>
      <c r="AE24" s="300"/>
      <c r="AF24" s="300"/>
      <c r="AG24" s="300"/>
      <c r="AH24" s="269"/>
      <c r="AI24" s="303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269"/>
      <c r="AU24" s="303"/>
      <c r="AV24" s="300"/>
      <c r="AW24" s="300"/>
      <c r="AX24" s="300"/>
      <c r="AY24" s="300"/>
      <c r="AZ24" s="300"/>
      <c r="BA24" s="300"/>
      <c r="BB24" s="300"/>
      <c r="BC24" s="300"/>
      <c r="BD24" s="300"/>
      <c r="BE24" s="300"/>
      <c r="BF24" s="309"/>
    </row>
    <row r="25" spans="2:58" ht="13" customHeight="1" x14ac:dyDescent="0.4">
      <c r="B25" s="315" t="s">
        <v>246</v>
      </c>
      <c r="C25" s="313"/>
      <c r="D25" s="313"/>
      <c r="E25" s="313"/>
      <c r="F25" s="313"/>
      <c r="G25" s="313"/>
      <c r="H25" s="313"/>
      <c r="I25" s="313"/>
      <c r="J25" s="313"/>
      <c r="K25" s="313"/>
      <c r="L25" s="314"/>
      <c r="M25" s="226" t="s">
        <v>247</v>
      </c>
      <c r="N25" s="313"/>
      <c r="O25" s="313"/>
      <c r="P25" s="313"/>
      <c r="Q25" s="313"/>
      <c r="R25" s="313"/>
      <c r="S25" s="313"/>
      <c r="T25" s="313"/>
      <c r="U25" s="313"/>
      <c r="V25" s="313"/>
      <c r="W25" s="314"/>
      <c r="X25" s="319" t="s">
        <v>248</v>
      </c>
      <c r="Y25" s="313"/>
      <c r="Z25" s="313"/>
      <c r="AA25" s="313"/>
      <c r="AB25" s="313"/>
      <c r="AC25" s="313"/>
      <c r="AD25" s="313"/>
      <c r="AE25" s="313"/>
      <c r="AF25" s="313"/>
      <c r="AG25" s="313"/>
      <c r="AH25" s="314"/>
      <c r="AI25" s="211" t="s">
        <v>249</v>
      </c>
      <c r="AJ25" s="313"/>
      <c r="AK25" s="313"/>
      <c r="AL25" s="313"/>
      <c r="AM25" s="313"/>
      <c r="AN25" s="313"/>
      <c r="AO25" s="313"/>
      <c r="AP25" s="313"/>
      <c r="AQ25" s="313"/>
      <c r="AR25" s="313"/>
      <c r="AS25" s="313"/>
      <c r="AT25" s="314"/>
      <c r="AU25" s="211" t="s">
        <v>250</v>
      </c>
      <c r="AV25" s="313"/>
      <c r="AW25" s="313"/>
      <c r="AX25" s="313"/>
      <c r="AY25" s="313"/>
      <c r="AZ25" s="313"/>
      <c r="BA25" s="313"/>
      <c r="BB25" s="313"/>
      <c r="BC25" s="313"/>
      <c r="BD25" s="313"/>
      <c r="BE25" s="313"/>
      <c r="BF25" s="320"/>
    </row>
    <row r="26" spans="2:58" ht="13" customHeight="1" x14ac:dyDescent="0.4">
      <c r="B26" s="293"/>
      <c r="C26" s="294"/>
      <c r="D26" s="294"/>
      <c r="E26" s="294"/>
      <c r="F26" s="294"/>
      <c r="G26" s="294"/>
      <c r="H26" s="294"/>
      <c r="I26" s="294"/>
      <c r="J26" s="294"/>
      <c r="K26" s="294"/>
      <c r="L26" s="295"/>
      <c r="M26" s="317"/>
      <c r="N26" s="294"/>
      <c r="O26" s="294"/>
      <c r="P26" s="294"/>
      <c r="Q26" s="294"/>
      <c r="R26" s="294"/>
      <c r="S26" s="294"/>
      <c r="T26" s="294"/>
      <c r="U26" s="294"/>
      <c r="V26" s="294"/>
      <c r="W26" s="295"/>
      <c r="X26" s="304"/>
      <c r="Y26" s="294"/>
      <c r="Z26" s="294"/>
      <c r="AA26" s="294"/>
      <c r="AB26" s="294"/>
      <c r="AC26" s="294"/>
      <c r="AD26" s="294"/>
      <c r="AE26" s="294"/>
      <c r="AF26" s="294"/>
      <c r="AG26" s="294"/>
      <c r="AH26" s="295"/>
      <c r="AI26" s="310"/>
      <c r="AJ26" s="294"/>
      <c r="AK26" s="294"/>
      <c r="AL26" s="294"/>
      <c r="AM26" s="294"/>
      <c r="AN26" s="294"/>
      <c r="AO26" s="294"/>
      <c r="AP26" s="294"/>
      <c r="AQ26" s="294"/>
      <c r="AR26" s="294"/>
      <c r="AS26" s="294"/>
      <c r="AT26" s="295"/>
      <c r="AU26" s="310"/>
      <c r="AV26" s="294"/>
      <c r="AW26" s="294"/>
      <c r="AX26" s="294"/>
      <c r="AY26" s="294"/>
      <c r="AZ26" s="294"/>
      <c r="BA26" s="294"/>
      <c r="BB26" s="294"/>
      <c r="BC26" s="294"/>
      <c r="BD26" s="294"/>
      <c r="BE26" s="294"/>
      <c r="BF26" s="307"/>
    </row>
    <row r="27" spans="2:58" ht="13" customHeight="1" x14ac:dyDescent="0.4">
      <c r="B27" s="296"/>
      <c r="C27" s="297"/>
      <c r="D27" s="297"/>
      <c r="E27" s="297"/>
      <c r="F27" s="297"/>
      <c r="G27" s="297"/>
      <c r="H27" s="297"/>
      <c r="I27" s="297"/>
      <c r="J27" s="297"/>
      <c r="K27" s="297"/>
      <c r="L27" s="298"/>
      <c r="M27" s="302"/>
      <c r="N27" s="297"/>
      <c r="O27" s="297"/>
      <c r="P27" s="297"/>
      <c r="Q27" s="297"/>
      <c r="R27" s="297"/>
      <c r="S27" s="297"/>
      <c r="T27" s="297"/>
      <c r="U27" s="297"/>
      <c r="V27" s="297"/>
      <c r="W27" s="298"/>
      <c r="X27" s="302"/>
      <c r="Y27" s="297"/>
      <c r="Z27" s="297"/>
      <c r="AA27" s="297"/>
      <c r="AB27" s="297"/>
      <c r="AC27" s="297"/>
      <c r="AD27" s="297"/>
      <c r="AE27" s="297"/>
      <c r="AF27" s="297"/>
      <c r="AG27" s="297"/>
      <c r="AH27" s="298"/>
      <c r="AI27" s="302"/>
      <c r="AJ27" s="297"/>
      <c r="AK27" s="297"/>
      <c r="AL27" s="297"/>
      <c r="AM27" s="297"/>
      <c r="AN27" s="297"/>
      <c r="AO27" s="297"/>
      <c r="AP27" s="297"/>
      <c r="AQ27" s="297"/>
      <c r="AR27" s="297"/>
      <c r="AS27" s="297"/>
      <c r="AT27" s="298"/>
      <c r="AU27" s="302"/>
      <c r="AV27" s="297"/>
      <c r="AW27" s="297"/>
      <c r="AX27" s="297"/>
      <c r="AY27" s="297"/>
      <c r="AZ27" s="297"/>
      <c r="BA27" s="297"/>
      <c r="BB27" s="297"/>
      <c r="BC27" s="297"/>
      <c r="BD27" s="297"/>
      <c r="BE27" s="297"/>
      <c r="BF27" s="308"/>
    </row>
    <row r="28" spans="2:58" ht="13" customHeight="1" x14ac:dyDescent="0.4">
      <c r="B28" s="296"/>
      <c r="C28" s="297"/>
      <c r="D28" s="297"/>
      <c r="E28" s="297"/>
      <c r="F28" s="297"/>
      <c r="G28" s="297"/>
      <c r="H28" s="297"/>
      <c r="I28" s="297"/>
      <c r="J28" s="297"/>
      <c r="K28" s="297"/>
      <c r="L28" s="298"/>
      <c r="M28" s="302"/>
      <c r="N28" s="297"/>
      <c r="O28" s="297"/>
      <c r="P28" s="297"/>
      <c r="Q28" s="297"/>
      <c r="R28" s="297"/>
      <c r="S28" s="297"/>
      <c r="T28" s="297"/>
      <c r="U28" s="297"/>
      <c r="V28" s="297"/>
      <c r="W28" s="298"/>
      <c r="X28" s="302"/>
      <c r="Y28" s="297"/>
      <c r="Z28" s="297"/>
      <c r="AA28" s="297"/>
      <c r="AB28" s="297"/>
      <c r="AC28" s="297"/>
      <c r="AD28" s="297"/>
      <c r="AE28" s="297"/>
      <c r="AF28" s="297"/>
      <c r="AG28" s="297"/>
      <c r="AH28" s="298"/>
      <c r="AI28" s="302"/>
      <c r="AJ28" s="297"/>
      <c r="AK28" s="297"/>
      <c r="AL28" s="297"/>
      <c r="AM28" s="297"/>
      <c r="AN28" s="297"/>
      <c r="AO28" s="297"/>
      <c r="AP28" s="297"/>
      <c r="AQ28" s="297"/>
      <c r="AR28" s="297"/>
      <c r="AS28" s="297"/>
      <c r="AT28" s="298"/>
      <c r="AU28" s="302"/>
      <c r="AV28" s="297"/>
      <c r="AW28" s="297"/>
      <c r="AX28" s="297"/>
      <c r="AY28" s="297"/>
      <c r="AZ28" s="297"/>
      <c r="BA28" s="297"/>
      <c r="BB28" s="297"/>
      <c r="BC28" s="297"/>
      <c r="BD28" s="297"/>
      <c r="BE28" s="297"/>
      <c r="BF28" s="308"/>
    </row>
    <row r="29" spans="2:58" ht="13" customHeight="1" x14ac:dyDescent="0.4">
      <c r="B29" s="296"/>
      <c r="C29" s="297"/>
      <c r="D29" s="297"/>
      <c r="E29" s="297"/>
      <c r="F29" s="297"/>
      <c r="G29" s="297"/>
      <c r="H29" s="297"/>
      <c r="I29" s="297"/>
      <c r="J29" s="297"/>
      <c r="K29" s="297"/>
      <c r="L29" s="298"/>
      <c r="M29" s="302"/>
      <c r="N29" s="297"/>
      <c r="O29" s="297"/>
      <c r="P29" s="297"/>
      <c r="Q29" s="297"/>
      <c r="R29" s="297"/>
      <c r="S29" s="297"/>
      <c r="T29" s="297"/>
      <c r="U29" s="297"/>
      <c r="V29" s="297"/>
      <c r="W29" s="298"/>
      <c r="X29" s="302"/>
      <c r="Y29" s="297"/>
      <c r="Z29" s="297"/>
      <c r="AA29" s="297"/>
      <c r="AB29" s="297"/>
      <c r="AC29" s="297"/>
      <c r="AD29" s="297"/>
      <c r="AE29" s="297"/>
      <c r="AF29" s="297"/>
      <c r="AG29" s="297"/>
      <c r="AH29" s="298"/>
      <c r="AI29" s="302"/>
      <c r="AJ29" s="297"/>
      <c r="AK29" s="297"/>
      <c r="AL29" s="297"/>
      <c r="AM29" s="297"/>
      <c r="AN29" s="297"/>
      <c r="AO29" s="297"/>
      <c r="AP29" s="297"/>
      <c r="AQ29" s="297"/>
      <c r="AR29" s="297"/>
      <c r="AS29" s="297"/>
      <c r="AT29" s="298"/>
      <c r="AU29" s="302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308"/>
    </row>
    <row r="30" spans="2:58" ht="13" customHeight="1" x14ac:dyDescent="0.4">
      <c r="B30" s="296"/>
      <c r="C30" s="297"/>
      <c r="D30" s="297"/>
      <c r="E30" s="297"/>
      <c r="F30" s="297"/>
      <c r="G30" s="297"/>
      <c r="H30" s="297"/>
      <c r="I30" s="297"/>
      <c r="J30" s="297"/>
      <c r="K30" s="297"/>
      <c r="L30" s="298"/>
      <c r="M30" s="302"/>
      <c r="N30" s="297"/>
      <c r="O30" s="297"/>
      <c r="P30" s="297"/>
      <c r="Q30" s="297"/>
      <c r="R30" s="297"/>
      <c r="S30" s="297"/>
      <c r="T30" s="297"/>
      <c r="U30" s="297"/>
      <c r="V30" s="297"/>
      <c r="W30" s="298"/>
      <c r="X30" s="302"/>
      <c r="Y30" s="297"/>
      <c r="Z30" s="297"/>
      <c r="AA30" s="297"/>
      <c r="AB30" s="297"/>
      <c r="AC30" s="297"/>
      <c r="AD30" s="297"/>
      <c r="AE30" s="297"/>
      <c r="AF30" s="297"/>
      <c r="AG30" s="297"/>
      <c r="AH30" s="298"/>
      <c r="AI30" s="302"/>
      <c r="AJ30" s="297"/>
      <c r="AK30" s="297"/>
      <c r="AL30" s="297"/>
      <c r="AM30" s="297"/>
      <c r="AN30" s="297"/>
      <c r="AO30" s="297"/>
      <c r="AP30" s="297"/>
      <c r="AQ30" s="297"/>
      <c r="AR30" s="297"/>
      <c r="AS30" s="297"/>
      <c r="AT30" s="298"/>
      <c r="AU30" s="302"/>
      <c r="AV30" s="297"/>
      <c r="AW30" s="297"/>
      <c r="AX30" s="297"/>
      <c r="AY30" s="297"/>
      <c r="AZ30" s="297"/>
      <c r="BA30" s="297"/>
      <c r="BB30" s="297"/>
      <c r="BC30" s="297"/>
      <c r="BD30" s="297"/>
      <c r="BE30" s="297"/>
      <c r="BF30" s="308"/>
    </row>
    <row r="31" spans="2:58" ht="13" customHeight="1" x14ac:dyDescent="0.4">
      <c r="B31" s="299"/>
      <c r="C31" s="300"/>
      <c r="D31" s="300"/>
      <c r="E31" s="300"/>
      <c r="F31" s="300"/>
      <c r="G31" s="300"/>
      <c r="H31" s="300"/>
      <c r="I31" s="300"/>
      <c r="J31" s="300"/>
      <c r="K31" s="300"/>
      <c r="L31" s="269"/>
      <c r="M31" s="303"/>
      <c r="N31" s="300"/>
      <c r="O31" s="300"/>
      <c r="P31" s="300"/>
      <c r="Q31" s="300"/>
      <c r="R31" s="300"/>
      <c r="S31" s="300"/>
      <c r="T31" s="300"/>
      <c r="U31" s="300"/>
      <c r="V31" s="300"/>
      <c r="W31" s="269"/>
      <c r="X31" s="303"/>
      <c r="Y31" s="300"/>
      <c r="Z31" s="300"/>
      <c r="AA31" s="300"/>
      <c r="AB31" s="300"/>
      <c r="AC31" s="300"/>
      <c r="AD31" s="300"/>
      <c r="AE31" s="300"/>
      <c r="AF31" s="300"/>
      <c r="AG31" s="300"/>
      <c r="AH31" s="269"/>
      <c r="AI31" s="303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269"/>
      <c r="AU31" s="303"/>
      <c r="AV31" s="300"/>
      <c r="AW31" s="300"/>
      <c r="AX31" s="300"/>
      <c r="AY31" s="300"/>
      <c r="AZ31" s="300"/>
      <c r="BA31" s="300"/>
      <c r="BB31" s="300"/>
      <c r="BC31" s="300"/>
      <c r="BD31" s="300"/>
      <c r="BE31" s="300"/>
      <c r="BF31" s="309"/>
    </row>
    <row r="32" spans="2:58" ht="13" customHeight="1" x14ac:dyDescent="0.4">
      <c r="B32" s="315" t="s">
        <v>251</v>
      </c>
      <c r="C32" s="313"/>
      <c r="D32" s="313"/>
      <c r="E32" s="313"/>
      <c r="F32" s="313"/>
      <c r="G32" s="313"/>
      <c r="H32" s="313"/>
      <c r="I32" s="313"/>
      <c r="J32" s="313"/>
      <c r="K32" s="313"/>
      <c r="L32" s="314"/>
      <c r="M32" s="318" t="s">
        <v>252</v>
      </c>
      <c r="N32" s="313"/>
      <c r="O32" s="313"/>
      <c r="P32" s="313"/>
      <c r="Q32" s="313"/>
      <c r="R32" s="313"/>
      <c r="S32" s="313"/>
      <c r="T32" s="313"/>
      <c r="U32" s="313"/>
      <c r="V32" s="313"/>
      <c r="W32" s="314"/>
      <c r="X32" s="319" t="s">
        <v>253</v>
      </c>
      <c r="Y32" s="313"/>
      <c r="Z32" s="313"/>
      <c r="AA32" s="313"/>
      <c r="AB32" s="313"/>
      <c r="AC32" s="313"/>
      <c r="AD32" s="313"/>
      <c r="AE32" s="313"/>
      <c r="AF32" s="313"/>
      <c r="AG32" s="313"/>
      <c r="AH32" s="314"/>
      <c r="AI32" s="211" t="s">
        <v>254</v>
      </c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4"/>
      <c r="AU32" s="211" t="s">
        <v>255</v>
      </c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20"/>
    </row>
    <row r="33" spans="2:58" ht="13" customHeight="1" x14ac:dyDescent="0.4">
      <c r="B33" s="293"/>
      <c r="C33" s="294"/>
      <c r="D33" s="294"/>
      <c r="E33" s="294"/>
      <c r="F33" s="294"/>
      <c r="G33" s="294"/>
      <c r="H33" s="294"/>
      <c r="I33" s="294"/>
      <c r="J33" s="294"/>
      <c r="K33" s="294"/>
      <c r="L33" s="295"/>
      <c r="M33" s="301"/>
      <c r="N33" s="294"/>
      <c r="O33" s="294"/>
      <c r="P33" s="294"/>
      <c r="Q33" s="294"/>
      <c r="R33" s="294"/>
      <c r="S33" s="294"/>
      <c r="T33" s="294"/>
      <c r="U33" s="294"/>
      <c r="V33" s="294"/>
      <c r="W33" s="295"/>
      <c r="X33" s="304"/>
      <c r="Y33" s="294"/>
      <c r="Z33" s="294"/>
      <c r="AA33" s="294"/>
      <c r="AB33" s="294"/>
      <c r="AC33" s="294"/>
      <c r="AD33" s="294"/>
      <c r="AE33" s="294"/>
      <c r="AF33" s="294"/>
      <c r="AG33" s="294"/>
      <c r="AH33" s="295"/>
      <c r="AI33" s="310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5"/>
      <c r="AU33" s="310"/>
      <c r="AV33" s="294"/>
      <c r="AW33" s="294"/>
      <c r="AX33" s="294"/>
      <c r="AY33" s="294"/>
      <c r="AZ33" s="294"/>
      <c r="BA33" s="294"/>
      <c r="BB33" s="294"/>
      <c r="BC33" s="294"/>
      <c r="BD33" s="294"/>
      <c r="BE33" s="294"/>
      <c r="BF33" s="307"/>
    </row>
    <row r="34" spans="2:58" ht="13" customHeight="1" x14ac:dyDescent="0.4">
      <c r="B34" s="296"/>
      <c r="C34" s="297"/>
      <c r="D34" s="297"/>
      <c r="E34" s="297"/>
      <c r="F34" s="297"/>
      <c r="G34" s="297"/>
      <c r="H34" s="297"/>
      <c r="I34" s="297"/>
      <c r="J34" s="297"/>
      <c r="K34" s="297"/>
      <c r="L34" s="298"/>
      <c r="M34" s="302"/>
      <c r="N34" s="297"/>
      <c r="O34" s="297"/>
      <c r="P34" s="297"/>
      <c r="Q34" s="297"/>
      <c r="R34" s="297"/>
      <c r="S34" s="297"/>
      <c r="T34" s="297"/>
      <c r="U34" s="297"/>
      <c r="V34" s="297"/>
      <c r="W34" s="298"/>
      <c r="X34" s="302"/>
      <c r="Y34" s="297"/>
      <c r="Z34" s="297"/>
      <c r="AA34" s="297"/>
      <c r="AB34" s="297"/>
      <c r="AC34" s="297"/>
      <c r="AD34" s="297"/>
      <c r="AE34" s="297"/>
      <c r="AF34" s="297"/>
      <c r="AG34" s="297"/>
      <c r="AH34" s="298"/>
      <c r="AI34" s="302"/>
      <c r="AJ34" s="297"/>
      <c r="AK34" s="297"/>
      <c r="AL34" s="297"/>
      <c r="AM34" s="297"/>
      <c r="AN34" s="297"/>
      <c r="AO34" s="297"/>
      <c r="AP34" s="297"/>
      <c r="AQ34" s="297"/>
      <c r="AR34" s="297"/>
      <c r="AS34" s="297"/>
      <c r="AT34" s="298"/>
      <c r="AU34" s="302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308"/>
    </row>
    <row r="35" spans="2:58" ht="13" customHeight="1" x14ac:dyDescent="0.4">
      <c r="B35" s="296"/>
      <c r="C35" s="297"/>
      <c r="D35" s="297"/>
      <c r="E35" s="297"/>
      <c r="F35" s="297"/>
      <c r="G35" s="297"/>
      <c r="H35" s="297"/>
      <c r="I35" s="297"/>
      <c r="J35" s="297"/>
      <c r="K35" s="297"/>
      <c r="L35" s="298"/>
      <c r="M35" s="302"/>
      <c r="N35" s="297"/>
      <c r="O35" s="297"/>
      <c r="P35" s="297"/>
      <c r="Q35" s="297"/>
      <c r="R35" s="297"/>
      <c r="S35" s="297"/>
      <c r="T35" s="297"/>
      <c r="U35" s="297"/>
      <c r="V35" s="297"/>
      <c r="W35" s="298"/>
      <c r="X35" s="302"/>
      <c r="Y35" s="297"/>
      <c r="Z35" s="297"/>
      <c r="AA35" s="297"/>
      <c r="AB35" s="297"/>
      <c r="AC35" s="297"/>
      <c r="AD35" s="297"/>
      <c r="AE35" s="297"/>
      <c r="AF35" s="297"/>
      <c r="AG35" s="297"/>
      <c r="AH35" s="298"/>
      <c r="AI35" s="302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8"/>
      <c r="AU35" s="302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308"/>
    </row>
    <row r="36" spans="2:58" ht="13" customHeight="1" x14ac:dyDescent="0.4">
      <c r="B36" s="296"/>
      <c r="C36" s="297"/>
      <c r="D36" s="297"/>
      <c r="E36" s="297"/>
      <c r="F36" s="297"/>
      <c r="G36" s="297"/>
      <c r="H36" s="297"/>
      <c r="I36" s="297"/>
      <c r="J36" s="297"/>
      <c r="K36" s="297"/>
      <c r="L36" s="298"/>
      <c r="M36" s="302"/>
      <c r="N36" s="297"/>
      <c r="O36" s="297"/>
      <c r="P36" s="297"/>
      <c r="Q36" s="297"/>
      <c r="R36" s="297"/>
      <c r="S36" s="297"/>
      <c r="T36" s="297"/>
      <c r="U36" s="297"/>
      <c r="V36" s="297"/>
      <c r="W36" s="298"/>
      <c r="X36" s="302"/>
      <c r="Y36" s="297"/>
      <c r="Z36" s="297"/>
      <c r="AA36" s="297"/>
      <c r="AB36" s="297"/>
      <c r="AC36" s="297"/>
      <c r="AD36" s="297"/>
      <c r="AE36" s="297"/>
      <c r="AF36" s="297"/>
      <c r="AG36" s="297"/>
      <c r="AH36" s="298"/>
      <c r="AI36" s="302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8"/>
      <c r="AU36" s="302"/>
      <c r="AV36" s="297"/>
      <c r="AW36" s="297"/>
      <c r="AX36" s="297"/>
      <c r="AY36" s="297"/>
      <c r="AZ36" s="297"/>
      <c r="BA36" s="297"/>
      <c r="BB36" s="297"/>
      <c r="BC36" s="297"/>
      <c r="BD36" s="297"/>
      <c r="BE36" s="297"/>
      <c r="BF36" s="308"/>
    </row>
    <row r="37" spans="2:58" ht="13" customHeight="1" x14ac:dyDescent="0.4">
      <c r="B37" s="296"/>
      <c r="C37" s="297"/>
      <c r="D37" s="297"/>
      <c r="E37" s="297"/>
      <c r="F37" s="297"/>
      <c r="G37" s="297"/>
      <c r="H37" s="297"/>
      <c r="I37" s="297"/>
      <c r="J37" s="297"/>
      <c r="K37" s="297"/>
      <c r="L37" s="298"/>
      <c r="M37" s="302"/>
      <c r="N37" s="297"/>
      <c r="O37" s="297"/>
      <c r="P37" s="297"/>
      <c r="Q37" s="297"/>
      <c r="R37" s="297"/>
      <c r="S37" s="297"/>
      <c r="T37" s="297"/>
      <c r="U37" s="297"/>
      <c r="V37" s="297"/>
      <c r="W37" s="298"/>
      <c r="X37" s="302"/>
      <c r="Y37" s="297"/>
      <c r="Z37" s="297"/>
      <c r="AA37" s="297"/>
      <c r="AB37" s="297"/>
      <c r="AC37" s="297"/>
      <c r="AD37" s="297"/>
      <c r="AE37" s="297"/>
      <c r="AF37" s="297"/>
      <c r="AG37" s="297"/>
      <c r="AH37" s="298"/>
      <c r="AI37" s="302"/>
      <c r="AJ37" s="297"/>
      <c r="AK37" s="297"/>
      <c r="AL37" s="297"/>
      <c r="AM37" s="297"/>
      <c r="AN37" s="297"/>
      <c r="AO37" s="297"/>
      <c r="AP37" s="297"/>
      <c r="AQ37" s="297"/>
      <c r="AR37" s="297"/>
      <c r="AS37" s="297"/>
      <c r="AT37" s="298"/>
      <c r="AU37" s="302"/>
      <c r="AV37" s="297"/>
      <c r="AW37" s="297"/>
      <c r="AX37" s="297"/>
      <c r="AY37" s="297"/>
      <c r="AZ37" s="297"/>
      <c r="BA37" s="297"/>
      <c r="BB37" s="297"/>
      <c r="BC37" s="297"/>
      <c r="BD37" s="297"/>
      <c r="BE37" s="297"/>
      <c r="BF37" s="308"/>
    </row>
    <row r="38" spans="2:58" ht="13" customHeight="1" x14ac:dyDescent="0.4">
      <c r="B38" s="299"/>
      <c r="C38" s="300"/>
      <c r="D38" s="300"/>
      <c r="E38" s="300"/>
      <c r="F38" s="300"/>
      <c r="G38" s="300"/>
      <c r="H38" s="300"/>
      <c r="I38" s="300"/>
      <c r="J38" s="300"/>
      <c r="K38" s="300"/>
      <c r="L38" s="269"/>
      <c r="M38" s="303"/>
      <c r="N38" s="300"/>
      <c r="O38" s="300"/>
      <c r="P38" s="300"/>
      <c r="Q38" s="300"/>
      <c r="R38" s="300"/>
      <c r="S38" s="300"/>
      <c r="T38" s="300"/>
      <c r="U38" s="300"/>
      <c r="V38" s="300"/>
      <c r="W38" s="269"/>
      <c r="X38" s="303"/>
      <c r="Y38" s="300"/>
      <c r="Z38" s="300"/>
      <c r="AA38" s="300"/>
      <c r="AB38" s="300"/>
      <c r="AC38" s="300"/>
      <c r="AD38" s="300"/>
      <c r="AE38" s="300"/>
      <c r="AF38" s="300"/>
      <c r="AG38" s="300"/>
      <c r="AH38" s="269"/>
      <c r="AI38" s="303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269"/>
      <c r="AU38" s="303"/>
      <c r="AV38" s="300"/>
      <c r="AW38" s="300"/>
      <c r="AX38" s="300"/>
      <c r="AY38" s="300"/>
      <c r="AZ38" s="300"/>
      <c r="BA38" s="300"/>
      <c r="BB38" s="300"/>
      <c r="BC38" s="300"/>
      <c r="BD38" s="300"/>
      <c r="BE38" s="300"/>
      <c r="BF38" s="309"/>
    </row>
    <row r="39" spans="2:58" ht="13" customHeight="1" x14ac:dyDescent="0.4">
      <c r="B39" s="315" t="s">
        <v>256</v>
      </c>
      <c r="C39" s="313"/>
      <c r="D39" s="313"/>
      <c r="E39" s="313"/>
      <c r="F39" s="313"/>
      <c r="G39" s="313"/>
      <c r="H39" s="313"/>
      <c r="I39" s="313"/>
      <c r="J39" s="313"/>
      <c r="K39" s="313"/>
      <c r="L39" s="314"/>
      <c r="M39" s="318" t="s">
        <v>257</v>
      </c>
      <c r="N39" s="313"/>
      <c r="O39" s="313"/>
      <c r="P39" s="313"/>
      <c r="Q39" s="313"/>
      <c r="R39" s="313"/>
      <c r="S39" s="313"/>
      <c r="T39" s="313"/>
      <c r="U39" s="313"/>
      <c r="V39" s="313"/>
      <c r="W39" s="314"/>
      <c r="X39" s="319" t="s">
        <v>258</v>
      </c>
      <c r="Y39" s="313"/>
      <c r="Z39" s="313"/>
      <c r="AA39" s="313"/>
      <c r="AB39" s="313"/>
      <c r="AC39" s="313"/>
      <c r="AD39" s="313"/>
      <c r="AE39" s="313"/>
      <c r="AF39" s="313"/>
      <c r="AG39" s="313"/>
      <c r="AH39" s="314"/>
      <c r="AI39" s="211" t="s">
        <v>259</v>
      </c>
      <c r="AJ39" s="313"/>
      <c r="AK39" s="313"/>
      <c r="AL39" s="313"/>
      <c r="AM39" s="313"/>
      <c r="AN39" s="313"/>
      <c r="AO39" s="313"/>
      <c r="AP39" s="313"/>
      <c r="AQ39" s="313"/>
      <c r="AR39" s="313"/>
      <c r="AS39" s="313"/>
      <c r="AT39" s="314"/>
      <c r="AU39" s="211" t="s">
        <v>260</v>
      </c>
      <c r="AV39" s="313"/>
      <c r="AW39" s="313"/>
      <c r="AX39" s="313"/>
      <c r="AY39" s="313"/>
      <c r="AZ39" s="313"/>
      <c r="BA39" s="313"/>
      <c r="BB39" s="313"/>
      <c r="BC39" s="313"/>
      <c r="BD39" s="313"/>
      <c r="BE39" s="313"/>
      <c r="BF39" s="320"/>
    </row>
    <row r="40" spans="2:58" ht="13" customHeight="1" x14ac:dyDescent="0.4">
      <c r="B40" s="293"/>
      <c r="C40" s="294"/>
      <c r="D40" s="294"/>
      <c r="E40" s="294"/>
      <c r="F40" s="294"/>
      <c r="G40" s="294"/>
      <c r="H40" s="294"/>
      <c r="I40" s="294"/>
      <c r="J40" s="294"/>
      <c r="K40" s="294"/>
      <c r="L40" s="295"/>
      <c r="M40" s="301"/>
      <c r="N40" s="294"/>
      <c r="O40" s="294"/>
      <c r="P40" s="294"/>
      <c r="Q40" s="294"/>
      <c r="R40" s="294"/>
      <c r="S40" s="294"/>
      <c r="T40" s="294"/>
      <c r="U40" s="294"/>
      <c r="V40" s="294"/>
      <c r="W40" s="295"/>
      <c r="X40" s="304"/>
      <c r="Y40" s="294"/>
      <c r="Z40" s="294"/>
      <c r="AA40" s="294"/>
      <c r="AB40" s="294"/>
      <c r="AC40" s="294"/>
      <c r="AD40" s="294"/>
      <c r="AE40" s="294"/>
      <c r="AF40" s="294"/>
      <c r="AG40" s="294"/>
      <c r="AH40" s="295"/>
      <c r="AI40" s="310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5"/>
      <c r="AU40" s="310"/>
      <c r="AV40" s="294"/>
      <c r="AW40" s="294"/>
      <c r="AX40" s="294"/>
      <c r="AY40" s="294"/>
      <c r="AZ40" s="294"/>
      <c r="BA40" s="294"/>
      <c r="BB40" s="294"/>
      <c r="BC40" s="294"/>
      <c r="BD40" s="294"/>
      <c r="BE40" s="294"/>
      <c r="BF40" s="307"/>
    </row>
    <row r="41" spans="2:58" ht="13" customHeight="1" x14ac:dyDescent="0.4">
      <c r="B41" s="296"/>
      <c r="C41" s="297"/>
      <c r="D41" s="297"/>
      <c r="E41" s="297"/>
      <c r="F41" s="297"/>
      <c r="G41" s="297"/>
      <c r="H41" s="297"/>
      <c r="I41" s="297"/>
      <c r="J41" s="297"/>
      <c r="K41" s="297"/>
      <c r="L41" s="298"/>
      <c r="M41" s="302"/>
      <c r="N41" s="297"/>
      <c r="O41" s="297"/>
      <c r="P41" s="297"/>
      <c r="Q41" s="297"/>
      <c r="R41" s="297"/>
      <c r="S41" s="297"/>
      <c r="T41" s="297"/>
      <c r="U41" s="297"/>
      <c r="V41" s="297"/>
      <c r="W41" s="298"/>
      <c r="X41" s="302"/>
      <c r="Y41" s="297"/>
      <c r="Z41" s="297"/>
      <c r="AA41" s="297"/>
      <c r="AB41" s="297"/>
      <c r="AC41" s="297"/>
      <c r="AD41" s="297"/>
      <c r="AE41" s="297"/>
      <c r="AF41" s="297"/>
      <c r="AG41" s="297"/>
      <c r="AH41" s="298"/>
      <c r="AI41" s="302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8"/>
      <c r="AU41" s="302"/>
      <c r="AV41" s="297"/>
      <c r="AW41" s="297"/>
      <c r="AX41" s="297"/>
      <c r="AY41" s="297"/>
      <c r="AZ41" s="297"/>
      <c r="BA41" s="297"/>
      <c r="BB41" s="297"/>
      <c r="BC41" s="297"/>
      <c r="BD41" s="297"/>
      <c r="BE41" s="297"/>
      <c r="BF41" s="308"/>
    </row>
    <row r="42" spans="2:58" ht="13" customHeight="1" x14ac:dyDescent="0.4">
      <c r="B42" s="296"/>
      <c r="C42" s="297"/>
      <c r="D42" s="297"/>
      <c r="E42" s="297"/>
      <c r="F42" s="297"/>
      <c r="G42" s="297"/>
      <c r="H42" s="297"/>
      <c r="I42" s="297"/>
      <c r="J42" s="297"/>
      <c r="K42" s="297"/>
      <c r="L42" s="298"/>
      <c r="M42" s="302"/>
      <c r="N42" s="297"/>
      <c r="O42" s="297"/>
      <c r="P42" s="297"/>
      <c r="Q42" s="297"/>
      <c r="R42" s="297"/>
      <c r="S42" s="297"/>
      <c r="T42" s="297"/>
      <c r="U42" s="297"/>
      <c r="V42" s="297"/>
      <c r="W42" s="298"/>
      <c r="X42" s="302"/>
      <c r="Y42" s="297"/>
      <c r="Z42" s="297"/>
      <c r="AA42" s="297"/>
      <c r="AB42" s="297"/>
      <c r="AC42" s="297"/>
      <c r="AD42" s="297"/>
      <c r="AE42" s="297"/>
      <c r="AF42" s="297"/>
      <c r="AG42" s="297"/>
      <c r="AH42" s="298"/>
      <c r="AI42" s="302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8"/>
      <c r="AU42" s="302"/>
      <c r="AV42" s="297"/>
      <c r="AW42" s="297"/>
      <c r="AX42" s="297"/>
      <c r="AY42" s="297"/>
      <c r="AZ42" s="297"/>
      <c r="BA42" s="297"/>
      <c r="BB42" s="297"/>
      <c r="BC42" s="297"/>
      <c r="BD42" s="297"/>
      <c r="BE42" s="297"/>
      <c r="BF42" s="308"/>
    </row>
    <row r="43" spans="2:58" ht="13" customHeight="1" x14ac:dyDescent="0.4">
      <c r="B43" s="296"/>
      <c r="C43" s="297"/>
      <c r="D43" s="297"/>
      <c r="E43" s="297"/>
      <c r="F43" s="297"/>
      <c r="G43" s="297"/>
      <c r="H43" s="297"/>
      <c r="I43" s="297"/>
      <c r="J43" s="297"/>
      <c r="K43" s="297"/>
      <c r="L43" s="298"/>
      <c r="M43" s="302"/>
      <c r="N43" s="297"/>
      <c r="O43" s="297"/>
      <c r="P43" s="297"/>
      <c r="Q43" s="297"/>
      <c r="R43" s="297"/>
      <c r="S43" s="297"/>
      <c r="T43" s="297"/>
      <c r="U43" s="297"/>
      <c r="V43" s="297"/>
      <c r="W43" s="298"/>
      <c r="X43" s="302"/>
      <c r="Y43" s="297"/>
      <c r="Z43" s="297"/>
      <c r="AA43" s="297"/>
      <c r="AB43" s="297"/>
      <c r="AC43" s="297"/>
      <c r="AD43" s="297"/>
      <c r="AE43" s="297"/>
      <c r="AF43" s="297"/>
      <c r="AG43" s="297"/>
      <c r="AH43" s="298"/>
      <c r="AI43" s="302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8"/>
      <c r="AU43" s="302"/>
      <c r="AV43" s="297"/>
      <c r="AW43" s="297"/>
      <c r="AX43" s="297"/>
      <c r="AY43" s="297"/>
      <c r="AZ43" s="297"/>
      <c r="BA43" s="297"/>
      <c r="BB43" s="297"/>
      <c r="BC43" s="297"/>
      <c r="BD43" s="297"/>
      <c r="BE43" s="297"/>
      <c r="BF43" s="308"/>
    </row>
    <row r="44" spans="2:58" ht="13" customHeight="1" x14ac:dyDescent="0.4">
      <c r="B44" s="296"/>
      <c r="C44" s="297"/>
      <c r="D44" s="297"/>
      <c r="E44" s="297"/>
      <c r="F44" s="297"/>
      <c r="G44" s="297"/>
      <c r="H44" s="297"/>
      <c r="I44" s="297"/>
      <c r="J44" s="297"/>
      <c r="K44" s="297"/>
      <c r="L44" s="298"/>
      <c r="M44" s="302"/>
      <c r="N44" s="297"/>
      <c r="O44" s="297"/>
      <c r="P44" s="297"/>
      <c r="Q44" s="297"/>
      <c r="R44" s="297"/>
      <c r="S44" s="297"/>
      <c r="T44" s="297"/>
      <c r="U44" s="297"/>
      <c r="V44" s="297"/>
      <c r="W44" s="298"/>
      <c r="X44" s="302"/>
      <c r="Y44" s="297"/>
      <c r="Z44" s="297"/>
      <c r="AA44" s="297"/>
      <c r="AB44" s="297"/>
      <c r="AC44" s="297"/>
      <c r="AD44" s="297"/>
      <c r="AE44" s="297"/>
      <c r="AF44" s="297"/>
      <c r="AG44" s="297"/>
      <c r="AH44" s="298"/>
      <c r="AI44" s="302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8"/>
      <c r="AU44" s="302"/>
      <c r="AV44" s="297"/>
      <c r="AW44" s="297"/>
      <c r="AX44" s="297"/>
      <c r="AY44" s="297"/>
      <c r="AZ44" s="297"/>
      <c r="BA44" s="297"/>
      <c r="BB44" s="297"/>
      <c r="BC44" s="297"/>
      <c r="BD44" s="297"/>
      <c r="BE44" s="297"/>
      <c r="BF44" s="308"/>
    </row>
    <row r="45" spans="2:58" ht="13" customHeight="1" x14ac:dyDescent="0.4">
      <c r="B45" s="299"/>
      <c r="C45" s="300"/>
      <c r="D45" s="300"/>
      <c r="E45" s="300"/>
      <c r="F45" s="300"/>
      <c r="G45" s="300"/>
      <c r="H45" s="300"/>
      <c r="I45" s="300"/>
      <c r="J45" s="300"/>
      <c r="K45" s="300"/>
      <c r="L45" s="269"/>
      <c r="M45" s="303"/>
      <c r="N45" s="300"/>
      <c r="O45" s="300"/>
      <c r="P45" s="300"/>
      <c r="Q45" s="300"/>
      <c r="R45" s="300"/>
      <c r="S45" s="300"/>
      <c r="T45" s="300"/>
      <c r="U45" s="300"/>
      <c r="V45" s="300"/>
      <c r="W45" s="269"/>
      <c r="X45" s="303"/>
      <c r="Y45" s="300"/>
      <c r="Z45" s="300"/>
      <c r="AA45" s="300"/>
      <c r="AB45" s="300"/>
      <c r="AC45" s="300"/>
      <c r="AD45" s="300"/>
      <c r="AE45" s="300"/>
      <c r="AF45" s="300"/>
      <c r="AG45" s="300"/>
      <c r="AH45" s="269"/>
      <c r="AI45" s="303"/>
      <c r="AJ45" s="300"/>
      <c r="AK45" s="300"/>
      <c r="AL45" s="300"/>
      <c r="AM45" s="300"/>
      <c r="AN45" s="300"/>
      <c r="AO45" s="300"/>
      <c r="AP45" s="300"/>
      <c r="AQ45" s="300"/>
      <c r="AR45" s="300"/>
      <c r="AS45" s="300"/>
      <c r="AT45" s="269"/>
      <c r="AU45" s="303"/>
      <c r="AV45" s="300"/>
      <c r="AW45" s="300"/>
      <c r="AX45" s="300"/>
      <c r="AY45" s="300"/>
      <c r="AZ45" s="300"/>
      <c r="BA45" s="300"/>
      <c r="BB45" s="300"/>
      <c r="BC45" s="300"/>
      <c r="BD45" s="300"/>
      <c r="BE45" s="300"/>
      <c r="BF45" s="309"/>
    </row>
    <row r="46" spans="2:58" ht="13" customHeight="1" x14ac:dyDescent="0.4">
      <c r="B46" s="315" t="s">
        <v>261</v>
      </c>
      <c r="C46" s="313"/>
      <c r="D46" s="313"/>
      <c r="E46" s="313"/>
      <c r="F46" s="313"/>
      <c r="G46" s="313"/>
      <c r="H46" s="313"/>
      <c r="I46" s="313"/>
      <c r="J46" s="313"/>
      <c r="K46" s="313"/>
      <c r="L46" s="314"/>
      <c r="M46" s="226" t="s">
        <v>262</v>
      </c>
      <c r="N46" s="313"/>
      <c r="O46" s="313"/>
      <c r="P46" s="313"/>
      <c r="Q46" s="313"/>
      <c r="R46" s="313"/>
      <c r="S46" s="313"/>
      <c r="T46" s="313"/>
      <c r="U46" s="313"/>
      <c r="V46" s="313"/>
      <c r="W46" s="314"/>
      <c r="X46" s="319" t="s">
        <v>263</v>
      </c>
      <c r="Y46" s="313"/>
      <c r="Z46" s="313"/>
      <c r="AA46" s="313"/>
      <c r="AB46" s="313"/>
      <c r="AC46" s="313"/>
      <c r="AD46" s="313"/>
      <c r="AE46" s="313"/>
      <c r="AF46" s="313"/>
      <c r="AG46" s="313"/>
      <c r="AH46" s="314"/>
      <c r="AI46" s="211" t="s">
        <v>264</v>
      </c>
      <c r="AJ46" s="313"/>
      <c r="AK46" s="313"/>
      <c r="AL46" s="313"/>
      <c r="AM46" s="313"/>
      <c r="AN46" s="313"/>
      <c r="AO46" s="313"/>
      <c r="AP46" s="313"/>
      <c r="AQ46" s="313"/>
      <c r="AR46" s="313"/>
      <c r="AS46" s="313"/>
      <c r="AT46" s="314"/>
      <c r="AU46" s="211" t="s">
        <v>265</v>
      </c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20"/>
    </row>
    <row r="47" spans="2:58" ht="13" customHeight="1" x14ac:dyDescent="0.4">
      <c r="B47" s="293"/>
      <c r="C47" s="294"/>
      <c r="D47" s="294"/>
      <c r="E47" s="294"/>
      <c r="F47" s="294"/>
      <c r="G47" s="294"/>
      <c r="H47" s="294"/>
      <c r="I47" s="294"/>
      <c r="J47" s="294"/>
      <c r="K47" s="294"/>
      <c r="L47" s="295"/>
      <c r="M47" s="301"/>
      <c r="N47" s="294"/>
      <c r="O47" s="294"/>
      <c r="P47" s="294"/>
      <c r="Q47" s="294"/>
      <c r="R47" s="294"/>
      <c r="S47" s="294"/>
      <c r="T47" s="294"/>
      <c r="U47" s="294"/>
      <c r="V47" s="294"/>
      <c r="W47" s="295"/>
      <c r="X47" s="304"/>
      <c r="Y47" s="294"/>
      <c r="Z47" s="294"/>
      <c r="AA47" s="294"/>
      <c r="AB47" s="294"/>
      <c r="AC47" s="294"/>
      <c r="AD47" s="294"/>
      <c r="AE47" s="294"/>
      <c r="AF47" s="294"/>
      <c r="AG47" s="294"/>
      <c r="AH47" s="295"/>
      <c r="AI47" s="310"/>
      <c r="AJ47" s="294"/>
      <c r="AK47" s="294"/>
      <c r="AL47" s="294"/>
      <c r="AM47" s="294"/>
      <c r="AN47" s="294"/>
      <c r="AO47" s="294"/>
      <c r="AP47" s="294"/>
      <c r="AQ47" s="294"/>
      <c r="AR47" s="294"/>
      <c r="AS47" s="294"/>
      <c r="AT47" s="295"/>
      <c r="AU47" s="310"/>
      <c r="AV47" s="294"/>
      <c r="AW47" s="294"/>
      <c r="AX47" s="294"/>
      <c r="AY47" s="294"/>
      <c r="AZ47" s="294"/>
      <c r="BA47" s="294"/>
      <c r="BB47" s="294"/>
      <c r="BC47" s="294"/>
      <c r="BD47" s="294"/>
      <c r="BE47" s="294"/>
      <c r="BF47" s="307"/>
    </row>
    <row r="48" spans="2:58" ht="13" customHeight="1" x14ac:dyDescent="0.4">
      <c r="B48" s="296"/>
      <c r="C48" s="297"/>
      <c r="D48" s="297"/>
      <c r="E48" s="297"/>
      <c r="F48" s="297"/>
      <c r="G48" s="297"/>
      <c r="H48" s="297"/>
      <c r="I48" s="297"/>
      <c r="J48" s="297"/>
      <c r="K48" s="297"/>
      <c r="L48" s="298"/>
      <c r="M48" s="302"/>
      <c r="N48" s="297"/>
      <c r="O48" s="297"/>
      <c r="P48" s="297"/>
      <c r="Q48" s="297"/>
      <c r="R48" s="297"/>
      <c r="S48" s="297"/>
      <c r="T48" s="297"/>
      <c r="U48" s="297"/>
      <c r="V48" s="297"/>
      <c r="W48" s="298"/>
      <c r="X48" s="302"/>
      <c r="Y48" s="297"/>
      <c r="Z48" s="297"/>
      <c r="AA48" s="297"/>
      <c r="AB48" s="297"/>
      <c r="AC48" s="297"/>
      <c r="AD48" s="297"/>
      <c r="AE48" s="297"/>
      <c r="AF48" s="297"/>
      <c r="AG48" s="297"/>
      <c r="AH48" s="298"/>
      <c r="AI48" s="302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8"/>
      <c r="AU48" s="302"/>
      <c r="AV48" s="297"/>
      <c r="AW48" s="297"/>
      <c r="AX48" s="297"/>
      <c r="AY48" s="297"/>
      <c r="AZ48" s="297"/>
      <c r="BA48" s="297"/>
      <c r="BB48" s="297"/>
      <c r="BC48" s="297"/>
      <c r="BD48" s="297"/>
      <c r="BE48" s="297"/>
      <c r="BF48" s="308"/>
    </row>
    <row r="49" spans="2:58" ht="13" customHeight="1" x14ac:dyDescent="0.4">
      <c r="B49" s="296"/>
      <c r="C49" s="297"/>
      <c r="D49" s="297"/>
      <c r="E49" s="297"/>
      <c r="F49" s="297"/>
      <c r="G49" s="297"/>
      <c r="H49" s="297"/>
      <c r="I49" s="297"/>
      <c r="J49" s="297"/>
      <c r="K49" s="297"/>
      <c r="L49" s="298"/>
      <c r="M49" s="302"/>
      <c r="N49" s="297"/>
      <c r="O49" s="297"/>
      <c r="P49" s="297"/>
      <c r="Q49" s="297"/>
      <c r="R49" s="297"/>
      <c r="S49" s="297"/>
      <c r="T49" s="297"/>
      <c r="U49" s="297"/>
      <c r="V49" s="297"/>
      <c r="W49" s="298"/>
      <c r="X49" s="302"/>
      <c r="Y49" s="297"/>
      <c r="Z49" s="297"/>
      <c r="AA49" s="297"/>
      <c r="AB49" s="297"/>
      <c r="AC49" s="297"/>
      <c r="AD49" s="297"/>
      <c r="AE49" s="297"/>
      <c r="AF49" s="297"/>
      <c r="AG49" s="297"/>
      <c r="AH49" s="298"/>
      <c r="AI49" s="302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8"/>
      <c r="AU49" s="302"/>
      <c r="AV49" s="297"/>
      <c r="AW49" s="297"/>
      <c r="AX49" s="297"/>
      <c r="AY49" s="297"/>
      <c r="AZ49" s="297"/>
      <c r="BA49" s="297"/>
      <c r="BB49" s="297"/>
      <c r="BC49" s="297"/>
      <c r="BD49" s="297"/>
      <c r="BE49" s="297"/>
      <c r="BF49" s="308"/>
    </row>
    <row r="50" spans="2:58" ht="13" customHeight="1" x14ac:dyDescent="0.4">
      <c r="B50" s="296"/>
      <c r="C50" s="297"/>
      <c r="D50" s="297"/>
      <c r="E50" s="297"/>
      <c r="F50" s="297"/>
      <c r="G50" s="297"/>
      <c r="H50" s="297"/>
      <c r="I50" s="297"/>
      <c r="J50" s="297"/>
      <c r="K50" s="297"/>
      <c r="L50" s="298"/>
      <c r="M50" s="302"/>
      <c r="N50" s="297"/>
      <c r="O50" s="297"/>
      <c r="P50" s="297"/>
      <c r="Q50" s="297"/>
      <c r="R50" s="297"/>
      <c r="S50" s="297"/>
      <c r="T50" s="297"/>
      <c r="U50" s="297"/>
      <c r="V50" s="297"/>
      <c r="W50" s="298"/>
      <c r="X50" s="302"/>
      <c r="Y50" s="297"/>
      <c r="Z50" s="297"/>
      <c r="AA50" s="297"/>
      <c r="AB50" s="297"/>
      <c r="AC50" s="297"/>
      <c r="AD50" s="297"/>
      <c r="AE50" s="297"/>
      <c r="AF50" s="297"/>
      <c r="AG50" s="297"/>
      <c r="AH50" s="298"/>
      <c r="AI50" s="302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8"/>
      <c r="AU50" s="302"/>
      <c r="AV50" s="297"/>
      <c r="AW50" s="297"/>
      <c r="AX50" s="297"/>
      <c r="AY50" s="297"/>
      <c r="AZ50" s="297"/>
      <c r="BA50" s="297"/>
      <c r="BB50" s="297"/>
      <c r="BC50" s="297"/>
      <c r="BD50" s="297"/>
      <c r="BE50" s="297"/>
      <c r="BF50" s="308"/>
    </row>
    <row r="51" spans="2:58" ht="13" customHeight="1" x14ac:dyDescent="0.4">
      <c r="B51" s="296"/>
      <c r="C51" s="297"/>
      <c r="D51" s="297"/>
      <c r="E51" s="297"/>
      <c r="F51" s="297"/>
      <c r="G51" s="297"/>
      <c r="H51" s="297"/>
      <c r="I51" s="297"/>
      <c r="J51" s="297"/>
      <c r="K51" s="297"/>
      <c r="L51" s="298"/>
      <c r="M51" s="302"/>
      <c r="N51" s="297"/>
      <c r="O51" s="297"/>
      <c r="P51" s="297"/>
      <c r="Q51" s="297"/>
      <c r="R51" s="297"/>
      <c r="S51" s="297"/>
      <c r="T51" s="297"/>
      <c r="U51" s="297"/>
      <c r="V51" s="297"/>
      <c r="W51" s="298"/>
      <c r="X51" s="302"/>
      <c r="Y51" s="297"/>
      <c r="Z51" s="297"/>
      <c r="AA51" s="297"/>
      <c r="AB51" s="297"/>
      <c r="AC51" s="297"/>
      <c r="AD51" s="297"/>
      <c r="AE51" s="297"/>
      <c r="AF51" s="297"/>
      <c r="AG51" s="297"/>
      <c r="AH51" s="298"/>
      <c r="AI51" s="302"/>
      <c r="AJ51" s="297"/>
      <c r="AK51" s="297"/>
      <c r="AL51" s="297"/>
      <c r="AM51" s="297"/>
      <c r="AN51" s="297"/>
      <c r="AO51" s="297"/>
      <c r="AP51" s="297"/>
      <c r="AQ51" s="297"/>
      <c r="AR51" s="297"/>
      <c r="AS51" s="297"/>
      <c r="AT51" s="298"/>
      <c r="AU51" s="302"/>
      <c r="AV51" s="297"/>
      <c r="AW51" s="297"/>
      <c r="AX51" s="297"/>
      <c r="AY51" s="297"/>
      <c r="AZ51" s="297"/>
      <c r="BA51" s="297"/>
      <c r="BB51" s="297"/>
      <c r="BC51" s="297"/>
      <c r="BD51" s="297"/>
      <c r="BE51" s="297"/>
      <c r="BF51" s="308"/>
    </row>
    <row r="52" spans="2:58" ht="13" customHeight="1" x14ac:dyDescent="0.4">
      <c r="B52" s="299"/>
      <c r="C52" s="300"/>
      <c r="D52" s="300"/>
      <c r="E52" s="300"/>
      <c r="F52" s="300"/>
      <c r="G52" s="300"/>
      <c r="H52" s="300"/>
      <c r="I52" s="300"/>
      <c r="J52" s="300"/>
      <c r="K52" s="300"/>
      <c r="L52" s="269"/>
      <c r="M52" s="303"/>
      <c r="N52" s="300"/>
      <c r="O52" s="300"/>
      <c r="P52" s="300"/>
      <c r="Q52" s="300"/>
      <c r="R52" s="300"/>
      <c r="S52" s="300"/>
      <c r="T52" s="300"/>
      <c r="U52" s="300"/>
      <c r="V52" s="300"/>
      <c r="W52" s="269"/>
      <c r="X52" s="303"/>
      <c r="Y52" s="300"/>
      <c r="Z52" s="300"/>
      <c r="AA52" s="300"/>
      <c r="AB52" s="300"/>
      <c r="AC52" s="300"/>
      <c r="AD52" s="300"/>
      <c r="AE52" s="300"/>
      <c r="AF52" s="300"/>
      <c r="AG52" s="300"/>
      <c r="AH52" s="269"/>
      <c r="AI52" s="303"/>
      <c r="AJ52" s="300"/>
      <c r="AK52" s="300"/>
      <c r="AL52" s="300"/>
      <c r="AM52" s="300"/>
      <c r="AN52" s="300"/>
      <c r="AO52" s="300"/>
      <c r="AP52" s="300"/>
      <c r="AQ52" s="300"/>
      <c r="AR52" s="300"/>
      <c r="AS52" s="300"/>
      <c r="AT52" s="269"/>
      <c r="AU52" s="303"/>
      <c r="AV52" s="300"/>
      <c r="AW52" s="300"/>
      <c r="AX52" s="300"/>
      <c r="AY52" s="300"/>
      <c r="AZ52" s="300"/>
      <c r="BA52" s="300"/>
      <c r="BB52" s="300"/>
      <c r="BC52" s="300"/>
      <c r="BD52" s="300"/>
      <c r="BE52" s="300"/>
      <c r="BF52" s="309"/>
    </row>
    <row r="53" spans="2:58" ht="13" customHeight="1" x14ac:dyDescent="0.4">
      <c r="B53" s="315" t="s">
        <v>266</v>
      </c>
      <c r="C53" s="313"/>
      <c r="D53" s="313"/>
      <c r="E53" s="313"/>
      <c r="F53" s="313"/>
      <c r="G53" s="313"/>
      <c r="H53" s="313"/>
      <c r="I53" s="313"/>
      <c r="J53" s="313"/>
      <c r="K53" s="313"/>
      <c r="L53" s="314"/>
      <c r="M53" s="318" t="s">
        <v>267</v>
      </c>
      <c r="N53" s="313"/>
      <c r="O53" s="313"/>
      <c r="P53" s="313"/>
      <c r="Q53" s="313"/>
      <c r="R53" s="313"/>
      <c r="S53" s="313"/>
      <c r="T53" s="313"/>
      <c r="U53" s="313"/>
      <c r="V53" s="313"/>
      <c r="W53" s="314"/>
      <c r="X53" s="319" t="s">
        <v>268</v>
      </c>
      <c r="Y53" s="313"/>
      <c r="Z53" s="313"/>
      <c r="AA53" s="313"/>
      <c r="AB53" s="313"/>
      <c r="AC53" s="313"/>
      <c r="AD53" s="313"/>
      <c r="AE53" s="313"/>
      <c r="AF53" s="313"/>
      <c r="AG53" s="313"/>
      <c r="AH53" s="314"/>
      <c r="AI53" s="211" t="s">
        <v>269</v>
      </c>
      <c r="AJ53" s="313"/>
      <c r="AK53" s="313"/>
      <c r="AL53" s="313"/>
      <c r="AM53" s="313"/>
      <c r="AN53" s="313"/>
      <c r="AO53" s="313"/>
      <c r="AP53" s="313"/>
      <c r="AQ53" s="313"/>
      <c r="AR53" s="313"/>
      <c r="AS53" s="313"/>
      <c r="AT53" s="314"/>
      <c r="AU53" s="211" t="s">
        <v>270</v>
      </c>
      <c r="AV53" s="313"/>
      <c r="AW53" s="313"/>
      <c r="AX53" s="313"/>
      <c r="AY53" s="313"/>
      <c r="AZ53" s="313"/>
      <c r="BA53" s="313"/>
      <c r="BB53" s="313"/>
      <c r="BC53" s="313"/>
      <c r="BD53" s="313"/>
      <c r="BE53" s="313"/>
      <c r="BF53" s="320"/>
    </row>
    <row r="54" spans="2:58" ht="13" customHeight="1" x14ac:dyDescent="0.4">
      <c r="B54" s="293"/>
      <c r="C54" s="294"/>
      <c r="D54" s="294"/>
      <c r="E54" s="294"/>
      <c r="F54" s="294"/>
      <c r="G54" s="294"/>
      <c r="H54" s="294"/>
      <c r="I54" s="294"/>
      <c r="J54" s="294"/>
      <c r="K54" s="294"/>
      <c r="L54" s="295"/>
      <c r="M54" s="317"/>
      <c r="N54" s="294"/>
      <c r="O54" s="294"/>
      <c r="P54" s="294"/>
      <c r="Q54" s="294"/>
      <c r="R54" s="294"/>
      <c r="S54" s="294"/>
      <c r="T54" s="294"/>
      <c r="U54" s="294"/>
      <c r="V54" s="294"/>
      <c r="W54" s="295"/>
      <c r="X54" s="304"/>
      <c r="Y54" s="294"/>
      <c r="Z54" s="294"/>
      <c r="AA54" s="294"/>
      <c r="AB54" s="294"/>
      <c r="AC54" s="294"/>
      <c r="AD54" s="294"/>
      <c r="AE54" s="294"/>
      <c r="AF54" s="294"/>
      <c r="AG54" s="294"/>
      <c r="AH54" s="295"/>
      <c r="AI54" s="310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5"/>
      <c r="AU54" s="310"/>
      <c r="AV54" s="294"/>
      <c r="AW54" s="294"/>
      <c r="AX54" s="294"/>
      <c r="AY54" s="294"/>
      <c r="AZ54" s="294"/>
      <c r="BA54" s="294"/>
      <c r="BB54" s="294"/>
      <c r="BC54" s="294"/>
      <c r="BD54" s="294"/>
      <c r="BE54" s="294"/>
      <c r="BF54" s="307"/>
    </row>
    <row r="55" spans="2:58" ht="13" customHeight="1" x14ac:dyDescent="0.4">
      <c r="B55" s="296"/>
      <c r="C55" s="297"/>
      <c r="D55" s="297"/>
      <c r="E55" s="297"/>
      <c r="F55" s="297"/>
      <c r="G55" s="297"/>
      <c r="H55" s="297"/>
      <c r="I55" s="297"/>
      <c r="J55" s="297"/>
      <c r="K55" s="297"/>
      <c r="L55" s="298"/>
      <c r="M55" s="302"/>
      <c r="N55" s="297"/>
      <c r="O55" s="297"/>
      <c r="P55" s="297"/>
      <c r="Q55" s="297"/>
      <c r="R55" s="297"/>
      <c r="S55" s="297"/>
      <c r="T55" s="297"/>
      <c r="U55" s="297"/>
      <c r="V55" s="297"/>
      <c r="W55" s="298"/>
      <c r="X55" s="302"/>
      <c r="Y55" s="297"/>
      <c r="Z55" s="297"/>
      <c r="AA55" s="297"/>
      <c r="AB55" s="297"/>
      <c r="AC55" s="297"/>
      <c r="AD55" s="297"/>
      <c r="AE55" s="297"/>
      <c r="AF55" s="297"/>
      <c r="AG55" s="297"/>
      <c r="AH55" s="298"/>
      <c r="AI55" s="302"/>
      <c r="AJ55" s="297"/>
      <c r="AK55" s="297"/>
      <c r="AL55" s="297"/>
      <c r="AM55" s="297"/>
      <c r="AN55" s="297"/>
      <c r="AO55" s="297"/>
      <c r="AP55" s="297"/>
      <c r="AQ55" s="297"/>
      <c r="AR55" s="297"/>
      <c r="AS55" s="297"/>
      <c r="AT55" s="298"/>
      <c r="AU55" s="302"/>
      <c r="AV55" s="297"/>
      <c r="AW55" s="297"/>
      <c r="AX55" s="297"/>
      <c r="AY55" s="297"/>
      <c r="AZ55" s="297"/>
      <c r="BA55" s="297"/>
      <c r="BB55" s="297"/>
      <c r="BC55" s="297"/>
      <c r="BD55" s="297"/>
      <c r="BE55" s="297"/>
      <c r="BF55" s="308"/>
    </row>
    <row r="56" spans="2:58" ht="13" customHeight="1" x14ac:dyDescent="0.4">
      <c r="B56" s="296"/>
      <c r="C56" s="297"/>
      <c r="D56" s="297"/>
      <c r="E56" s="297"/>
      <c r="F56" s="297"/>
      <c r="G56" s="297"/>
      <c r="H56" s="297"/>
      <c r="I56" s="297"/>
      <c r="J56" s="297"/>
      <c r="K56" s="297"/>
      <c r="L56" s="298"/>
      <c r="M56" s="302"/>
      <c r="N56" s="297"/>
      <c r="O56" s="297"/>
      <c r="P56" s="297"/>
      <c r="Q56" s="297"/>
      <c r="R56" s="297"/>
      <c r="S56" s="297"/>
      <c r="T56" s="297"/>
      <c r="U56" s="297"/>
      <c r="V56" s="297"/>
      <c r="W56" s="298"/>
      <c r="X56" s="302"/>
      <c r="Y56" s="297"/>
      <c r="Z56" s="297"/>
      <c r="AA56" s="297"/>
      <c r="AB56" s="297"/>
      <c r="AC56" s="297"/>
      <c r="AD56" s="297"/>
      <c r="AE56" s="297"/>
      <c r="AF56" s="297"/>
      <c r="AG56" s="297"/>
      <c r="AH56" s="298"/>
      <c r="AI56" s="302"/>
      <c r="AJ56" s="297"/>
      <c r="AK56" s="297"/>
      <c r="AL56" s="297"/>
      <c r="AM56" s="297"/>
      <c r="AN56" s="297"/>
      <c r="AO56" s="297"/>
      <c r="AP56" s="297"/>
      <c r="AQ56" s="297"/>
      <c r="AR56" s="297"/>
      <c r="AS56" s="297"/>
      <c r="AT56" s="298"/>
      <c r="AU56" s="302"/>
      <c r="AV56" s="297"/>
      <c r="AW56" s="297"/>
      <c r="AX56" s="297"/>
      <c r="AY56" s="297"/>
      <c r="AZ56" s="297"/>
      <c r="BA56" s="297"/>
      <c r="BB56" s="297"/>
      <c r="BC56" s="297"/>
      <c r="BD56" s="297"/>
      <c r="BE56" s="297"/>
      <c r="BF56" s="308"/>
    </row>
    <row r="57" spans="2:58" ht="13" customHeight="1" x14ac:dyDescent="0.4">
      <c r="B57" s="296"/>
      <c r="C57" s="297"/>
      <c r="D57" s="297"/>
      <c r="E57" s="297"/>
      <c r="F57" s="297"/>
      <c r="G57" s="297"/>
      <c r="H57" s="297"/>
      <c r="I57" s="297"/>
      <c r="J57" s="297"/>
      <c r="K57" s="297"/>
      <c r="L57" s="298"/>
      <c r="M57" s="302"/>
      <c r="N57" s="297"/>
      <c r="O57" s="297"/>
      <c r="P57" s="297"/>
      <c r="Q57" s="297"/>
      <c r="R57" s="297"/>
      <c r="S57" s="297"/>
      <c r="T57" s="297"/>
      <c r="U57" s="297"/>
      <c r="V57" s="297"/>
      <c r="W57" s="298"/>
      <c r="X57" s="302"/>
      <c r="Y57" s="297"/>
      <c r="Z57" s="297"/>
      <c r="AA57" s="297"/>
      <c r="AB57" s="297"/>
      <c r="AC57" s="297"/>
      <c r="AD57" s="297"/>
      <c r="AE57" s="297"/>
      <c r="AF57" s="297"/>
      <c r="AG57" s="297"/>
      <c r="AH57" s="298"/>
      <c r="AI57" s="302"/>
      <c r="AJ57" s="297"/>
      <c r="AK57" s="297"/>
      <c r="AL57" s="297"/>
      <c r="AM57" s="297"/>
      <c r="AN57" s="297"/>
      <c r="AO57" s="297"/>
      <c r="AP57" s="297"/>
      <c r="AQ57" s="297"/>
      <c r="AR57" s="297"/>
      <c r="AS57" s="297"/>
      <c r="AT57" s="298"/>
      <c r="AU57" s="302"/>
      <c r="AV57" s="297"/>
      <c r="AW57" s="297"/>
      <c r="AX57" s="297"/>
      <c r="AY57" s="297"/>
      <c r="AZ57" s="297"/>
      <c r="BA57" s="297"/>
      <c r="BB57" s="297"/>
      <c r="BC57" s="297"/>
      <c r="BD57" s="297"/>
      <c r="BE57" s="297"/>
      <c r="BF57" s="308"/>
    </row>
    <row r="58" spans="2:58" ht="13" customHeight="1" x14ac:dyDescent="0.4">
      <c r="B58" s="296"/>
      <c r="C58" s="297"/>
      <c r="D58" s="297"/>
      <c r="E58" s="297"/>
      <c r="F58" s="297"/>
      <c r="G58" s="297"/>
      <c r="H58" s="297"/>
      <c r="I58" s="297"/>
      <c r="J58" s="297"/>
      <c r="K58" s="297"/>
      <c r="L58" s="298"/>
      <c r="M58" s="302"/>
      <c r="N58" s="297"/>
      <c r="O58" s="297"/>
      <c r="P58" s="297"/>
      <c r="Q58" s="297"/>
      <c r="R58" s="297"/>
      <c r="S58" s="297"/>
      <c r="T58" s="297"/>
      <c r="U58" s="297"/>
      <c r="V58" s="297"/>
      <c r="W58" s="298"/>
      <c r="X58" s="302"/>
      <c r="Y58" s="297"/>
      <c r="Z58" s="297"/>
      <c r="AA58" s="297"/>
      <c r="AB58" s="297"/>
      <c r="AC58" s="297"/>
      <c r="AD58" s="297"/>
      <c r="AE58" s="297"/>
      <c r="AF58" s="297"/>
      <c r="AG58" s="297"/>
      <c r="AH58" s="298"/>
      <c r="AI58" s="302"/>
      <c r="AJ58" s="297"/>
      <c r="AK58" s="297"/>
      <c r="AL58" s="297"/>
      <c r="AM58" s="297"/>
      <c r="AN58" s="297"/>
      <c r="AO58" s="297"/>
      <c r="AP58" s="297"/>
      <c r="AQ58" s="297"/>
      <c r="AR58" s="297"/>
      <c r="AS58" s="297"/>
      <c r="AT58" s="298"/>
      <c r="AU58" s="302"/>
      <c r="AV58" s="297"/>
      <c r="AW58" s="297"/>
      <c r="AX58" s="297"/>
      <c r="AY58" s="297"/>
      <c r="AZ58" s="297"/>
      <c r="BA58" s="297"/>
      <c r="BB58" s="297"/>
      <c r="BC58" s="297"/>
      <c r="BD58" s="297"/>
      <c r="BE58" s="297"/>
      <c r="BF58" s="308"/>
    </row>
    <row r="59" spans="2:58" ht="13" customHeight="1" x14ac:dyDescent="0.4">
      <c r="B59" s="321"/>
      <c r="C59" s="322"/>
      <c r="D59" s="322"/>
      <c r="E59" s="322"/>
      <c r="F59" s="322"/>
      <c r="G59" s="322"/>
      <c r="H59" s="322"/>
      <c r="I59" s="322"/>
      <c r="J59" s="322"/>
      <c r="K59" s="322"/>
      <c r="L59" s="323"/>
      <c r="M59" s="324"/>
      <c r="N59" s="322"/>
      <c r="O59" s="322"/>
      <c r="P59" s="322"/>
      <c r="Q59" s="322"/>
      <c r="R59" s="322"/>
      <c r="S59" s="322"/>
      <c r="T59" s="322"/>
      <c r="U59" s="322"/>
      <c r="V59" s="322"/>
      <c r="W59" s="323"/>
      <c r="X59" s="324"/>
      <c r="Y59" s="322"/>
      <c r="Z59" s="322"/>
      <c r="AA59" s="322"/>
      <c r="AB59" s="322"/>
      <c r="AC59" s="322"/>
      <c r="AD59" s="322"/>
      <c r="AE59" s="322"/>
      <c r="AF59" s="322"/>
      <c r="AG59" s="322"/>
      <c r="AH59" s="323"/>
      <c r="AI59" s="324"/>
      <c r="AJ59" s="322"/>
      <c r="AK59" s="322"/>
      <c r="AL59" s="322"/>
      <c r="AM59" s="322"/>
      <c r="AN59" s="322"/>
      <c r="AO59" s="322"/>
      <c r="AP59" s="322"/>
      <c r="AQ59" s="322"/>
      <c r="AR59" s="322"/>
      <c r="AS59" s="322"/>
      <c r="AT59" s="323"/>
      <c r="AU59" s="324"/>
      <c r="AV59" s="322"/>
      <c r="AW59" s="322"/>
      <c r="AX59" s="322"/>
      <c r="AY59" s="322"/>
      <c r="AZ59" s="322"/>
      <c r="BA59" s="322"/>
      <c r="BB59" s="322"/>
      <c r="BC59" s="322"/>
      <c r="BD59" s="322"/>
      <c r="BE59" s="322"/>
      <c r="BF59" s="325"/>
    </row>
    <row r="60" spans="2:58" ht="13" customHeight="1" x14ac:dyDescent="0.4">
      <c r="B60" s="280" t="s">
        <v>49</v>
      </c>
      <c r="C60" s="281"/>
      <c r="D60" s="85" t="s">
        <v>274</v>
      </c>
      <c r="E60" s="282" t="s">
        <v>20</v>
      </c>
      <c r="F60" s="285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286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87"/>
      <c r="BD60" s="287"/>
      <c r="BE60" s="287"/>
      <c r="BF60" s="288"/>
    </row>
    <row r="61" spans="2:58" ht="13" customHeight="1" x14ac:dyDescent="0.4">
      <c r="B61" s="255" t="s">
        <v>275</v>
      </c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3"/>
      <c r="AF61" s="283"/>
      <c r="AG61" s="283"/>
      <c r="AH61" s="283"/>
      <c r="AI61" s="283"/>
      <c r="AJ61" s="283"/>
      <c r="AK61" s="283"/>
      <c r="AL61" s="283"/>
      <c r="AM61" s="283"/>
      <c r="AN61" s="283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  <c r="BD61" s="211"/>
      <c r="BE61" s="211"/>
      <c r="BF61" s="289"/>
    </row>
    <row r="62" spans="2:58" ht="13" customHeight="1" thickBot="1" x14ac:dyDescent="0.45">
      <c r="B62" s="292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  <c r="AK62" s="284"/>
      <c r="AL62" s="284"/>
      <c r="AM62" s="284"/>
      <c r="AN62" s="284"/>
      <c r="AO62" s="290"/>
      <c r="AP62" s="290"/>
      <c r="AQ62" s="290"/>
      <c r="AR62" s="290"/>
      <c r="AS62" s="290"/>
      <c r="AT62" s="290"/>
      <c r="AU62" s="290"/>
      <c r="AV62" s="290"/>
      <c r="AW62" s="290"/>
      <c r="AX62" s="290"/>
      <c r="AY62" s="290"/>
      <c r="AZ62" s="290"/>
      <c r="BA62" s="290"/>
      <c r="BB62" s="290"/>
      <c r="BC62" s="290"/>
      <c r="BD62" s="290"/>
      <c r="BE62" s="290"/>
      <c r="BF62" s="291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2269-FA86-40F0-A08D-26CC67AB685A}">
  <dimension ref="B1:AJ479"/>
  <sheetViews>
    <sheetView zoomScaleNormal="100" workbookViewId="0">
      <selection activeCell="F11" sqref="F11"/>
    </sheetView>
  </sheetViews>
  <sheetFormatPr defaultRowHeight="11.4" x14ac:dyDescent="0.4"/>
  <cols>
    <col min="1" max="1" width="1.62890625" style="91" customWidth="1"/>
    <col min="2" max="2" width="3.62890625" style="91" customWidth="1"/>
    <col min="3" max="3" width="2.62890625" style="91" customWidth="1"/>
    <col min="4" max="5" width="5.62890625" style="91" customWidth="1"/>
    <col min="6" max="11" width="6.1015625" style="91" customWidth="1"/>
    <col min="12" max="12" width="6.47265625" style="91" customWidth="1"/>
    <col min="13" max="13" width="4.89453125" style="91" customWidth="1"/>
    <col min="14" max="18" width="6.1015625" style="91" customWidth="1"/>
    <col min="19" max="20" width="7.62890625" style="91" customWidth="1"/>
    <col min="21" max="21" width="5.62890625" style="91" customWidth="1"/>
    <col min="22" max="23" width="6.26171875" style="91" customWidth="1"/>
    <col min="24" max="25" width="5.62890625" style="91" customWidth="1"/>
    <col min="26" max="29" width="6.1015625" style="91" customWidth="1"/>
    <col min="30" max="30" width="5.62890625" style="91" customWidth="1"/>
    <col min="31" max="33" width="6.1015625" style="91" customWidth="1"/>
    <col min="34" max="34" width="5.62890625" style="91" customWidth="1"/>
    <col min="35" max="35" width="6.1015625" style="91" customWidth="1"/>
    <col min="36" max="36" width="6.62890625" style="91" customWidth="1"/>
    <col min="37" max="37" width="6.3671875" style="91" customWidth="1"/>
    <col min="38" max="270" width="8.89453125" style="91"/>
    <col min="271" max="271" width="2.1015625" style="91" customWidth="1"/>
    <col min="272" max="272" width="5.89453125" style="91" customWidth="1"/>
    <col min="273" max="273" width="6.89453125" style="91" customWidth="1"/>
    <col min="274" max="274" width="6.1015625" style="91" customWidth="1"/>
    <col min="275" max="275" width="6.89453125" style="91" customWidth="1"/>
    <col min="276" max="276" width="10.89453125" style="91" customWidth="1"/>
    <col min="277" max="277" width="11.62890625" style="91" customWidth="1"/>
    <col min="278" max="278" width="5.62890625" style="91" customWidth="1"/>
    <col min="279" max="279" width="6" style="91" customWidth="1"/>
    <col min="280" max="280" width="6.62890625" style="91" customWidth="1"/>
    <col min="281" max="281" width="11.1015625" style="91" customWidth="1"/>
    <col min="282" max="282" width="7.1015625" style="91" customWidth="1"/>
    <col min="283" max="284" width="5.89453125" style="91" customWidth="1"/>
    <col min="285" max="285" width="6" style="91" customWidth="1"/>
    <col min="286" max="286" width="6.89453125" style="91" customWidth="1"/>
    <col min="287" max="287" width="6" style="91" customWidth="1"/>
    <col min="288" max="288" width="18.1015625" style="91" customWidth="1"/>
    <col min="289" max="526" width="8.89453125" style="91"/>
    <col min="527" max="527" width="2.1015625" style="91" customWidth="1"/>
    <col min="528" max="528" width="5.89453125" style="91" customWidth="1"/>
    <col min="529" max="529" width="6.89453125" style="91" customWidth="1"/>
    <col min="530" max="530" width="6.1015625" style="91" customWidth="1"/>
    <col min="531" max="531" width="6.89453125" style="91" customWidth="1"/>
    <col min="532" max="532" width="10.89453125" style="91" customWidth="1"/>
    <col min="533" max="533" width="11.62890625" style="91" customWidth="1"/>
    <col min="534" max="534" width="5.62890625" style="91" customWidth="1"/>
    <col min="535" max="535" width="6" style="91" customWidth="1"/>
    <col min="536" max="536" width="6.62890625" style="91" customWidth="1"/>
    <col min="537" max="537" width="11.1015625" style="91" customWidth="1"/>
    <col min="538" max="538" width="7.1015625" style="91" customWidth="1"/>
    <col min="539" max="540" width="5.89453125" style="91" customWidth="1"/>
    <col min="541" max="541" width="6" style="91" customWidth="1"/>
    <col min="542" max="542" width="6.89453125" style="91" customWidth="1"/>
    <col min="543" max="543" width="6" style="91" customWidth="1"/>
    <col min="544" max="544" width="18.1015625" style="91" customWidth="1"/>
    <col min="545" max="782" width="8.89453125" style="91"/>
    <col min="783" max="783" width="2.1015625" style="91" customWidth="1"/>
    <col min="784" max="784" width="5.89453125" style="91" customWidth="1"/>
    <col min="785" max="785" width="6.89453125" style="91" customWidth="1"/>
    <col min="786" max="786" width="6.1015625" style="91" customWidth="1"/>
    <col min="787" max="787" width="6.89453125" style="91" customWidth="1"/>
    <col min="788" max="788" width="10.89453125" style="91" customWidth="1"/>
    <col min="789" max="789" width="11.62890625" style="91" customWidth="1"/>
    <col min="790" max="790" width="5.62890625" style="91" customWidth="1"/>
    <col min="791" max="791" width="6" style="91" customWidth="1"/>
    <col min="792" max="792" width="6.62890625" style="91" customWidth="1"/>
    <col min="793" max="793" width="11.1015625" style="91" customWidth="1"/>
    <col min="794" max="794" width="7.1015625" style="91" customWidth="1"/>
    <col min="795" max="796" width="5.89453125" style="91" customWidth="1"/>
    <col min="797" max="797" width="6" style="91" customWidth="1"/>
    <col min="798" max="798" width="6.89453125" style="91" customWidth="1"/>
    <col min="799" max="799" width="6" style="91" customWidth="1"/>
    <col min="800" max="800" width="18.1015625" style="91" customWidth="1"/>
    <col min="801" max="1038" width="8.89453125" style="91"/>
    <col min="1039" max="1039" width="2.1015625" style="91" customWidth="1"/>
    <col min="1040" max="1040" width="5.89453125" style="91" customWidth="1"/>
    <col min="1041" max="1041" width="6.89453125" style="91" customWidth="1"/>
    <col min="1042" max="1042" width="6.1015625" style="91" customWidth="1"/>
    <col min="1043" max="1043" width="6.89453125" style="91" customWidth="1"/>
    <col min="1044" max="1044" width="10.89453125" style="91" customWidth="1"/>
    <col min="1045" max="1045" width="11.62890625" style="91" customWidth="1"/>
    <col min="1046" max="1046" width="5.62890625" style="91" customWidth="1"/>
    <col min="1047" max="1047" width="6" style="91" customWidth="1"/>
    <col min="1048" max="1048" width="6.62890625" style="91" customWidth="1"/>
    <col min="1049" max="1049" width="11.1015625" style="91" customWidth="1"/>
    <col min="1050" max="1050" width="7.1015625" style="91" customWidth="1"/>
    <col min="1051" max="1052" width="5.89453125" style="91" customWidth="1"/>
    <col min="1053" max="1053" width="6" style="91" customWidth="1"/>
    <col min="1054" max="1054" width="6.89453125" style="91" customWidth="1"/>
    <col min="1055" max="1055" width="6" style="91" customWidth="1"/>
    <col min="1056" max="1056" width="18.1015625" style="91" customWidth="1"/>
    <col min="1057" max="1294" width="8.89453125" style="91"/>
    <col min="1295" max="1295" width="2.1015625" style="91" customWidth="1"/>
    <col min="1296" max="1296" width="5.89453125" style="91" customWidth="1"/>
    <col min="1297" max="1297" width="6.89453125" style="91" customWidth="1"/>
    <col min="1298" max="1298" width="6.1015625" style="91" customWidth="1"/>
    <col min="1299" max="1299" width="6.89453125" style="91" customWidth="1"/>
    <col min="1300" max="1300" width="10.89453125" style="91" customWidth="1"/>
    <col min="1301" max="1301" width="11.62890625" style="91" customWidth="1"/>
    <col min="1302" max="1302" width="5.62890625" style="91" customWidth="1"/>
    <col min="1303" max="1303" width="6" style="91" customWidth="1"/>
    <col min="1304" max="1304" width="6.62890625" style="91" customWidth="1"/>
    <col min="1305" max="1305" width="11.1015625" style="91" customWidth="1"/>
    <col min="1306" max="1306" width="7.1015625" style="91" customWidth="1"/>
    <col min="1307" max="1308" width="5.89453125" style="91" customWidth="1"/>
    <col min="1309" max="1309" width="6" style="91" customWidth="1"/>
    <col min="1310" max="1310" width="6.89453125" style="91" customWidth="1"/>
    <col min="1311" max="1311" width="6" style="91" customWidth="1"/>
    <col min="1312" max="1312" width="18.1015625" style="91" customWidth="1"/>
    <col min="1313" max="1550" width="8.89453125" style="91"/>
    <col min="1551" max="1551" width="2.1015625" style="91" customWidth="1"/>
    <col min="1552" max="1552" width="5.89453125" style="91" customWidth="1"/>
    <col min="1553" max="1553" width="6.89453125" style="91" customWidth="1"/>
    <col min="1554" max="1554" width="6.1015625" style="91" customWidth="1"/>
    <col min="1555" max="1555" width="6.89453125" style="91" customWidth="1"/>
    <col min="1556" max="1556" width="10.89453125" style="91" customWidth="1"/>
    <col min="1557" max="1557" width="11.62890625" style="91" customWidth="1"/>
    <col min="1558" max="1558" width="5.62890625" style="91" customWidth="1"/>
    <col min="1559" max="1559" width="6" style="91" customWidth="1"/>
    <col min="1560" max="1560" width="6.62890625" style="91" customWidth="1"/>
    <col min="1561" max="1561" width="11.1015625" style="91" customWidth="1"/>
    <col min="1562" max="1562" width="7.1015625" style="91" customWidth="1"/>
    <col min="1563" max="1564" width="5.89453125" style="91" customWidth="1"/>
    <col min="1565" max="1565" width="6" style="91" customWidth="1"/>
    <col min="1566" max="1566" width="6.89453125" style="91" customWidth="1"/>
    <col min="1567" max="1567" width="6" style="91" customWidth="1"/>
    <col min="1568" max="1568" width="18.1015625" style="91" customWidth="1"/>
    <col min="1569" max="1806" width="8.89453125" style="91"/>
    <col min="1807" max="1807" width="2.1015625" style="91" customWidth="1"/>
    <col min="1808" max="1808" width="5.89453125" style="91" customWidth="1"/>
    <col min="1809" max="1809" width="6.89453125" style="91" customWidth="1"/>
    <col min="1810" max="1810" width="6.1015625" style="91" customWidth="1"/>
    <col min="1811" max="1811" width="6.89453125" style="91" customWidth="1"/>
    <col min="1812" max="1812" width="10.89453125" style="91" customWidth="1"/>
    <col min="1813" max="1813" width="11.62890625" style="91" customWidth="1"/>
    <col min="1814" max="1814" width="5.62890625" style="91" customWidth="1"/>
    <col min="1815" max="1815" width="6" style="91" customWidth="1"/>
    <col min="1816" max="1816" width="6.62890625" style="91" customWidth="1"/>
    <col min="1817" max="1817" width="11.1015625" style="91" customWidth="1"/>
    <col min="1818" max="1818" width="7.1015625" style="91" customWidth="1"/>
    <col min="1819" max="1820" width="5.89453125" style="91" customWidth="1"/>
    <col min="1821" max="1821" width="6" style="91" customWidth="1"/>
    <col min="1822" max="1822" width="6.89453125" style="91" customWidth="1"/>
    <col min="1823" max="1823" width="6" style="91" customWidth="1"/>
    <col min="1824" max="1824" width="18.1015625" style="91" customWidth="1"/>
    <col min="1825" max="2062" width="8.89453125" style="91"/>
    <col min="2063" max="2063" width="2.1015625" style="91" customWidth="1"/>
    <col min="2064" max="2064" width="5.89453125" style="91" customWidth="1"/>
    <col min="2065" max="2065" width="6.89453125" style="91" customWidth="1"/>
    <col min="2066" max="2066" width="6.1015625" style="91" customWidth="1"/>
    <col min="2067" max="2067" width="6.89453125" style="91" customWidth="1"/>
    <col min="2068" max="2068" width="10.89453125" style="91" customWidth="1"/>
    <col min="2069" max="2069" width="11.62890625" style="91" customWidth="1"/>
    <col min="2070" max="2070" width="5.62890625" style="91" customWidth="1"/>
    <col min="2071" max="2071" width="6" style="91" customWidth="1"/>
    <col min="2072" max="2072" width="6.62890625" style="91" customWidth="1"/>
    <col min="2073" max="2073" width="11.1015625" style="91" customWidth="1"/>
    <col min="2074" max="2074" width="7.1015625" style="91" customWidth="1"/>
    <col min="2075" max="2076" width="5.89453125" style="91" customWidth="1"/>
    <col min="2077" max="2077" width="6" style="91" customWidth="1"/>
    <col min="2078" max="2078" width="6.89453125" style="91" customWidth="1"/>
    <col min="2079" max="2079" width="6" style="91" customWidth="1"/>
    <col min="2080" max="2080" width="18.1015625" style="91" customWidth="1"/>
    <col min="2081" max="2318" width="8.89453125" style="91"/>
    <col min="2319" max="2319" width="2.1015625" style="91" customWidth="1"/>
    <col min="2320" max="2320" width="5.89453125" style="91" customWidth="1"/>
    <col min="2321" max="2321" width="6.89453125" style="91" customWidth="1"/>
    <col min="2322" max="2322" width="6.1015625" style="91" customWidth="1"/>
    <col min="2323" max="2323" width="6.89453125" style="91" customWidth="1"/>
    <col min="2324" max="2324" width="10.89453125" style="91" customWidth="1"/>
    <col min="2325" max="2325" width="11.62890625" style="91" customWidth="1"/>
    <col min="2326" max="2326" width="5.62890625" style="91" customWidth="1"/>
    <col min="2327" max="2327" width="6" style="91" customWidth="1"/>
    <col min="2328" max="2328" width="6.62890625" style="91" customWidth="1"/>
    <col min="2329" max="2329" width="11.1015625" style="91" customWidth="1"/>
    <col min="2330" max="2330" width="7.1015625" style="91" customWidth="1"/>
    <col min="2331" max="2332" width="5.89453125" style="91" customWidth="1"/>
    <col min="2333" max="2333" width="6" style="91" customWidth="1"/>
    <col min="2334" max="2334" width="6.89453125" style="91" customWidth="1"/>
    <col min="2335" max="2335" width="6" style="91" customWidth="1"/>
    <col min="2336" max="2336" width="18.1015625" style="91" customWidth="1"/>
    <col min="2337" max="2574" width="8.89453125" style="91"/>
    <col min="2575" max="2575" width="2.1015625" style="91" customWidth="1"/>
    <col min="2576" max="2576" width="5.89453125" style="91" customWidth="1"/>
    <col min="2577" max="2577" width="6.89453125" style="91" customWidth="1"/>
    <col min="2578" max="2578" width="6.1015625" style="91" customWidth="1"/>
    <col min="2579" max="2579" width="6.89453125" style="91" customWidth="1"/>
    <col min="2580" max="2580" width="10.89453125" style="91" customWidth="1"/>
    <col min="2581" max="2581" width="11.62890625" style="91" customWidth="1"/>
    <col min="2582" max="2582" width="5.62890625" style="91" customWidth="1"/>
    <col min="2583" max="2583" width="6" style="91" customWidth="1"/>
    <col min="2584" max="2584" width="6.62890625" style="91" customWidth="1"/>
    <col min="2585" max="2585" width="11.1015625" style="91" customWidth="1"/>
    <col min="2586" max="2586" width="7.1015625" style="91" customWidth="1"/>
    <col min="2587" max="2588" width="5.89453125" style="91" customWidth="1"/>
    <col min="2589" max="2589" width="6" style="91" customWidth="1"/>
    <col min="2590" max="2590" width="6.89453125" style="91" customWidth="1"/>
    <col min="2591" max="2591" width="6" style="91" customWidth="1"/>
    <col min="2592" max="2592" width="18.1015625" style="91" customWidth="1"/>
    <col min="2593" max="2830" width="8.89453125" style="91"/>
    <col min="2831" max="2831" width="2.1015625" style="91" customWidth="1"/>
    <col min="2832" max="2832" width="5.89453125" style="91" customWidth="1"/>
    <col min="2833" max="2833" width="6.89453125" style="91" customWidth="1"/>
    <col min="2834" max="2834" width="6.1015625" style="91" customWidth="1"/>
    <col min="2835" max="2835" width="6.89453125" style="91" customWidth="1"/>
    <col min="2836" max="2836" width="10.89453125" style="91" customWidth="1"/>
    <col min="2837" max="2837" width="11.62890625" style="91" customWidth="1"/>
    <col min="2838" max="2838" width="5.62890625" style="91" customWidth="1"/>
    <col min="2839" max="2839" width="6" style="91" customWidth="1"/>
    <col min="2840" max="2840" width="6.62890625" style="91" customWidth="1"/>
    <col min="2841" max="2841" width="11.1015625" style="91" customWidth="1"/>
    <col min="2842" max="2842" width="7.1015625" style="91" customWidth="1"/>
    <col min="2843" max="2844" width="5.89453125" style="91" customWidth="1"/>
    <col min="2845" max="2845" width="6" style="91" customWidth="1"/>
    <col min="2846" max="2846" width="6.89453125" style="91" customWidth="1"/>
    <col min="2847" max="2847" width="6" style="91" customWidth="1"/>
    <col min="2848" max="2848" width="18.1015625" style="91" customWidth="1"/>
    <col min="2849" max="3086" width="8.89453125" style="91"/>
    <col min="3087" max="3087" width="2.1015625" style="91" customWidth="1"/>
    <col min="3088" max="3088" width="5.89453125" style="91" customWidth="1"/>
    <col min="3089" max="3089" width="6.89453125" style="91" customWidth="1"/>
    <col min="3090" max="3090" width="6.1015625" style="91" customWidth="1"/>
    <col min="3091" max="3091" width="6.89453125" style="91" customWidth="1"/>
    <col min="3092" max="3092" width="10.89453125" style="91" customWidth="1"/>
    <col min="3093" max="3093" width="11.62890625" style="91" customWidth="1"/>
    <col min="3094" max="3094" width="5.62890625" style="91" customWidth="1"/>
    <col min="3095" max="3095" width="6" style="91" customWidth="1"/>
    <col min="3096" max="3096" width="6.62890625" style="91" customWidth="1"/>
    <col min="3097" max="3097" width="11.1015625" style="91" customWidth="1"/>
    <col min="3098" max="3098" width="7.1015625" style="91" customWidth="1"/>
    <col min="3099" max="3100" width="5.89453125" style="91" customWidth="1"/>
    <col min="3101" max="3101" width="6" style="91" customWidth="1"/>
    <col min="3102" max="3102" width="6.89453125" style="91" customWidth="1"/>
    <col min="3103" max="3103" width="6" style="91" customWidth="1"/>
    <col min="3104" max="3104" width="18.1015625" style="91" customWidth="1"/>
    <col min="3105" max="3342" width="8.89453125" style="91"/>
    <col min="3343" max="3343" width="2.1015625" style="91" customWidth="1"/>
    <col min="3344" max="3344" width="5.89453125" style="91" customWidth="1"/>
    <col min="3345" max="3345" width="6.89453125" style="91" customWidth="1"/>
    <col min="3346" max="3346" width="6.1015625" style="91" customWidth="1"/>
    <col min="3347" max="3347" width="6.89453125" style="91" customWidth="1"/>
    <col min="3348" max="3348" width="10.89453125" style="91" customWidth="1"/>
    <col min="3349" max="3349" width="11.62890625" style="91" customWidth="1"/>
    <col min="3350" max="3350" width="5.62890625" style="91" customWidth="1"/>
    <col min="3351" max="3351" width="6" style="91" customWidth="1"/>
    <col min="3352" max="3352" width="6.62890625" style="91" customWidth="1"/>
    <col min="3353" max="3353" width="11.1015625" style="91" customWidth="1"/>
    <col min="3354" max="3354" width="7.1015625" style="91" customWidth="1"/>
    <col min="3355" max="3356" width="5.89453125" style="91" customWidth="1"/>
    <col min="3357" max="3357" width="6" style="91" customWidth="1"/>
    <col min="3358" max="3358" width="6.89453125" style="91" customWidth="1"/>
    <col min="3359" max="3359" width="6" style="91" customWidth="1"/>
    <col min="3360" max="3360" width="18.1015625" style="91" customWidth="1"/>
    <col min="3361" max="3598" width="8.89453125" style="91"/>
    <col min="3599" max="3599" width="2.1015625" style="91" customWidth="1"/>
    <col min="3600" max="3600" width="5.89453125" style="91" customWidth="1"/>
    <col min="3601" max="3601" width="6.89453125" style="91" customWidth="1"/>
    <col min="3602" max="3602" width="6.1015625" style="91" customWidth="1"/>
    <col min="3603" max="3603" width="6.89453125" style="91" customWidth="1"/>
    <col min="3604" max="3604" width="10.89453125" style="91" customWidth="1"/>
    <col min="3605" max="3605" width="11.62890625" style="91" customWidth="1"/>
    <col min="3606" max="3606" width="5.62890625" style="91" customWidth="1"/>
    <col min="3607" max="3607" width="6" style="91" customWidth="1"/>
    <col min="3608" max="3608" width="6.62890625" style="91" customWidth="1"/>
    <col min="3609" max="3609" width="11.1015625" style="91" customWidth="1"/>
    <col min="3610" max="3610" width="7.1015625" style="91" customWidth="1"/>
    <col min="3611" max="3612" width="5.89453125" style="91" customWidth="1"/>
    <col min="3613" max="3613" width="6" style="91" customWidth="1"/>
    <col min="3614" max="3614" width="6.89453125" style="91" customWidth="1"/>
    <col min="3615" max="3615" width="6" style="91" customWidth="1"/>
    <col min="3616" max="3616" width="18.1015625" style="91" customWidth="1"/>
    <col min="3617" max="3854" width="8.89453125" style="91"/>
    <col min="3855" max="3855" width="2.1015625" style="91" customWidth="1"/>
    <col min="3856" max="3856" width="5.89453125" style="91" customWidth="1"/>
    <col min="3857" max="3857" width="6.89453125" style="91" customWidth="1"/>
    <col min="3858" max="3858" width="6.1015625" style="91" customWidth="1"/>
    <col min="3859" max="3859" width="6.89453125" style="91" customWidth="1"/>
    <col min="3860" max="3860" width="10.89453125" style="91" customWidth="1"/>
    <col min="3861" max="3861" width="11.62890625" style="91" customWidth="1"/>
    <col min="3862" max="3862" width="5.62890625" style="91" customWidth="1"/>
    <col min="3863" max="3863" width="6" style="91" customWidth="1"/>
    <col min="3864" max="3864" width="6.62890625" style="91" customWidth="1"/>
    <col min="3865" max="3865" width="11.1015625" style="91" customWidth="1"/>
    <col min="3866" max="3866" width="7.1015625" style="91" customWidth="1"/>
    <col min="3867" max="3868" width="5.89453125" style="91" customWidth="1"/>
    <col min="3869" max="3869" width="6" style="91" customWidth="1"/>
    <col min="3870" max="3870" width="6.89453125" style="91" customWidth="1"/>
    <col min="3871" max="3871" width="6" style="91" customWidth="1"/>
    <col min="3872" max="3872" width="18.1015625" style="91" customWidth="1"/>
    <col min="3873" max="4110" width="8.89453125" style="91"/>
    <col min="4111" max="4111" width="2.1015625" style="91" customWidth="1"/>
    <col min="4112" max="4112" width="5.89453125" style="91" customWidth="1"/>
    <col min="4113" max="4113" width="6.89453125" style="91" customWidth="1"/>
    <col min="4114" max="4114" width="6.1015625" style="91" customWidth="1"/>
    <col min="4115" max="4115" width="6.89453125" style="91" customWidth="1"/>
    <col min="4116" max="4116" width="10.89453125" style="91" customWidth="1"/>
    <col min="4117" max="4117" width="11.62890625" style="91" customWidth="1"/>
    <col min="4118" max="4118" width="5.62890625" style="91" customWidth="1"/>
    <col min="4119" max="4119" width="6" style="91" customWidth="1"/>
    <col min="4120" max="4120" width="6.62890625" style="91" customWidth="1"/>
    <col min="4121" max="4121" width="11.1015625" style="91" customWidth="1"/>
    <col min="4122" max="4122" width="7.1015625" style="91" customWidth="1"/>
    <col min="4123" max="4124" width="5.89453125" style="91" customWidth="1"/>
    <col min="4125" max="4125" width="6" style="91" customWidth="1"/>
    <col min="4126" max="4126" width="6.89453125" style="91" customWidth="1"/>
    <col min="4127" max="4127" width="6" style="91" customWidth="1"/>
    <col min="4128" max="4128" width="18.1015625" style="91" customWidth="1"/>
    <col min="4129" max="4366" width="8.89453125" style="91"/>
    <col min="4367" max="4367" width="2.1015625" style="91" customWidth="1"/>
    <col min="4368" max="4368" width="5.89453125" style="91" customWidth="1"/>
    <col min="4369" max="4369" width="6.89453125" style="91" customWidth="1"/>
    <col min="4370" max="4370" width="6.1015625" style="91" customWidth="1"/>
    <col min="4371" max="4371" width="6.89453125" style="91" customWidth="1"/>
    <col min="4372" max="4372" width="10.89453125" style="91" customWidth="1"/>
    <col min="4373" max="4373" width="11.62890625" style="91" customWidth="1"/>
    <col min="4374" max="4374" width="5.62890625" style="91" customWidth="1"/>
    <col min="4375" max="4375" width="6" style="91" customWidth="1"/>
    <col min="4376" max="4376" width="6.62890625" style="91" customWidth="1"/>
    <col min="4377" max="4377" width="11.1015625" style="91" customWidth="1"/>
    <col min="4378" max="4378" width="7.1015625" style="91" customWidth="1"/>
    <col min="4379" max="4380" width="5.89453125" style="91" customWidth="1"/>
    <col min="4381" max="4381" width="6" style="91" customWidth="1"/>
    <col min="4382" max="4382" width="6.89453125" style="91" customWidth="1"/>
    <col min="4383" max="4383" width="6" style="91" customWidth="1"/>
    <col min="4384" max="4384" width="18.1015625" style="91" customWidth="1"/>
    <col min="4385" max="4622" width="8.89453125" style="91"/>
    <col min="4623" max="4623" width="2.1015625" style="91" customWidth="1"/>
    <col min="4624" max="4624" width="5.89453125" style="91" customWidth="1"/>
    <col min="4625" max="4625" width="6.89453125" style="91" customWidth="1"/>
    <col min="4626" max="4626" width="6.1015625" style="91" customWidth="1"/>
    <col min="4627" max="4627" width="6.89453125" style="91" customWidth="1"/>
    <col min="4628" max="4628" width="10.89453125" style="91" customWidth="1"/>
    <col min="4629" max="4629" width="11.62890625" style="91" customWidth="1"/>
    <col min="4630" max="4630" width="5.62890625" style="91" customWidth="1"/>
    <col min="4631" max="4631" width="6" style="91" customWidth="1"/>
    <col min="4632" max="4632" width="6.62890625" style="91" customWidth="1"/>
    <col min="4633" max="4633" width="11.1015625" style="91" customWidth="1"/>
    <col min="4634" max="4634" width="7.1015625" style="91" customWidth="1"/>
    <col min="4635" max="4636" width="5.89453125" style="91" customWidth="1"/>
    <col min="4637" max="4637" width="6" style="91" customWidth="1"/>
    <col min="4638" max="4638" width="6.89453125" style="91" customWidth="1"/>
    <col min="4639" max="4639" width="6" style="91" customWidth="1"/>
    <col min="4640" max="4640" width="18.1015625" style="91" customWidth="1"/>
    <col min="4641" max="4878" width="8.89453125" style="91"/>
    <col min="4879" max="4879" width="2.1015625" style="91" customWidth="1"/>
    <col min="4880" max="4880" width="5.89453125" style="91" customWidth="1"/>
    <col min="4881" max="4881" width="6.89453125" style="91" customWidth="1"/>
    <col min="4882" max="4882" width="6.1015625" style="91" customWidth="1"/>
    <col min="4883" max="4883" width="6.89453125" style="91" customWidth="1"/>
    <col min="4884" max="4884" width="10.89453125" style="91" customWidth="1"/>
    <col min="4885" max="4885" width="11.62890625" style="91" customWidth="1"/>
    <col min="4886" max="4886" width="5.62890625" style="91" customWidth="1"/>
    <col min="4887" max="4887" width="6" style="91" customWidth="1"/>
    <col min="4888" max="4888" width="6.62890625" style="91" customWidth="1"/>
    <col min="4889" max="4889" width="11.1015625" style="91" customWidth="1"/>
    <col min="4890" max="4890" width="7.1015625" style="91" customWidth="1"/>
    <col min="4891" max="4892" width="5.89453125" style="91" customWidth="1"/>
    <col min="4893" max="4893" width="6" style="91" customWidth="1"/>
    <col min="4894" max="4894" width="6.89453125" style="91" customWidth="1"/>
    <col min="4895" max="4895" width="6" style="91" customWidth="1"/>
    <col min="4896" max="4896" width="18.1015625" style="91" customWidth="1"/>
    <col min="4897" max="5134" width="8.89453125" style="91"/>
    <col min="5135" max="5135" width="2.1015625" style="91" customWidth="1"/>
    <col min="5136" max="5136" width="5.89453125" style="91" customWidth="1"/>
    <col min="5137" max="5137" width="6.89453125" style="91" customWidth="1"/>
    <col min="5138" max="5138" width="6.1015625" style="91" customWidth="1"/>
    <col min="5139" max="5139" width="6.89453125" style="91" customWidth="1"/>
    <col min="5140" max="5140" width="10.89453125" style="91" customWidth="1"/>
    <col min="5141" max="5141" width="11.62890625" style="91" customWidth="1"/>
    <col min="5142" max="5142" width="5.62890625" style="91" customWidth="1"/>
    <col min="5143" max="5143" width="6" style="91" customWidth="1"/>
    <col min="5144" max="5144" width="6.62890625" style="91" customWidth="1"/>
    <col min="5145" max="5145" width="11.1015625" style="91" customWidth="1"/>
    <col min="5146" max="5146" width="7.1015625" style="91" customWidth="1"/>
    <col min="5147" max="5148" width="5.89453125" style="91" customWidth="1"/>
    <col min="5149" max="5149" width="6" style="91" customWidth="1"/>
    <col min="5150" max="5150" width="6.89453125" style="91" customWidth="1"/>
    <col min="5151" max="5151" width="6" style="91" customWidth="1"/>
    <col min="5152" max="5152" width="18.1015625" style="91" customWidth="1"/>
    <col min="5153" max="5390" width="8.89453125" style="91"/>
    <col min="5391" max="5391" width="2.1015625" style="91" customWidth="1"/>
    <col min="5392" max="5392" width="5.89453125" style="91" customWidth="1"/>
    <col min="5393" max="5393" width="6.89453125" style="91" customWidth="1"/>
    <col min="5394" max="5394" width="6.1015625" style="91" customWidth="1"/>
    <col min="5395" max="5395" width="6.89453125" style="91" customWidth="1"/>
    <col min="5396" max="5396" width="10.89453125" style="91" customWidth="1"/>
    <col min="5397" max="5397" width="11.62890625" style="91" customWidth="1"/>
    <col min="5398" max="5398" width="5.62890625" style="91" customWidth="1"/>
    <col min="5399" max="5399" width="6" style="91" customWidth="1"/>
    <col min="5400" max="5400" width="6.62890625" style="91" customWidth="1"/>
    <col min="5401" max="5401" width="11.1015625" style="91" customWidth="1"/>
    <col min="5402" max="5402" width="7.1015625" style="91" customWidth="1"/>
    <col min="5403" max="5404" width="5.89453125" style="91" customWidth="1"/>
    <col min="5405" max="5405" width="6" style="91" customWidth="1"/>
    <col min="5406" max="5406" width="6.89453125" style="91" customWidth="1"/>
    <col min="5407" max="5407" width="6" style="91" customWidth="1"/>
    <col min="5408" max="5408" width="18.1015625" style="91" customWidth="1"/>
    <col min="5409" max="5646" width="8.89453125" style="91"/>
    <col min="5647" max="5647" width="2.1015625" style="91" customWidth="1"/>
    <col min="5648" max="5648" width="5.89453125" style="91" customWidth="1"/>
    <col min="5649" max="5649" width="6.89453125" style="91" customWidth="1"/>
    <col min="5650" max="5650" width="6.1015625" style="91" customWidth="1"/>
    <col min="5651" max="5651" width="6.89453125" style="91" customWidth="1"/>
    <col min="5652" max="5652" width="10.89453125" style="91" customWidth="1"/>
    <col min="5653" max="5653" width="11.62890625" style="91" customWidth="1"/>
    <col min="5654" max="5654" width="5.62890625" style="91" customWidth="1"/>
    <col min="5655" max="5655" width="6" style="91" customWidth="1"/>
    <col min="5656" max="5656" width="6.62890625" style="91" customWidth="1"/>
    <col min="5657" max="5657" width="11.1015625" style="91" customWidth="1"/>
    <col min="5658" max="5658" width="7.1015625" style="91" customWidth="1"/>
    <col min="5659" max="5660" width="5.89453125" style="91" customWidth="1"/>
    <col min="5661" max="5661" width="6" style="91" customWidth="1"/>
    <col min="5662" max="5662" width="6.89453125" style="91" customWidth="1"/>
    <col min="5663" max="5663" width="6" style="91" customWidth="1"/>
    <col min="5664" max="5664" width="18.1015625" style="91" customWidth="1"/>
    <col min="5665" max="5902" width="8.89453125" style="91"/>
    <col min="5903" max="5903" width="2.1015625" style="91" customWidth="1"/>
    <col min="5904" max="5904" width="5.89453125" style="91" customWidth="1"/>
    <col min="5905" max="5905" width="6.89453125" style="91" customWidth="1"/>
    <col min="5906" max="5906" width="6.1015625" style="91" customWidth="1"/>
    <col min="5907" max="5907" width="6.89453125" style="91" customWidth="1"/>
    <col min="5908" max="5908" width="10.89453125" style="91" customWidth="1"/>
    <col min="5909" max="5909" width="11.62890625" style="91" customWidth="1"/>
    <col min="5910" max="5910" width="5.62890625" style="91" customWidth="1"/>
    <col min="5911" max="5911" width="6" style="91" customWidth="1"/>
    <col min="5912" max="5912" width="6.62890625" style="91" customWidth="1"/>
    <col min="5913" max="5913" width="11.1015625" style="91" customWidth="1"/>
    <col min="5914" max="5914" width="7.1015625" style="91" customWidth="1"/>
    <col min="5915" max="5916" width="5.89453125" style="91" customWidth="1"/>
    <col min="5917" max="5917" width="6" style="91" customWidth="1"/>
    <col min="5918" max="5918" width="6.89453125" style="91" customWidth="1"/>
    <col min="5919" max="5919" width="6" style="91" customWidth="1"/>
    <col min="5920" max="5920" width="18.1015625" style="91" customWidth="1"/>
    <col min="5921" max="6158" width="8.89453125" style="91"/>
    <col min="6159" max="6159" width="2.1015625" style="91" customWidth="1"/>
    <col min="6160" max="6160" width="5.89453125" style="91" customWidth="1"/>
    <col min="6161" max="6161" width="6.89453125" style="91" customWidth="1"/>
    <col min="6162" max="6162" width="6.1015625" style="91" customWidth="1"/>
    <col min="6163" max="6163" width="6.89453125" style="91" customWidth="1"/>
    <col min="6164" max="6164" width="10.89453125" style="91" customWidth="1"/>
    <col min="6165" max="6165" width="11.62890625" style="91" customWidth="1"/>
    <col min="6166" max="6166" width="5.62890625" style="91" customWidth="1"/>
    <col min="6167" max="6167" width="6" style="91" customWidth="1"/>
    <col min="6168" max="6168" width="6.62890625" style="91" customWidth="1"/>
    <col min="6169" max="6169" width="11.1015625" style="91" customWidth="1"/>
    <col min="6170" max="6170" width="7.1015625" style="91" customWidth="1"/>
    <col min="6171" max="6172" width="5.89453125" style="91" customWidth="1"/>
    <col min="6173" max="6173" width="6" style="91" customWidth="1"/>
    <col min="6174" max="6174" width="6.89453125" style="91" customWidth="1"/>
    <col min="6175" max="6175" width="6" style="91" customWidth="1"/>
    <col min="6176" max="6176" width="18.1015625" style="91" customWidth="1"/>
    <col min="6177" max="6414" width="8.89453125" style="91"/>
    <col min="6415" max="6415" width="2.1015625" style="91" customWidth="1"/>
    <col min="6416" max="6416" width="5.89453125" style="91" customWidth="1"/>
    <col min="6417" max="6417" width="6.89453125" style="91" customWidth="1"/>
    <col min="6418" max="6418" width="6.1015625" style="91" customWidth="1"/>
    <col min="6419" max="6419" width="6.89453125" style="91" customWidth="1"/>
    <col min="6420" max="6420" width="10.89453125" style="91" customWidth="1"/>
    <col min="6421" max="6421" width="11.62890625" style="91" customWidth="1"/>
    <col min="6422" max="6422" width="5.62890625" style="91" customWidth="1"/>
    <col min="6423" max="6423" width="6" style="91" customWidth="1"/>
    <col min="6424" max="6424" width="6.62890625" style="91" customWidth="1"/>
    <col min="6425" max="6425" width="11.1015625" style="91" customWidth="1"/>
    <col min="6426" max="6426" width="7.1015625" style="91" customWidth="1"/>
    <col min="6427" max="6428" width="5.89453125" style="91" customWidth="1"/>
    <col min="6429" max="6429" width="6" style="91" customWidth="1"/>
    <col min="6430" max="6430" width="6.89453125" style="91" customWidth="1"/>
    <col min="6431" max="6431" width="6" style="91" customWidth="1"/>
    <col min="6432" max="6432" width="18.1015625" style="91" customWidth="1"/>
    <col min="6433" max="6670" width="8.89453125" style="91"/>
    <col min="6671" max="6671" width="2.1015625" style="91" customWidth="1"/>
    <col min="6672" max="6672" width="5.89453125" style="91" customWidth="1"/>
    <col min="6673" max="6673" width="6.89453125" style="91" customWidth="1"/>
    <col min="6674" max="6674" width="6.1015625" style="91" customWidth="1"/>
    <col min="6675" max="6675" width="6.89453125" style="91" customWidth="1"/>
    <col min="6676" max="6676" width="10.89453125" style="91" customWidth="1"/>
    <col min="6677" max="6677" width="11.62890625" style="91" customWidth="1"/>
    <col min="6678" max="6678" width="5.62890625" style="91" customWidth="1"/>
    <col min="6679" max="6679" width="6" style="91" customWidth="1"/>
    <col min="6680" max="6680" width="6.62890625" style="91" customWidth="1"/>
    <col min="6681" max="6681" width="11.1015625" style="91" customWidth="1"/>
    <col min="6682" max="6682" width="7.1015625" style="91" customWidth="1"/>
    <col min="6683" max="6684" width="5.89453125" style="91" customWidth="1"/>
    <col min="6685" max="6685" width="6" style="91" customWidth="1"/>
    <col min="6686" max="6686" width="6.89453125" style="91" customWidth="1"/>
    <col min="6687" max="6687" width="6" style="91" customWidth="1"/>
    <col min="6688" max="6688" width="18.1015625" style="91" customWidth="1"/>
    <col min="6689" max="6926" width="8.89453125" style="91"/>
    <col min="6927" max="6927" width="2.1015625" style="91" customWidth="1"/>
    <col min="6928" max="6928" width="5.89453125" style="91" customWidth="1"/>
    <col min="6929" max="6929" width="6.89453125" style="91" customWidth="1"/>
    <col min="6930" max="6930" width="6.1015625" style="91" customWidth="1"/>
    <col min="6931" max="6931" width="6.89453125" style="91" customWidth="1"/>
    <col min="6932" max="6932" width="10.89453125" style="91" customWidth="1"/>
    <col min="6933" max="6933" width="11.62890625" style="91" customWidth="1"/>
    <col min="6934" max="6934" width="5.62890625" style="91" customWidth="1"/>
    <col min="6935" max="6935" width="6" style="91" customWidth="1"/>
    <col min="6936" max="6936" width="6.62890625" style="91" customWidth="1"/>
    <col min="6937" max="6937" width="11.1015625" style="91" customWidth="1"/>
    <col min="6938" max="6938" width="7.1015625" style="91" customWidth="1"/>
    <col min="6939" max="6940" width="5.89453125" style="91" customWidth="1"/>
    <col min="6941" max="6941" width="6" style="91" customWidth="1"/>
    <col min="6942" max="6942" width="6.89453125" style="91" customWidth="1"/>
    <col min="6943" max="6943" width="6" style="91" customWidth="1"/>
    <col min="6944" max="6944" width="18.1015625" style="91" customWidth="1"/>
    <col min="6945" max="7182" width="8.89453125" style="91"/>
    <col min="7183" max="7183" width="2.1015625" style="91" customWidth="1"/>
    <col min="7184" max="7184" width="5.89453125" style="91" customWidth="1"/>
    <col min="7185" max="7185" width="6.89453125" style="91" customWidth="1"/>
    <col min="7186" max="7186" width="6.1015625" style="91" customWidth="1"/>
    <col min="7187" max="7187" width="6.89453125" style="91" customWidth="1"/>
    <col min="7188" max="7188" width="10.89453125" style="91" customWidth="1"/>
    <col min="7189" max="7189" width="11.62890625" style="91" customWidth="1"/>
    <col min="7190" max="7190" width="5.62890625" style="91" customWidth="1"/>
    <col min="7191" max="7191" width="6" style="91" customWidth="1"/>
    <col min="7192" max="7192" width="6.62890625" style="91" customWidth="1"/>
    <col min="7193" max="7193" width="11.1015625" style="91" customWidth="1"/>
    <col min="7194" max="7194" width="7.1015625" style="91" customWidth="1"/>
    <col min="7195" max="7196" width="5.89453125" style="91" customWidth="1"/>
    <col min="7197" max="7197" width="6" style="91" customWidth="1"/>
    <col min="7198" max="7198" width="6.89453125" style="91" customWidth="1"/>
    <col min="7199" max="7199" width="6" style="91" customWidth="1"/>
    <col min="7200" max="7200" width="18.1015625" style="91" customWidth="1"/>
    <col min="7201" max="7438" width="8.89453125" style="91"/>
    <col min="7439" max="7439" width="2.1015625" style="91" customWidth="1"/>
    <col min="7440" max="7440" width="5.89453125" style="91" customWidth="1"/>
    <col min="7441" max="7441" width="6.89453125" style="91" customWidth="1"/>
    <col min="7442" max="7442" width="6.1015625" style="91" customWidth="1"/>
    <col min="7443" max="7443" width="6.89453125" style="91" customWidth="1"/>
    <col min="7444" max="7444" width="10.89453125" style="91" customWidth="1"/>
    <col min="7445" max="7445" width="11.62890625" style="91" customWidth="1"/>
    <col min="7446" max="7446" width="5.62890625" style="91" customWidth="1"/>
    <col min="7447" max="7447" width="6" style="91" customWidth="1"/>
    <col min="7448" max="7448" width="6.62890625" style="91" customWidth="1"/>
    <col min="7449" max="7449" width="11.1015625" style="91" customWidth="1"/>
    <col min="7450" max="7450" width="7.1015625" style="91" customWidth="1"/>
    <col min="7451" max="7452" width="5.89453125" style="91" customWidth="1"/>
    <col min="7453" max="7453" width="6" style="91" customWidth="1"/>
    <col min="7454" max="7454" width="6.89453125" style="91" customWidth="1"/>
    <col min="7455" max="7455" width="6" style="91" customWidth="1"/>
    <col min="7456" max="7456" width="18.1015625" style="91" customWidth="1"/>
    <col min="7457" max="7694" width="8.89453125" style="91"/>
    <col min="7695" max="7695" width="2.1015625" style="91" customWidth="1"/>
    <col min="7696" max="7696" width="5.89453125" style="91" customWidth="1"/>
    <col min="7697" max="7697" width="6.89453125" style="91" customWidth="1"/>
    <col min="7698" max="7698" width="6.1015625" style="91" customWidth="1"/>
    <col min="7699" max="7699" width="6.89453125" style="91" customWidth="1"/>
    <col min="7700" max="7700" width="10.89453125" style="91" customWidth="1"/>
    <col min="7701" max="7701" width="11.62890625" style="91" customWidth="1"/>
    <col min="7702" max="7702" width="5.62890625" style="91" customWidth="1"/>
    <col min="7703" max="7703" width="6" style="91" customWidth="1"/>
    <col min="7704" max="7704" width="6.62890625" style="91" customWidth="1"/>
    <col min="7705" max="7705" width="11.1015625" style="91" customWidth="1"/>
    <col min="7706" max="7706" width="7.1015625" style="91" customWidth="1"/>
    <col min="7707" max="7708" width="5.89453125" style="91" customWidth="1"/>
    <col min="7709" max="7709" width="6" style="91" customWidth="1"/>
    <col min="7710" max="7710" width="6.89453125" style="91" customWidth="1"/>
    <col min="7711" max="7711" width="6" style="91" customWidth="1"/>
    <col min="7712" max="7712" width="18.1015625" style="91" customWidth="1"/>
    <col min="7713" max="7950" width="8.89453125" style="91"/>
    <col min="7951" max="7951" width="2.1015625" style="91" customWidth="1"/>
    <col min="7952" max="7952" width="5.89453125" style="91" customWidth="1"/>
    <col min="7953" max="7953" width="6.89453125" style="91" customWidth="1"/>
    <col min="7954" max="7954" width="6.1015625" style="91" customWidth="1"/>
    <col min="7955" max="7955" width="6.89453125" style="91" customWidth="1"/>
    <col min="7956" max="7956" width="10.89453125" style="91" customWidth="1"/>
    <col min="7957" max="7957" width="11.62890625" style="91" customWidth="1"/>
    <col min="7958" max="7958" width="5.62890625" style="91" customWidth="1"/>
    <col min="7959" max="7959" width="6" style="91" customWidth="1"/>
    <col min="7960" max="7960" width="6.62890625" style="91" customWidth="1"/>
    <col min="7961" max="7961" width="11.1015625" style="91" customWidth="1"/>
    <col min="7962" max="7962" width="7.1015625" style="91" customWidth="1"/>
    <col min="7963" max="7964" width="5.89453125" style="91" customWidth="1"/>
    <col min="7965" max="7965" width="6" style="91" customWidth="1"/>
    <col min="7966" max="7966" width="6.89453125" style="91" customWidth="1"/>
    <col min="7967" max="7967" width="6" style="91" customWidth="1"/>
    <col min="7968" max="7968" width="18.1015625" style="91" customWidth="1"/>
    <col min="7969" max="8206" width="8.89453125" style="91"/>
    <col min="8207" max="8207" width="2.1015625" style="91" customWidth="1"/>
    <col min="8208" max="8208" width="5.89453125" style="91" customWidth="1"/>
    <col min="8209" max="8209" width="6.89453125" style="91" customWidth="1"/>
    <col min="8210" max="8210" width="6.1015625" style="91" customWidth="1"/>
    <col min="8211" max="8211" width="6.89453125" style="91" customWidth="1"/>
    <col min="8212" max="8212" width="10.89453125" style="91" customWidth="1"/>
    <col min="8213" max="8213" width="11.62890625" style="91" customWidth="1"/>
    <col min="8214" max="8214" width="5.62890625" style="91" customWidth="1"/>
    <col min="8215" max="8215" width="6" style="91" customWidth="1"/>
    <col min="8216" max="8216" width="6.62890625" style="91" customWidth="1"/>
    <col min="8217" max="8217" width="11.1015625" style="91" customWidth="1"/>
    <col min="8218" max="8218" width="7.1015625" style="91" customWidth="1"/>
    <col min="8219" max="8220" width="5.89453125" style="91" customWidth="1"/>
    <col min="8221" max="8221" width="6" style="91" customWidth="1"/>
    <col min="8222" max="8222" width="6.89453125" style="91" customWidth="1"/>
    <col min="8223" max="8223" width="6" style="91" customWidth="1"/>
    <col min="8224" max="8224" width="18.1015625" style="91" customWidth="1"/>
    <col min="8225" max="8462" width="8.89453125" style="91"/>
    <col min="8463" max="8463" width="2.1015625" style="91" customWidth="1"/>
    <col min="8464" max="8464" width="5.89453125" style="91" customWidth="1"/>
    <col min="8465" max="8465" width="6.89453125" style="91" customWidth="1"/>
    <col min="8466" max="8466" width="6.1015625" style="91" customWidth="1"/>
    <col min="8467" max="8467" width="6.89453125" style="91" customWidth="1"/>
    <col min="8468" max="8468" width="10.89453125" style="91" customWidth="1"/>
    <col min="8469" max="8469" width="11.62890625" style="91" customWidth="1"/>
    <col min="8470" max="8470" width="5.62890625" style="91" customWidth="1"/>
    <col min="8471" max="8471" width="6" style="91" customWidth="1"/>
    <col min="8472" max="8472" width="6.62890625" style="91" customWidth="1"/>
    <col min="8473" max="8473" width="11.1015625" style="91" customWidth="1"/>
    <col min="8474" max="8474" width="7.1015625" style="91" customWidth="1"/>
    <col min="8475" max="8476" width="5.89453125" style="91" customWidth="1"/>
    <col min="8477" max="8477" width="6" style="91" customWidth="1"/>
    <col min="8478" max="8478" width="6.89453125" style="91" customWidth="1"/>
    <col min="8479" max="8479" width="6" style="91" customWidth="1"/>
    <col min="8480" max="8480" width="18.1015625" style="91" customWidth="1"/>
    <col min="8481" max="8718" width="8.89453125" style="91"/>
    <col min="8719" max="8719" width="2.1015625" style="91" customWidth="1"/>
    <col min="8720" max="8720" width="5.89453125" style="91" customWidth="1"/>
    <col min="8721" max="8721" width="6.89453125" style="91" customWidth="1"/>
    <col min="8722" max="8722" width="6.1015625" style="91" customWidth="1"/>
    <col min="8723" max="8723" width="6.89453125" style="91" customWidth="1"/>
    <col min="8724" max="8724" width="10.89453125" style="91" customWidth="1"/>
    <col min="8725" max="8725" width="11.62890625" style="91" customWidth="1"/>
    <col min="8726" max="8726" width="5.62890625" style="91" customWidth="1"/>
    <col min="8727" max="8727" width="6" style="91" customWidth="1"/>
    <col min="8728" max="8728" width="6.62890625" style="91" customWidth="1"/>
    <col min="8729" max="8729" width="11.1015625" style="91" customWidth="1"/>
    <col min="8730" max="8730" width="7.1015625" style="91" customWidth="1"/>
    <col min="8731" max="8732" width="5.89453125" style="91" customWidth="1"/>
    <col min="8733" max="8733" width="6" style="91" customWidth="1"/>
    <col min="8734" max="8734" width="6.89453125" style="91" customWidth="1"/>
    <col min="8735" max="8735" width="6" style="91" customWidth="1"/>
    <col min="8736" max="8736" width="18.1015625" style="91" customWidth="1"/>
    <col min="8737" max="8974" width="8.89453125" style="91"/>
    <col min="8975" max="8975" width="2.1015625" style="91" customWidth="1"/>
    <col min="8976" max="8976" width="5.89453125" style="91" customWidth="1"/>
    <col min="8977" max="8977" width="6.89453125" style="91" customWidth="1"/>
    <col min="8978" max="8978" width="6.1015625" style="91" customWidth="1"/>
    <col min="8979" max="8979" width="6.89453125" style="91" customWidth="1"/>
    <col min="8980" max="8980" width="10.89453125" style="91" customWidth="1"/>
    <col min="8981" max="8981" width="11.62890625" style="91" customWidth="1"/>
    <col min="8982" max="8982" width="5.62890625" style="91" customWidth="1"/>
    <col min="8983" max="8983" width="6" style="91" customWidth="1"/>
    <col min="8984" max="8984" width="6.62890625" style="91" customWidth="1"/>
    <col min="8985" max="8985" width="11.1015625" style="91" customWidth="1"/>
    <col min="8986" max="8986" width="7.1015625" style="91" customWidth="1"/>
    <col min="8987" max="8988" width="5.89453125" style="91" customWidth="1"/>
    <col min="8989" max="8989" width="6" style="91" customWidth="1"/>
    <col min="8990" max="8990" width="6.89453125" style="91" customWidth="1"/>
    <col min="8991" max="8991" width="6" style="91" customWidth="1"/>
    <col min="8992" max="8992" width="18.1015625" style="91" customWidth="1"/>
    <col min="8993" max="9230" width="8.89453125" style="91"/>
    <col min="9231" max="9231" width="2.1015625" style="91" customWidth="1"/>
    <col min="9232" max="9232" width="5.89453125" style="91" customWidth="1"/>
    <col min="9233" max="9233" width="6.89453125" style="91" customWidth="1"/>
    <col min="9234" max="9234" width="6.1015625" style="91" customWidth="1"/>
    <col min="9235" max="9235" width="6.89453125" style="91" customWidth="1"/>
    <col min="9236" max="9236" width="10.89453125" style="91" customWidth="1"/>
    <col min="9237" max="9237" width="11.62890625" style="91" customWidth="1"/>
    <col min="9238" max="9238" width="5.62890625" style="91" customWidth="1"/>
    <col min="9239" max="9239" width="6" style="91" customWidth="1"/>
    <col min="9240" max="9240" width="6.62890625" style="91" customWidth="1"/>
    <col min="9241" max="9241" width="11.1015625" style="91" customWidth="1"/>
    <col min="9242" max="9242" width="7.1015625" style="91" customWidth="1"/>
    <col min="9243" max="9244" width="5.89453125" style="91" customWidth="1"/>
    <col min="9245" max="9245" width="6" style="91" customWidth="1"/>
    <col min="9246" max="9246" width="6.89453125" style="91" customWidth="1"/>
    <col min="9247" max="9247" width="6" style="91" customWidth="1"/>
    <col min="9248" max="9248" width="18.1015625" style="91" customWidth="1"/>
    <col min="9249" max="9486" width="8.89453125" style="91"/>
    <col min="9487" max="9487" width="2.1015625" style="91" customWidth="1"/>
    <col min="9488" max="9488" width="5.89453125" style="91" customWidth="1"/>
    <col min="9489" max="9489" width="6.89453125" style="91" customWidth="1"/>
    <col min="9490" max="9490" width="6.1015625" style="91" customWidth="1"/>
    <col min="9491" max="9491" width="6.89453125" style="91" customWidth="1"/>
    <col min="9492" max="9492" width="10.89453125" style="91" customWidth="1"/>
    <col min="9493" max="9493" width="11.62890625" style="91" customWidth="1"/>
    <col min="9494" max="9494" width="5.62890625" style="91" customWidth="1"/>
    <col min="9495" max="9495" width="6" style="91" customWidth="1"/>
    <col min="9496" max="9496" width="6.62890625" style="91" customWidth="1"/>
    <col min="9497" max="9497" width="11.1015625" style="91" customWidth="1"/>
    <col min="9498" max="9498" width="7.1015625" style="91" customWidth="1"/>
    <col min="9499" max="9500" width="5.89453125" style="91" customWidth="1"/>
    <col min="9501" max="9501" width="6" style="91" customWidth="1"/>
    <col min="9502" max="9502" width="6.89453125" style="91" customWidth="1"/>
    <col min="9503" max="9503" width="6" style="91" customWidth="1"/>
    <col min="9504" max="9504" width="18.1015625" style="91" customWidth="1"/>
    <col min="9505" max="9742" width="8.89453125" style="91"/>
    <col min="9743" max="9743" width="2.1015625" style="91" customWidth="1"/>
    <col min="9744" max="9744" width="5.89453125" style="91" customWidth="1"/>
    <col min="9745" max="9745" width="6.89453125" style="91" customWidth="1"/>
    <col min="9746" max="9746" width="6.1015625" style="91" customWidth="1"/>
    <col min="9747" max="9747" width="6.89453125" style="91" customWidth="1"/>
    <col min="9748" max="9748" width="10.89453125" style="91" customWidth="1"/>
    <col min="9749" max="9749" width="11.62890625" style="91" customWidth="1"/>
    <col min="9750" max="9750" width="5.62890625" style="91" customWidth="1"/>
    <col min="9751" max="9751" width="6" style="91" customWidth="1"/>
    <col min="9752" max="9752" width="6.62890625" style="91" customWidth="1"/>
    <col min="9753" max="9753" width="11.1015625" style="91" customWidth="1"/>
    <col min="9754" max="9754" width="7.1015625" style="91" customWidth="1"/>
    <col min="9755" max="9756" width="5.89453125" style="91" customWidth="1"/>
    <col min="9757" max="9757" width="6" style="91" customWidth="1"/>
    <col min="9758" max="9758" width="6.89453125" style="91" customWidth="1"/>
    <col min="9759" max="9759" width="6" style="91" customWidth="1"/>
    <col min="9760" max="9760" width="18.1015625" style="91" customWidth="1"/>
    <col min="9761" max="9998" width="8.89453125" style="91"/>
    <col min="9999" max="9999" width="2.1015625" style="91" customWidth="1"/>
    <col min="10000" max="10000" width="5.89453125" style="91" customWidth="1"/>
    <col min="10001" max="10001" width="6.89453125" style="91" customWidth="1"/>
    <col min="10002" max="10002" width="6.1015625" style="91" customWidth="1"/>
    <col min="10003" max="10003" width="6.89453125" style="91" customWidth="1"/>
    <col min="10004" max="10004" width="10.89453125" style="91" customWidth="1"/>
    <col min="10005" max="10005" width="11.62890625" style="91" customWidth="1"/>
    <col min="10006" max="10006" width="5.62890625" style="91" customWidth="1"/>
    <col min="10007" max="10007" width="6" style="91" customWidth="1"/>
    <col min="10008" max="10008" width="6.62890625" style="91" customWidth="1"/>
    <col min="10009" max="10009" width="11.1015625" style="91" customWidth="1"/>
    <col min="10010" max="10010" width="7.1015625" style="91" customWidth="1"/>
    <col min="10011" max="10012" width="5.89453125" style="91" customWidth="1"/>
    <col min="10013" max="10013" width="6" style="91" customWidth="1"/>
    <col min="10014" max="10014" width="6.89453125" style="91" customWidth="1"/>
    <col min="10015" max="10015" width="6" style="91" customWidth="1"/>
    <col min="10016" max="10016" width="18.1015625" style="91" customWidth="1"/>
    <col min="10017" max="10254" width="8.89453125" style="91"/>
    <col min="10255" max="10255" width="2.1015625" style="91" customWidth="1"/>
    <col min="10256" max="10256" width="5.89453125" style="91" customWidth="1"/>
    <col min="10257" max="10257" width="6.89453125" style="91" customWidth="1"/>
    <col min="10258" max="10258" width="6.1015625" style="91" customWidth="1"/>
    <col min="10259" max="10259" width="6.89453125" style="91" customWidth="1"/>
    <col min="10260" max="10260" width="10.89453125" style="91" customWidth="1"/>
    <col min="10261" max="10261" width="11.62890625" style="91" customWidth="1"/>
    <col min="10262" max="10262" width="5.62890625" style="91" customWidth="1"/>
    <col min="10263" max="10263" width="6" style="91" customWidth="1"/>
    <col min="10264" max="10264" width="6.62890625" style="91" customWidth="1"/>
    <col min="10265" max="10265" width="11.1015625" style="91" customWidth="1"/>
    <col min="10266" max="10266" width="7.1015625" style="91" customWidth="1"/>
    <col min="10267" max="10268" width="5.89453125" style="91" customWidth="1"/>
    <col min="10269" max="10269" width="6" style="91" customWidth="1"/>
    <col min="10270" max="10270" width="6.89453125" style="91" customWidth="1"/>
    <col min="10271" max="10271" width="6" style="91" customWidth="1"/>
    <col min="10272" max="10272" width="18.1015625" style="91" customWidth="1"/>
    <col min="10273" max="10510" width="8.89453125" style="91"/>
    <col min="10511" max="10511" width="2.1015625" style="91" customWidth="1"/>
    <col min="10512" max="10512" width="5.89453125" style="91" customWidth="1"/>
    <col min="10513" max="10513" width="6.89453125" style="91" customWidth="1"/>
    <col min="10514" max="10514" width="6.1015625" style="91" customWidth="1"/>
    <col min="10515" max="10515" width="6.89453125" style="91" customWidth="1"/>
    <col min="10516" max="10516" width="10.89453125" style="91" customWidth="1"/>
    <col min="10517" max="10517" width="11.62890625" style="91" customWidth="1"/>
    <col min="10518" max="10518" width="5.62890625" style="91" customWidth="1"/>
    <col min="10519" max="10519" width="6" style="91" customWidth="1"/>
    <col min="10520" max="10520" width="6.62890625" style="91" customWidth="1"/>
    <col min="10521" max="10521" width="11.1015625" style="91" customWidth="1"/>
    <col min="10522" max="10522" width="7.1015625" style="91" customWidth="1"/>
    <col min="10523" max="10524" width="5.89453125" style="91" customWidth="1"/>
    <col min="10525" max="10525" width="6" style="91" customWidth="1"/>
    <col min="10526" max="10526" width="6.89453125" style="91" customWidth="1"/>
    <col min="10527" max="10527" width="6" style="91" customWidth="1"/>
    <col min="10528" max="10528" width="18.1015625" style="91" customWidth="1"/>
    <col min="10529" max="10766" width="8.89453125" style="91"/>
    <col min="10767" max="10767" width="2.1015625" style="91" customWidth="1"/>
    <col min="10768" max="10768" width="5.89453125" style="91" customWidth="1"/>
    <col min="10769" max="10769" width="6.89453125" style="91" customWidth="1"/>
    <col min="10770" max="10770" width="6.1015625" style="91" customWidth="1"/>
    <col min="10771" max="10771" width="6.89453125" style="91" customWidth="1"/>
    <col min="10772" max="10772" width="10.89453125" style="91" customWidth="1"/>
    <col min="10773" max="10773" width="11.62890625" style="91" customWidth="1"/>
    <col min="10774" max="10774" width="5.62890625" style="91" customWidth="1"/>
    <col min="10775" max="10775" width="6" style="91" customWidth="1"/>
    <col min="10776" max="10776" width="6.62890625" style="91" customWidth="1"/>
    <col min="10777" max="10777" width="11.1015625" style="91" customWidth="1"/>
    <col min="10778" max="10778" width="7.1015625" style="91" customWidth="1"/>
    <col min="10779" max="10780" width="5.89453125" style="91" customWidth="1"/>
    <col min="10781" max="10781" width="6" style="91" customWidth="1"/>
    <col min="10782" max="10782" width="6.89453125" style="91" customWidth="1"/>
    <col min="10783" max="10783" width="6" style="91" customWidth="1"/>
    <col min="10784" max="10784" width="18.1015625" style="91" customWidth="1"/>
    <col min="10785" max="11022" width="8.89453125" style="91"/>
    <col min="11023" max="11023" width="2.1015625" style="91" customWidth="1"/>
    <col min="11024" max="11024" width="5.89453125" style="91" customWidth="1"/>
    <col min="11025" max="11025" width="6.89453125" style="91" customWidth="1"/>
    <col min="11026" max="11026" width="6.1015625" style="91" customWidth="1"/>
    <col min="11027" max="11027" width="6.89453125" style="91" customWidth="1"/>
    <col min="11028" max="11028" width="10.89453125" style="91" customWidth="1"/>
    <col min="11029" max="11029" width="11.62890625" style="91" customWidth="1"/>
    <col min="11030" max="11030" width="5.62890625" style="91" customWidth="1"/>
    <col min="11031" max="11031" width="6" style="91" customWidth="1"/>
    <col min="11032" max="11032" width="6.62890625" style="91" customWidth="1"/>
    <col min="11033" max="11033" width="11.1015625" style="91" customWidth="1"/>
    <col min="11034" max="11034" width="7.1015625" style="91" customWidth="1"/>
    <col min="11035" max="11036" width="5.89453125" style="91" customWidth="1"/>
    <col min="11037" max="11037" width="6" style="91" customWidth="1"/>
    <col min="11038" max="11038" width="6.89453125" style="91" customWidth="1"/>
    <col min="11039" max="11039" width="6" style="91" customWidth="1"/>
    <col min="11040" max="11040" width="18.1015625" style="91" customWidth="1"/>
    <col min="11041" max="11278" width="8.89453125" style="91"/>
    <col min="11279" max="11279" width="2.1015625" style="91" customWidth="1"/>
    <col min="11280" max="11280" width="5.89453125" style="91" customWidth="1"/>
    <col min="11281" max="11281" width="6.89453125" style="91" customWidth="1"/>
    <col min="11282" max="11282" width="6.1015625" style="91" customWidth="1"/>
    <col min="11283" max="11283" width="6.89453125" style="91" customWidth="1"/>
    <col min="11284" max="11284" width="10.89453125" style="91" customWidth="1"/>
    <col min="11285" max="11285" width="11.62890625" style="91" customWidth="1"/>
    <col min="11286" max="11286" width="5.62890625" style="91" customWidth="1"/>
    <col min="11287" max="11287" width="6" style="91" customWidth="1"/>
    <col min="11288" max="11288" width="6.62890625" style="91" customWidth="1"/>
    <col min="11289" max="11289" width="11.1015625" style="91" customWidth="1"/>
    <col min="11290" max="11290" width="7.1015625" style="91" customWidth="1"/>
    <col min="11291" max="11292" width="5.89453125" style="91" customWidth="1"/>
    <col min="11293" max="11293" width="6" style="91" customWidth="1"/>
    <col min="11294" max="11294" width="6.89453125" style="91" customWidth="1"/>
    <col min="11295" max="11295" width="6" style="91" customWidth="1"/>
    <col min="11296" max="11296" width="18.1015625" style="91" customWidth="1"/>
    <col min="11297" max="11534" width="8.89453125" style="91"/>
    <col min="11535" max="11535" width="2.1015625" style="91" customWidth="1"/>
    <col min="11536" max="11536" width="5.89453125" style="91" customWidth="1"/>
    <col min="11537" max="11537" width="6.89453125" style="91" customWidth="1"/>
    <col min="11538" max="11538" width="6.1015625" style="91" customWidth="1"/>
    <col min="11539" max="11539" width="6.89453125" style="91" customWidth="1"/>
    <col min="11540" max="11540" width="10.89453125" style="91" customWidth="1"/>
    <col min="11541" max="11541" width="11.62890625" style="91" customWidth="1"/>
    <col min="11542" max="11542" width="5.62890625" style="91" customWidth="1"/>
    <col min="11543" max="11543" width="6" style="91" customWidth="1"/>
    <col min="11544" max="11544" width="6.62890625" style="91" customWidth="1"/>
    <col min="11545" max="11545" width="11.1015625" style="91" customWidth="1"/>
    <col min="11546" max="11546" width="7.1015625" style="91" customWidth="1"/>
    <col min="11547" max="11548" width="5.89453125" style="91" customWidth="1"/>
    <col min="11549" max="11549" width="6" style="91" customWidth="1"/>
    <col min="11550" max="11550" width="6.89453125" style="91" customWidth="1"/>
    <col min="11551" max="11551" width="6" style="91" customWidth="1"/>
    <col min="11552" max="11552" width="18.1015625" style="91" customWidth="1"/>
    <col min="11553" max="11790" width="8.89453125" style="91"/>
    <col min="11791" max="11791" width="2.1015625" style="91" customWidth="1"/>
    <col min="11792" max="11792" width="5.89453125" style="91" customWidth="1"/>
    <col min="11793" max="11793" width="6.89453125" style="91" customWidth="1"/>
    <col min="11794" max="11794" width="6.1015625" style="91" customWidth="1"/>
    <col min="11795" max="11795" width="6.89453125" style="91" customWidth="1"/>
    <col min="11796" max="11796" width="10.89453125" style="91" customWidth="1"/>
    <col min="11797" max="11797" width="11.62890625" style="91" customWidth="1"/>
    <col min="11798" max="11798" width="5.62890625" style="91" customWidth="1"/>
    <col min="11799" max="11799" width="6" style="91" customWidth="1"/>
    <col min="11800" max="11800" width="6.62890625" style="91" customWidth="1"/>
    <col min="11801" max="11801" width="11.1015625" style="91" customWidth="1"/>
    <col min="11802" max="11802" width="7.1015625" style="91" customWidth="1"/>
    <col min="11803" max="11804" width="5.89453125" style="91" customWidth="1"/>
    <col min="11805" max="11805" width="6" style="91" customWidth="1"/>
    <col min="11806" max="11806" width="6.89453125" style="91" customWidth="1"/>
    <col min="11807" max="11807" width="6" style="91" customWidth="1"/>
    <col min="11808" max="11808" width="18.1015625" style="91" customWidth="1"/>
    <col min="11809" max="12046" width="8.89453125" style="91"/>
    <col min="12047" max="12047" width="2.1015625" style="91" customWidth="1"/>
    <col min="12048" max="12048" width="5.89453125" style="91" customWidth="1"/>
    <col min="12049" max="12049" width="6.89453125" style="91" customWidth="1"/>
    <col min="12050" max="12050" width="6.1015625" style="91" customWidth="1"/>
    <col min="12051" max="12051" width="6.89453125" style="91" customWidth="1"/>
    <col min="12052" max="12052" width="10.89453125" style="91" customWidth="1"/>
    <col min="12053" max="12053" width="11.62890625" style="91" customWidth="1"/>
    <col min="12054" max="12054" width="5.62890625" style="91" customWidth="1"/>
    <col min="12055" max="12055" width="6" style="91" customWidth="1"/>
    <col min="12056" max="12056" width="6.62890625" style="91" customWidth="1"/>
    <col min="12057" max="12057" width="11.1015625" style="91" customWidth="1"/>
    <col min="12058" max="12058" width="7.1015625" style="91" customWidth="1"/>
    <col min="12059" max="12060" width="5.89453125" style="91" customWidth="1"/>
    <col min="12061" max="12061" width="6" style="91" customWidth="1"/>
    <col min="12062" max="12062" width="6.89453125" style="91" customWidth="1"/>
    <col min="12063" max="12063" width="6" style="91" customWidth="1"/>
    <col min="12064" max="12064" width="18.1015625" style="91" customWidth="1"/>
    <col min="12065" max="12302" width="8.89453125" style="91"/>
    <col min="12303" max="12303" width="2.1015625" style="91" customWidth="1"/>
    <col min="12304" max="12304" width="5.89453125" style="91" customWidth="1"/>
    <col min="12305" max="12305" width="6.89453125" style="91" customWidth="1"/>
    <col min="12306" max="12306" width="6.1015625" style="91" customWidth="1"/>
    <col min="12307" max="12307" width="6.89453125" style="91" customWidth="1"/>
    <col min="12308" max="12308" width="10.89453125" style="91" customWidth="1"/>
    <col min="12309" max="12309" width="11.62890625" style="91" customWidth="1"/>
    <col min="12310" max="12310" width="5.62890625" style="91" customWidth="1"/>
    <col min="12311" max="12311" width="6" style="91" customWidth="1"/>
    <col min="12312" max="12312" width="6.62890625" style="91" customWidth="1"/>
    <col min="12313" max="12313" width="11.1015625" style="91" customWidth="1"/>
    <col min="12314" max="12314" width="7.1015625" style="91" customWidth="1"/>
    <col min="12315" max="12316" width="5.89453125" style="91" customWidth="1"/>
    <col min="12317" max="12317" width="6" style="91" customWidth="1"/>
    <col min="12318" max="12318" width="6.89453125" style="91" customWidth="1"/>
    <col min="12319" max="12319" width="6" style="91" customWidth="1"/>
    <col min="12320" max="12320" width="18.1015625" style="91" customWidth="1"/>
    <col min="12321" max="12558" width="8.89453125" style="91"/>
    <col min="12559" max="12559" width="2.1015625" style="91" customWidth="1"/>
    <col min="12560" max="12560" width="5.89453125" style="91" customWidth="1"/>
    <col min="12561" max="12561" width="6.89453125" style="91" customWidth="1"/>
    <col min="12562" max="12562" width="6.1015625" style="91" customWidth="1"/>
    <col min="12563" max="12563" width="6.89453125" style="91" customWidth="1"/>
    <col min="12564" max="12564" width="10.89453125" style="91" customWidth="1"/>
    <col min="12565" max="12565" width="11.62890625" style="91" customWidth="1"/>
    <col min="12566" max="12566" width="5.62890625" style="91" customWidth="1"/>
    <col min="12567" max="12567" width="6" style="91" customWidth="1"/>
    <col min="12568" max="12568" width="6.62890625" style="91" customWidth="1"/>
    <col min="12569" max="12569" width="11.1015625" style="91" customWidth="1"/>
    <col min="12570" max="12570" width="7.1015625" style="91" customWidth="1"/>
    <col min="12571" max="12572" width="5.89453125" style="91" customWidth="1"/>
    <col min="12573" max="12573" width="6" style="91" customWidth="1"/>
    <col min="12574" max="12574" width="6.89453125" style="91" customWidth="1"/>
    <col min="12575" max="12575" width="6" style="91" customWidth="1"/>
    <col min="12576" max="12576" width="18.1015625" style="91" customWidth="1"/>
    <col min="12577" max="12814" width="8.89453125" style="91"/>
    <col min="12815" max="12815" width="2.1015625" style="91" customWidth="1"/>
    <col min="12816" max="12816" width="5.89453125" style="91" customWidth="1"/>
    <col min="12817" max="12817" width="6.89453125" style="91" customWidth="1"/>
    <col min="12818" max="12818" width="6.1015625" style="91" customWidth="1"/>
    <col min="12819" max="12819" width="6.89453125" style="91" customWidth="1"/>
    <col min="12820" max="12820" width="10.89453125" style="91" customWidth="1"/>
    <col min="12821" max="12821" width="11.62890625" style="91" customWidth="1"/>
    <col min="12822" max="12822" width="5.62890625" style="91" customWidth="1"/>
    <col min="12823" max="12823" width="6" style="91" customWidth="1"/>
    <col min="12824" max="12824" width="6.62890625" style="91" customWidth="1"/>
    <col min="12825" max="12825" width="11.1015625" style="91" customWidth="1"/>
    <col min="12826" max="12826" width="7.1015625" style="91" customWidth="1"/>
    <col min="12827" max="12828" width="5.89453125" style="91" customWidth="1"/>
    <col min="12829" max="12829" width="6" style="91" customWidth="1"/>
    <col min="12830" max="12830" width="6.89453125" style="91" customWidth="1"/>
    <col min="12831" max="12831" width="6" style="91" customWidth="1"/>
    <col min="12832" max="12832" width="18.1015625" style="91" customWidth="1"/>
    <col min="12833" max="13070" width="8.89453125" style="91"/>
    <col min="13071" max="13071" width="2.1015625" style="91" customWidth="1"/>
    <col min="13072" max="13072" width="5.89453125" style="91" customWidth="1"/>
    <col min="13073" max="13073" width="6.89453125" style="91" customWidth="1"/>
    <col min="13074" max="13074" width="6.1015625" style="91" customWidth="1"/>
    <col min="13075" max="13075" width="6.89453125" style="91" customWidth="1"/>
    <col min="13076" max="13076" width="10.89453125" style="91" customWidth="1"/>
    <col min="13077" max="13077" width="11.62890625" style="91" customWidth="1"/>
    <col min="13078" max="13078" width="5.62890625" style="91" customWidth="1"/>
    <col min="13079" max="13079" width="6" style="91" customWidth="1"/>
    <col min="13080" max="13080" width="6.62890625" style="91" customWidth="1"/>
    <col min="13081" max="13081" width="11.1015625" style="91" customWidth="1"/>
    <col min="13082" max="13082" width="7.1015625" style="91" customWidth="1"/>
    <col min="13083" max="13084" width="5.89453125" style="91" customWidth="1"/>
    <col min="13085" max="13085" width="6" style="91" customWidth="1"/>
    <col min="13086" max="13086" width="6.89453125" style="91" customWidth="1"/>
    <col min="13087" max="13087" width="6" style="91" customWidth="1"/>
    <col min="13088" max="13088" width="18.1015625" style="91" customWidth="1"/>
    <col min="13089" max="13326" width="8.89453125" style="91"/>
    <col min="13327" max="13327" width="2.1015625" style="91" customWidth="1"/>
    <col min="13328" max="13328" width="5.89453125" style="91" customWidth="1"/>
    <col min="13329" max="13329" width="6.89453125" style="91" customWidth="1"/>
    <col min="13330" max="13330" width="6.1015625" style="91" customWidth="1"/>
    <col min="13331" max="13331" width="6.89453125" style="91" customWidth="1"/>
    <col min="13332" max="13332" width="10.89453125" style="91" customWidth="1"/>
    <col min="13333" max="13333" width="11.62890625" style="91" customWidth="1"/>
    <col min="13334" max="13334" width="5.62890625" style="91" customWidth="1"/>
    <col min="13335" max="13335" width="6" style="91" customWidth="1"/>
    <col min="13336" max="13336" width="6.62890625" style="91" customWidth="1"/>
    <col min="13337" max="13337" width="11.1015625" style="91" customWidth="1"/>
    <col min="13338" max="13338" width="7.1015625" style="91" customWidth="1"/>
    <col min="13339" max="13340" width="5.89453125" style="91" customWidth="1"/>
    <col min="13341" max="13341" width="6" style="91" customWidth="1"/>
    <col min="13342" max="13342" width="6.89453125" style="91" customWidth="1"/>
    <col min="13343" max="13343" width="6" style="91" customWidth="1"/>
    <col min="13344" max="13344" width="18.1015625" style="91" customWidth="1"/>
    <col min="13345" max="13582" width="8.89453125" style="91"/>
    <col min="13583" max="13583" width="2.1015625" style="91" customWidth="1"/>
    <col min="13584" max="13584" width="5.89453125" style="91" customWidth="1"/>
    <col min="13585" max="13585" width="6.89453125" style="91" customWidth="1"/>
    <col min="13586" max="13586" width="6.1015625" style="91" customWidth="1"/>
    <col min="13587" max="13587" width="6.89453125" style="91" customWidth="1"/>
    <col min="13588" max="13588" width="10.89453125" style="91" customWidth="1"/>
    <col min="13589" max="13589" width="11.62890625" style="91" customWidth="1"/>
    <col min="13590" max="13590" width="5.62890625" style="91" customWidth="1"/>
    <col min="13591" max="13591" width="6" style="91" customWidth="1"/>
    <col min="13592" max="13592" width="6.62890625" style="91" customWidth="1"/>
    <col min="13593" max="13593" width="11.1015625" style="91" customWidth="1"/>
    <col min="13594" max="13594" width="7.1015625" style="91" customWidth="1"/>
    <col min="13595" max="13596" width="5.89453125" style="91" customWidth="1"/>
    <col min="13597" max="13597" width="6" style="91" customWidth="1"/>
    <col min="13598" max="13598" width="6.89453125" style="91" customWidth="1"/>
    <col min="13599" max="13599" width="6" style="91" customWidth="1"/>
    <col min="13600" max="13600" width="18.1015625" style="91" customWidth="1"/>
    <col min="13601" max="13838" width="8.89453125" style="91"/>
    <col min="13839" max="13839" width="2.1015625" style="91" customWidth="1"/>
    <col min="13840" max="13840" width="5.89453125" style="91" customWidth="1"/>
    <col min="13841" max="13841" width="6.89453125" style="91" customWidth="1"/>
    <col min="13842" max="13842" width="6.1015625" style="91" customWidth="1"/>
    <col min="13843" max="13843" width="6.89453125" style="91" customWidth="1"/>
    <col min="13844" max="13844" width="10.89453125" style="91" customWidth="1"/>
    <col min="13845" max="13845" width="11.62890625" style="91" customWidth="1"/>
    <col min="13846" max="13846" width="5.62890625" style="91" customWidth="1"/>
    <col min="13847" max="13847" width="6" style="91" customWidth="1"/>
    <col min="13848" max="13848" width="6.62890625" style="91" customWidth="1"/>
    <col min="13849" max="13849" width="11.1015625" style="91" customWidth="1"/>
    <col min="13850" max="13850" width="7.1015625" style="91" customWidth="1"/>
    <col min="13851" max="13852" width="5.89453125" style="91" customWidth="1"/>
    <col min="13853" max="13853" width="6" style="91" customWidth="1"/>
    <col min="13854" max="13854" width="6.89453125" style="91" customWidth="1"/>
    <col min="13855" max="13855" width="6" style="91" customWidth="1"/>
    <col min="13856" max="13856" width="18.1015625" style="91" customWidth="1"/>
    <col min="13857" max="14094" width="8.89453125" style="91"/>
    <col min="14095" max="14095" width="2.1015625" style="91" customWidth="1"/>
    <col min="14096" max="14096" width="5.89453125" style="91" customWidth="1"/>
    <col min="14097" max="14097" width="6.89453125" style="91" customWidth="1"/>
    <col min="14098" max="14098" width="6.1015625" style="91" customWidth="1"/>
    <col min="14099" max="14099" width="6.89453125" style="91" customWidth="1"/>
    <col min="14100" max="14100" width="10.89453125" style="91" customWidth="1"/>
    <col min="14101" max="14101" width="11.62890625" style="91" customWidth="1"/>
    <col min="14102" max="14102" width="5.62890625" style="91" customWidth="1"/>
    <col min="14103" max="14103" width="6" style="91" customWidth="1"/>
    <col min="14104" max="14104" width="6.62890625" style="91" customWidth="1"/>
    <col min="14105" max="14105" width="11.1015625" style="91" customWidth="1"/>
    <col min="14106" max="14106" width="7.1015625" style="91" customWidth="1"/>
    <col min="14107" max="14108" width="5.89453125" style="91" customWidth="1"/>
    <col min="14109" max="14109" width="6" style="91" customWidth="1"/>
    <col min="14110" max="14110" width="6.89453125" style="91" customWidth="1"/>
    <col min="14111" max="14111" width="6" style="91" customWidth="1"/>
    <col min="14112" max="14112" width="18.1015625" style="91" customWidth="1"/>
    <col min="14113" max="14350" width="8.89453125" style="91"/>
    <col min="14351" max="14351" width="2.1015625" style="91" customWidth="1"/>
    <col min="14352" max="14352" width="5.89453125" style="91" customWidth="1"/>
    <col min="14353" max="14353" width="6.89453125" style="91" customWidth="1"/>
    <col min="14354" max="14354" width="6.1015625" style="91" customWidth="1"/>
    <col min="14355" max="14355" width="6.89453125" style="91" customWidth="1"/>
    <col min="14356" max="14356" width="10.89453125" style="91" customWidth="1"/>
    <col min="14357" max="14357" width="11.62890625" style="91" customWidth="1"/>
    <col min="14358" max="14358" width="5.62890625" style="91" customWidth="1"/>
    <col min="14359" max="14359" width="6" style="91" customWidth="1"/>
    <col min="14360" max="14360" width="6.62890625" style="91" customWidth="1"/>
    <col min="14361" max="14361" width="11.1015625" style="91" customWidth="1"/>
    <col min="14362" max="14362" width="7.1015625" style="91" customWidth="1"/>
    <col min="14363" max="14364" width="5.89453125" style="91" customWidth="1"/>
    <col min="14365" max="14365" width="6" style="91" customWidth="1"/>
    <col min="14366" max="14366" width="6.89453125" style="91" customWidth="1"/>
    <col min="14367" max="14367" width="6" style="91" customWidth="1"/>
    <col min="14368" max="14368" width="18.1015625" style="91" customWidth="1"/>
    <col min="14369" max="14606" width="8.89453125" style="91"/>
    <col min="14607" max="14607" width="2.1015625" style="91" customWidth="1"/>
    <col min="14608" max="14608" width="5.89453125" style="91" customWidth="1"/>
    <col min="14609" max="14609" width="6.89453125" style="91" customWidth="1"/>
    <col min="14610" max="14610" width="6.1015625" style="91" customWidth="1"/>
    <col min="14611" max="14611" width="6.89453125" style="91" customWidth="1"/>
    <col min="14612" max="14612" width="10.89453125" style="91" customWidth="1"/>
    <col min="14613" max="14613" width="11.62890625" style="91" customWidth="1"/>
    <col min="14614" max="14614" width="5.62890625" style="91" customWidth="1"/>
    <col min="14615" max="14615" width="6" style="91" customWidth="1"/>
    <col min="14616" max="14616" width="6.62890625" style="91" customWidth="1"/>
    <col min="14617" max="14617" width="11.1015625" style="91" customWidth="1"/>
    <col min="14618" max="14618" width="7.1015625" style="91" customWidth="1"/>
    <col min="14619" max="14620" width="5.89453125" style="91" customWidth="1"/>
    <col min="14621" max="14621" width="6" style="91" customWidth="1"/>
    <col min="14622" max="14622" width="6.89453125" style="91" customWidth="1"/>
    <col min="14623" max="14623" width="6" style="91" customWidth="1"/>
    <col min="14624" max="14624" width="18.1015625" style="91" customWidth="1"/>
    <col min="14625" max="14862" width="8.89453125" style="91"/>
    <col min="14863" max="14863" width="2.1015625" style="91" customWidth="1"/>
    <col min="14864" max="14864" width="5.89453125" style="91" customWidth="1"/>
    <col min="14865" max="14865" width="6.89453125" style="91" customWidth="1"/>
    <col min="14866" max="14866" width="6.1015625" style="91" customWidth="1"/>
    <col min="14867" max="14867" width="6.89453125" style="91" customWidth="1"/>
    <col min="14868" max="14868" width="10.89453125" style="91" customWidth="1"/>
    <col min="14869" max="14869" width="11.62890625" style="91" customWidth="1"/>
    <col min="14870" max="14870" width="5.62890625" style="91" customWidth="1"/>
    <col min="14871" max="14871" width="6" style="91" customWidth="1"/>
    <col min="14872" max="14872" width="6.62890625" style="91" customWidth="1"/>
    <col min="14873" max="14873" width="11.1015625" style="91" customWidth="1"/>
    <col min="14874" max="14874" width="7.1015625" style="91" customWidth="1"/>
    <col min="14875" max="14876" width="5.89453125" style="91" customWidth="1"/>
    <col min="14877" max="14877" width="6" style="91" customWidth="1"/>
    <col min="14878" max="14878" width="6.89453125" style="91" customWidth="1"/>
    <col min="14879" max="14879" width="6" style="91" customWidth="1"/>
    <col min="14880" max="14880" width="18.1015625" style="91" customWidth="1"/>
    <col min="14881" max="15118" width="8.89453125" style="91"/>
    <col min="15119" max="15119" width="2.1015625" style="91" customWidth="1"/>
    <col min="15120" max="15120" width="5.89453125" style="91" customWidth="1"/>
    <col min="15121" max="15121" width="6.89453125" style="91" customWidth="1"/>
    <col min="15122" max="15122" width="6.1015625" style="91" customWidth="1"/>
    <col min="15123" max="15123" width="6.89453125" style="91" customWidth="1"/>
    <col min="15124" max="15124" width="10.89453125" style="91" customWidth="1"/>
    <col min="15125" max="15125" width="11.62890625" style="91" customWidth="1"/>
    <col min="15126" max="15126" width="5.62890625" style="91" customWidth="1"/>
    <col min="15127" max="15127" width="6" style="91" customWidth="1"/>
    <col min="15128" max="15128" width="6.62890625" style="91" customWidth="1"/>
    <col min="15129" max="15129" width="11.1015625" style="91" customWidth="1"/>
    <col min="15130" max="15130" width="7.1015625" style="91" customWidth="1"/>
    <col min="15131" max="15132" width="5.89453125" style="91" customWidth="1"/>
    <col min="15133" max="15133" width="6" style="91" customWidth="1"/>
    <col min="15134" max="15134" width="6.89453125" style="91" customWidth="1"/>
    <col min="15135" max="15135" width="6" style="91" customWidth="1"/>
    <col min="15136" max="15136" width="18.1015625" style="91" customWidth="1"/>
    <col min="15137" max="15374" width="8.89453125" style="91"/>
    <col min="15375" max="15375" width="2.1015625" style="91" customWidth="1"/>
    <col min="15376" max="15376" width="5.89453125" style="91" customWidth="1"/>
    <col min="15377" max="15377" width="6.89453125" style="91" customWidth="1"/>
    <col min="15378" max="15378" width="6.1015625" style="91" customWidth="1"/>
    <col min="15379" max="15379" width="6.89453125" style="91" customWidth="1"/>
    <col min="15380" max="15380" width="10.89453125" style="91" customWidth="1"/>
    <col min="15381" max="15381" width="11.62890625" style="91" customWidth="1"/>
    <col min="15382" max="15382" width="5.62890625" style="91" customWidth="1"/>
    <col min="15383" max="15383" width="6" style="91" customWidth="1"/>
    <col min="15384" max="15384" width="6.62890625" style="91" customWidth="1"/>
    <col min="15385" max="15385" width="11.1015625" style="91" customWidth="1"/>
    <col min="15386" max="15386" width="7.1015625" style="91" customWidth="1"/>
    <col min="15387" max="15388" width="5.89453125" style="91" customWidth="1"/>
    <col min="15389" max="15389" width="6" style="91" customWidth="1"/>
    <col min="15390" max="15390" width="6.89453125" style="91" customWidth="1"/>
    <col min="15391" max="15391" width="6" style="91" customWidth="1"/>
    <col min="15392" max="15392" width="18.1015625" style="91" customWidth="1"/>
    <col min="15393" max="15630" width="8.89453125" style="91"/>
    <col min="15631" max="15631" width="2.1015625" style="91" customWidth="1"/>
    <col min="15632" max="15632" width="5.89453125" style="91" customWidth="1"/>
    <col min="15633" max="15633" width="6.89453125" style="91" customWidth="1"/>
    <col min="15634" max="15634" width="6.1015625" style="91" customWidth="1"/>
    <col min="15635" max="15635" width="6.89453125" style="91" customWidth="1"/>
    <col min="15636" max="15636" width="10.89453125" style="91" customWidth="1"/>
    <col min="15637" max="15637" width="11.62890625" style="91" customWidth="1"/>
    <col min="15638" max="15638" width="5.62890625" style="91" customWidth="1"/>
    <col min="15639" max="15639" width="6" style="91" customWidth="1"/>
    <col min="15640" max="15640" width="6.62890625" style="91" customWidth="1"/>
    <col min="15641" max="15641" width="11.1015625" style="91" customWidth="1"/>
    <col min="15642" max="15642" width="7.1015625" style="91" customWidth="1"/>
    <col min="15643" max="15644" width="5.89453125" style="91" customWidth="1"/>
    <col min="15645" max="15645" width="6" style="91" customWidth="1"/>
    <col min="15646" max="15646" width="6.89453125" style="91" customWidth="1"/>
    <col min="15647" max="15647" width="6" style="91" customWidth="1"/>
    <col min="15648" max="15648" width="18.1015625" style="91" customWidth="1"/>
    <col min="15649" max="15886" width="8.89453125" style="91"/>
    <col min="15887" max="15887" width="2.1015625" style="91" customWidth="1"/>
    <col min="15888" max="15888" width="5.89453125" style="91" customWidth="1"/>
    <col min="15889" max="15889" width="6.89453125" style="91" customWidth="1"/>
    <col min="15890" max="15890" width="6.1015625" style="91" customWidth="1"/>
    <col min="15891" max="15891" width="6.89453125" style="91" customWidth="1"/>
    <col min="15892" max="15892" width="10.89453125" style="91" customWidth="1"/>
    <col min="15893" max="15893" width="11.62890625" style="91" customWidth="1"/>
    <col min="15894" max="15894" width="5.62890625" style="91" customWidth="1"/>
    <col min="15895" max="15895" width="6" style="91" customWidth="1"/>
    <col min="15896" max="15896" width="6.62890625" style="91" customWidth="1"/>
    <col min="15897" max="15897" width="11.1015625" style="91" customWidth="1"/>
    <col min="15898" max="15898" width="7.1015625" style="91" customWidth="1"/>
    <col min="15899" max="15900" width="5.89453125" style="91" customWidth="1"/>
    <col min="15901" max="15901" width="6" style="91" customWidth="1"/>
    <col min="15902" max="15902" width="6.89453125" style="91" customWidth="1"/>
    <col min="15903" max="15903" width="6" style="91" customWidth="1"/>
    <col min="15904" max="15904" width="18.1015625" style="91" customWidth="1"/>
    <col min="15905" max="16142" width="8.89453125" style="91"/>
    <col min="16143" max="16143" width="2.1015625" style="91" customWidth="1"/>
    <col min="16144" max="16144" width="5.89453125" style="91" customWidth="1"/>
    <col min="16145" max="16145" width="6.89453125" style="91" customWidth="1"/>
    <col min="16146" max="16146" width="6.1015625" style="91" customWidth="1"/>
    <col min="16147" max="16147" width="6.89453125" style="91" customWidth="1"/>
    <col min="16148" max="16148" width="10.89453125" style="91" customWidth="1"/>
    <col min="16149" max="16149" width="11.62890625" style="91" customWidth="1"/>
    <col min="16150" max="16150" width="5.62890625" style="91" customWidth="1"/>
    <col min="16151" max="16151" width="6" style="91" customWidth="1"/>
    <col min="16152" max="16152" width="6.62890625" style="91" customWidth="1"/>
    <col min="16153" max="16153" width="11.1015625" style="91" customWidth="1"/>
    <col min="16154" max="16154" width="7.1015625" style="91" customWidth="1"/>
    <col min="16155" max="16156" width="5.89453125" style="91" customWidth="1"/>
    <col min="16157" max="16157" width="6" style="91" customWidth="1"/>
    <col min="16158" max="16158" width="6.89453125" style="91" customWidth="1"/>
    <col min="16159" max="16159" width="6" style="91" customWidth="1"/>
    <col min="16160" max="16160" width="18.1015625" style="91" customWidth="1"/>
    <col min="16161" max="16384" width="8.89453125" style="91"/>
  </cols>
  <sheetData>
    <row r="1" spans="2:36" ht="10" customHeight="1" x14ac:dyDescent="0.4"/>
    <row r="2" spans="2:36" ht="17.5" customHeight="1" thickBot="1" x14ac:dyDescent="0.45">
      <c r="B2" s="372" t="s">
        <v>414</v>
      </c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</row>
    <row r="3" spans="2:36" s="92" customFormat="1" ht="17.5" customHeight="1" x14ac:dyDescent="0.4">
      <c r="B3" s="374" t="s">
        <v>412</v>
      </c>
      <c r="C3" s="375" t="s">
        <v>411</v>
      </c>
      <c r="D3" s="376" t="s">
        <v>410</v>
      </c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8"/>
      <c r="AA3" s="379" t="s">
        <v>409</v>
      </c>
      <c r="AB3" s="380"/>
      <c r="AC3" s="380"/>
      <c r="AD3" s="380"/>
      <c r="AE3" s="380"/>
      <c r="AF3" s="380"/>
      <c r="AG3" s="380"/>
      <c r="AH3" s="380"/>
      <c r="AI3" s="380"/>
      <c r="AJ3" s="381"/>
    </row>
    <row r="4" spans="2:36" s="92" customFormat="1" ht="17.5" customHeight="1" x14ac:dyDescent="0.4">
      <c r="B4" s="350"/>
      <c r="C4" s="353"/>
      <c r="D4" s="365" t="s">
        <v>408</v>
      </c>
      <c r="E4" s="266"/>
      <c r="F4" s="266"/>
      <c r="G4" s="266"/>
      <c r="H4" s="266"/>
      <c r="I4" s="266"/>
      <c r="J4" s="366" t="s">
        <v>407</v>
      </c>
      <c r="K4" s="343"/>
      <c r="L4" s="343"/>
      <c r="M4" s="343"/>
      <c r="N4" s="343"/>
      <c r="O4" s="343"/>
      <c r="P4" s="343"/>
      <c r="Q4" s="343"/>
      <c r="R4" s="343"/>
      <c r="S4" s="343"/>
      <c r="T4" s="342"/>
      <c r="U4" s="341" t="s">
        <v>406</v>
      </c>
      <c r="V4" s="343"/>
      <c r="W4" s="343"/>
      <c r="X4" s="343"/>
      <c r="Y4" s="343"/>
      <c r="Z4" s="342"/>
      <c r="AA4" s="341" t="s">
        <v>405</v>
      </c>
      <c r="AB4" s="367" t="s">
        <v>404</v>
      </c>
      <c r="AC4" s="369" t="s">
        <v>403</v>
      </c>
      <c r="AD4" s="369" t="s">
        <v>309</v>
      </c>
      <c r="AE4" s="369" t="s">
        <v>402</v>
      </c>
      <c r="AF4" s="370" t="s">
        <v>401</v>
      </c>
      <c r="AG4" s="369" t="s">
        <v>400</v>
      </c>
      <c r="AH4" s="370" t="s">
        <v>399</v>
      </c>
      <c r="AI4" s="369" t="s">
        <v>398</v>
      </c>
      <c r="AJ4" s="371" t="s">
        <v>397</v>
      </c>
    </row>
    <row r="5" spans="2:36" s="92" customFormat="1" ht="37.5" customHeight="1" x14ac:dyDescent="0.4">
      <c r="B5" s="357"/>
      <c r="C5" s="359"/>
      <c r="D5" s="112" t="s">
        <v>396</v>
      </c>
      <c r="E5" s="109" t="s">
        <v>395</v>
      </c>
      <c r="F5" s="109" t="s">
        <v>394</v>
      </c>
      <c r="G5" s="109" t="s">
        <v>393</v>
      </c>
      <c r="H5" s="109" t="s">
        <v>384</v>
      </c>
      <c r="I5" s="170" t="s">
        <v>383</v>
      </c>
      <c r="J5" s="112" t="s">
        <v>387</v>
      </c>
      <c r="K5" s="109" t="s">
        <v>386</v>
      </c>
      <c r="L5" s="109" t="s">
        <v>385</v>
      </c>
      <c r="M5" s="109" t="s">
        <v>392</v>
      </c>
      <c r="N5" s="109" t="s">
        <v>392</v>
      </c>
      <c r="O5" s="109" t="s">
        <v>384</v>
      </c>
      <c r="P5" s="109" t="s">
        <v>391</v>
      </c>
      <c r="Q5" s="109" t="s">
        <v>390</v>
      </c>
      <c r="R5" s="109" t="s">
        <v>383</v>
      </c>
      <c r="S5" s="109" t="s">
        <v>389</v>
      </c>
      <c r="T5" s="168" t="s">
        <v>388</v>
      </c>
      <c r="U5" s="112" t="s">
        <v>387</v>
      </c>
      <c r="V5" s="169" t="s">
        <v>386</v>
      </c>
      <c r="W5" s="109" t="s">
        <v>385</v>
      </c>
      <c r="X5" s="109" t="s">
        <v>384</v>
      </c>
      <c r="Y5" s="109" t="s">
        <v>383</v>
      </c>
      <c r="Z5" s="168" t="s">
        <v>382</v>
      </c>
      <c r="AA5" s="355"/>
      <c r="AB5" s="368"/>
      <c r="AC5" s="334"/>
      <c r="AD5" s="334"/>
      <c r="AE5" s="334"/>
      <c r="AF5" s="334"/>
      <c r="AG5" s="334"/>
      <c r="AH5" s="334"/>
      <c r="AI5" s="334"/>
      <c r="AJ5" s="340"/>
    </row>
    <row r="6" spans="2:36" s="92" customFormat="1" ht="17.5" customHeight="1" x14ac:dyDescent="0.4">
      <c r="B6" s="349" t="s">
        <v>381</v>
      </c>
      <c r="C6" s="352" t="s">
        <v>413</v>
      </c>
      <c r="D6" s="104" t="s">
        <v>281</v>
      </c>
      <c r="E6" s="103" t="s">
        <v>281</v>
      </c>
      <c r="F6" s="103" t="s">
        <v>4</v>
      </c>
      <c r="G6" s="103" t="s">
        <v>281</v>
      </c>
      <c r="H6" s="103" t="s">
        <v>284</v>
      </c>
      <c r="I6" s="167" t="s">
        <v>284</v>
      </c>
      <c r="J6" s="104" t="s">
        <v>281</v>
      </c>
      <c r="K6" s="103" t="s">
        <v>281</v>
      </c>
      <c r="L6" s="103" t="s">
        <v>284</v>
      </c>
      <c r="M6" s="103" t="s">
        <v>284</v>
      </c>
      <c r="N6" s="103" t="s">
        <v>284</v>
      </c>
      <c r="O6" s="103" t="s">
        <v>284</v>
      </c>
      <c r="P6" s="103" t="s">
        <v>284</v>
      </c>
      <c r="Q6" s="103" t="s">
        <v>284</v>
      </c>
      <c r="R6" s="103" t="s">
        <v>284</v>
      </c>
      <c r="S6" s="103" t="s">
        <v>284</v>
      </c>
      <c r="T6" s="134" t="s">
        <v>284</v>
      </c>
      <c r="U6" s="104" t="s">
        <v>281</v>
      </c>
      <c r="V6" s="166" t="s">
        <v>281</v>
      </c>
      <c r="W6" s="103" t="s">
        <v>284</v>
      </c>
      <c r="X6" s="103" t="s">
        <v>284</v>
      </c>
      <c r="Y6" s="103" t="s">
        <v>284</v>
      </c>
      <c r="Z6" s="134" t="s">
        <v>284</v>
      </c>
      <c r="AA6" s="104" t="s">
        <v>300</v>
      </c>
      <c r="AB6" s="103" t="s">
        <v>300</v>
      </c>
      <c r="AC6" s="103" t="s">
        <v>377</v>
      </c>
      <c r="AD6" s="103" t="s">
        <v>300</v>
      </c>
      <c r="AE6" s="102" t="s">
        <v>377</v>
      </c>
      <c r="AF6" s="101" t="s">
        <v>379</v>
      </c>
      <c r="AG6" s="103" t="s">
        <v>300</v>
      </c>
      <c r="AH6" s="101" t="s">
        <v>378</v>
      </c>
      <c r="AI6" s="102" t="s">
        <v>377</v>
      </c>
      <c r="AJ6" s="100" t="s">
        <v>377</v>
      </c>
    </row>
    <row r="7" spans="2:36" s="92" customFormat="1" ht="15" customHeight="1" x14ac:dyDescent="0.4">
      <c r="B7" s="350"/>
      <c r="C7" s="353"/>
      <c r="D7" s="125">
        <v>1</v>
      </c>
      <c r="E7" s="125">
        <v>2</v>
      </c>
      <c r="F7" s="125">
        <v>3</v>
      </c>
      <c r="G7" s="125">
        <v>4</v>
      </c>
      <c r="H7" s="125">
        <v>5</v>
      </c>
      <c r="I7" s="125">
        <v>6</v>
      </c>
      <c r="J7" s="125">
        <v>7</v>
      </c>
      <c r="K7" s="125">
        <v>8</v>
      </c>
      <c r="L7" s="125">
        <v>9</v>
      </c>
      <c r="M7" s="125">
        <v>10</v>
      </c>
      <c r="N7" s="125">
        <v>11</v>
      </c>
      <c r="O7" s="125">
        <v>12</v>
      </c>
      <c r="P7" s="125">
        <v>13</v>
      </c>
      <c r="Q7" s="125">
        <v>14</v>
      </c>
      <c r="R7" s="125">
        <v>15</v>
      </c>
      <c r="S7" s="125">
        <v>16</v>
      </c>
      <c r="T7" s="125">
        <v>17</v>
      </c>
      <c r="U7" s="160"/>
      <c r="V7" s="159"/>
      <c r="W7" s="120"/>
      <c r="X7" s="124"/>
      <c r="Y7" s="124"/>
      <c r="Z7" s="158">
        <f>U7/D7</f>
        <v>0</v>
      </c>
      <c r="AA7" s="157"/>
      <c r="AB7" s="148"/>
      <c r="AC7" s="124"/>
      <c r="AD7" s="124"/>
      <c r="AE7" s="128"/>
      <c r="AF7" s="129"/>
      <c r="AG7" s="128"/>
      <c r="AH7" s="129"/>
      <c r="AI7" s="128"/>
      <c r="AJ7" s="156"/>
    </row>
    <row r="8" spans="2:36" s="92" customFormat="1" ht="17.5" customHeight="1" x14ac:dyDescent="0.4">
      <c r="B8" s="350"/>
      <c r="C8" s="353"/>
      <c r="D8" s="341" t="s">
        <v>376</v>
      </c>
      <c r="E8" s="343"/>
      <c r="F8" s="342"/>
      <c r="G8" s="341" t="s">
        <v>375</v>
      </c>
      <c r="H8" s="343"/>
      <c r="I8" s="343"/>
      <c r="J8" s="343"/>
      <c r="K8" s="343"/>
      <c r="L8" s="343"/>
      <c r="M8" s="343"/>
      <c r="N8" s="343"/>
      <c r="O8" s="342"/>
      <c r="P8" s="341" t="s">
        <v>374</v>
      </c>
      <c r="Q8" s="343"/>
      <c r="R8" s="343"/>
      <c r="S8" s="343"/>
      <c r="T8" s="343"/>
      <c r="U8" s="343"/>
      <c r="V8" s="343"/>
      <c r="W8" s="343"/>
      <c r="X8" s="343"/>
      <c r="Y8" s="343"/>
      <c r="Z8" s="343"/>
      <c r="AA8" s="343"/>
      <c r="AB8" s="343"/>
      <c r="AC8" s="343"/>
      <c r="AD8" s="342"/>
      <c r="AE8" s="344" t="s">
        <v>339</v>
      </c>
      <c r="AF8" s="343"/>
      <c r="AG8" s="343"/>
      <c r="AH8" s="343"/>
      <c r="AI8" s="343"/>
      <c r="AJ8" s="345"/>
    </row>
    <row r="9" spans="2:36" s="92" customFormat="1" ht="15" customHeight="1" x14ac:dyDescent="0.4">
      <c r="B9" s="350"/>
      <c r="C9" s="353"/>
      <c r="D9" s="346" t="s">
        <v>373</v>
      </c>
      <c r="E9" s="335" t="s">
        <v>372</v>
      </c>
      <c r="F9" s="337" t="s">
        <v>371</v>
      </c>
      <c r="G9" s="346" t="s">
        <v>370</v>
      </c>
      <c r="H9" s="334"/>
      <c r="I9" s="339" t="s">
        <v>369</v>
      </c>
      <c r="J9" s="339" t="s">
        <v>368</v>
      </c>
      <c r="K9" s="339" t="s">
        <v>367</v>
      </c>
      <c r="L9" s="339" t="s">
        <v>366</v>
      </c>
      <c r="M9" s="339" t="s">
        <v>365</v>
      </c>
      <c r="N9" s="339" t="s">
        <v>364</v>
      </c>
      <c r="O9" s="347" t="s">
        <v>363</v>
      </c>
      <c r="P9" s="346" t="s">
        <v>362</v>
      </c>
      <c r="Q9" s="334"/>
      <c r="R9" s="335" t="s">
        <v>361</v>
      </c>
      <c r="S9" s="334"/>
      <c r="T9" s="334"/>
      <c r="U9" s="335" t="s">
        <v>360</v>
      </c>
      <c r="V9" s="333" t="s">
        <v>359</v>
      </c>
      <c r="W9" s="334"/>
      <c r="X9" s="333" t="s">
        <v>358</v>
      </c>
      <c r="Y9" s="334"/>
      <c r="Z9" s="334"/>
      <c r="AA9" s="333" t="s">
        <v>357</v>
      </c>
      <c r="AB9" s="335" t="s">
        <v>356</v>
      </c>
      <c r="AC9" s="336" t="s">
        <v>355</v>
      </c>
      <c r="AD9" s="337" t="s">
        <v>354</v>
      </c>
      <c r="AE9" s="348" t="s">
        <v>353</v>
      </c>
      <c r="AF9" s="334"/>
      <c r="AG9" s="334"/>
      <c r="AH9" s="339" t="s">
        <v>335</v>
      </c>
      <c r="AI9" s="334"/>
      <c r="AJ9" s="340"/>
    </row>
    <row r="10" spans="2:36" s="92" customFormat="1" ht="15" customHeight="1" x14ac:dyDescent="0.4">
      <c r="B10" s="350"/>
      <c r="C10" s="353"/>
      <c r="D10" s="355"/>
      <c r="E10" s="334"/>
      <c r="F10" s="338"/>
      <c r="G10" s="111" t="s">
        <v>352</v>
      </c>
      <c r="H10" s="110" t="s">
        <v>351</v>
      </c>
      <c r="I10" s="334"/>
      <c r="J10" s="334"/>
      <c r="K10" s="334"/>
      <c r="L10" s="334"/>
      <c r="M10" s="334"/>
      <c r="N10" s="334"/>
      <c r="O10" s="338"/>
      <c r="P10" s="111" t="s">
        <v>350</v>
      </c>
      <c r="Q10" s="110" t="s">
        <v>349</v>
      </c>
      <c r="R10" s="110" t="s">
        <v>349</v>
      </c>
      <c r="S10" s="110" t="s">
        <v>348</v>
      </c>
      <c r="T10" s="140" t="s">
        <v>347</v>
      </c>
      <c r="U10" s="334"/>
      <c r="V10" s="140" t="s">
        <v>350</v>
      </c>
      <c r="W10" s="110" t="s">
        <v>349</v>
      </c>
      <c r="X10" s="140" t="s">
        <v>349</v>
      </c>
      <c r="Y10" s="110" t="s">
        <v>348</v>
      </c>
      <c r="Z10" s="140" t="s">
        <v>347</v>
      </c>
      <c r="AA10" s="334"/>
      <c r="AB10" s="334"/>
      <c r="AC10" s="334"/>
      <c r="AD10" s="338"/>
      <c r="AE10" s="112" t="s">
        <v>1</v>
      </c>
      <c r="AF10" s="109" t="s">
        <v>12</v>
      </c>
      <c r="AG10" s="184" t="s">
        <v>15</v>
      </c>
      <c r="AH10" s="106" t="s">
        <v>103</v>
      </c>
      <c r="AI10" s="109" t="s">
        <v>346</v>
      </c>
      <c r="AJ10" s="155" t="s">
        <v>345</v>
      </c>
    </row>
    <row r="11" spans="2:36" s="92" customFormat="1" ht="17.5" customHeight="1" x14ac:dyDescent="0.4">
      <c r="B11" s="350"/>
      <c r="C11" s="353"/>
      <c r="D11" s="111" t="s">
        <v>4</v>
      </c>
      <c r="E11" s="110" t="s">
        <v>4</v>
      </c>
      <c r="F11" s="139" t="s">
        <v>4</v>
      </c>
      <c r="G11" s="104" t="s">
        <v>302</v>
      </c>
      <c r="H11" s="103" t="s">
        <v>283</v>
      </c>
      <c r="I11" s="103" t="s">
        <v>344</v>
      </c>
      <c r="J11" s="103" t="s">
        <v>302</v>
      </c>
      <c r="K11" s="135" t="s">
        <v>305</v>
      </c>
      <c r="L11" s="103" t="s">
        <v>304</v>
      </c>
      <c r="M11" s="135" t="s">
        <v>305</v>
      </c>
      <c r="N11" s="135" t="s">
        <v>305</v>
      </c>
      <c r="O11" s="134" t="s">
        <v>304</v>
      </c>
      <c r="P11" s="104" t="s">
        <v>284</v>
      </c>
      <c r="Q11" s="102" t="s">
        <v>284</v>
      </c>
      <c r="R11" s="103" t="s">
        <v>284</v>
      </c>
      <c r="S11" s="102" t="s">
        <v>284</v>
      </c>
      <c r="T11" s="101" t="s">
        <v>4</v>
      </c>
      <c r="U11" s="102" t="s">
        <v>283</v>
      </c>
      <c r="V11" s="101" t="s">
        <v>284</v>
      </c>
      <c r="W11" s="102" t="s">
        <v>283</v>
      </c>
      <c r="X11" s="101" t="s">
        <v>283</v>
      </c>
      <c r="Y11" s="102" t="s">
        <v>283</v>
      </c>
      <c r="Z11" s="154" t="s">
        <v>4</v>
      </c>
      <c r="AA11" s="154" t="s">
        <v>344</v>
      </c>
      <c r="AB11" s="135" t="s">
        <v>343</v>
      </c>
      <c r="AC11" s="135" t="s">
        <v>343</v>
      </c>
      <c r="AD11" s="153" t="s">
        <v>4</v>
      </c>
      <c r="AE11" s="137" t="s">
        <v>304</v>
      </c>
      <c r="AF11" s="107" t="s">
        <v>305</v>
      </c>
      <c r="AG11" s="185" t="s">
        <v>284</v>
      </c>
      <c r="AH11" s="106" t="s">
        <v>306</v>
      </c>
      <c r="AI11" s="106" t="s">
        <v>306</v>
      </c>
      <c r="AJ11" s="133" t="s">
        <v>306</v>
      </c>
    </row>
    <row r="12" spans="2:36" s="92" customFormat="1" ht="17.5" customHeight="1" x14ac:dyDescent="0.4">
      <c r="B12" s="350"/>
      <c r="C12" s="353"/>
      <c r="D12" s="152" t="s">
        <v>342</v>
      </c>
      <c r="E12" s="151"/>
      <c r="F12" s="150"/>
      <c r="G12" s="125"/>
      <c r="H12" s="124"/>
      <c r="I12" s="124"/>
      <c r="J12" s="149"/>
      <c r="K12" s="124"/>
      <c r="L12" s="124"/>
      <c r="M12" s="148"/>
      <c r="N12" s="147"/>
      <c r="O12" s="144"/>
      <c r="P12" s="146">
        <v>29.1</v>
      </c>
      <c r="Q12" s="127" t="s">
        <v>341</v>
      </c>
      <c r="R12" s="124"/>
      <c r="S12" s="124">
        <f>R12-33.1</f>
        <v>-33.1</v>
      </c>
      <c r="T12" s="129"/>
      <c r="U12" s="145" t="s">
        <v>340</v>
      </c>
      <c r="V12" s="142">
        <v>1.6</v>
      </c>
      <c r="W12" s="127">
        <v>17.600000000000001</v>
      </c>
      <c r="X12" s="124"/>
      <c r="Y12" s="124">
        <f>X12-W12</f>
        <v>-17.600000000000001</v>
      </c>
      <c r="Z12" s="124"/>
      <c r="AA12" s="127">
        <v>6.28</v>
      </c>
      <c r="AB12" s="124"/>
      <c r="AC12" s="124">
        <f>AB12-AA12</f>
        <v>-6.28</v>
      </c>
      <c r="AD12" s="144"/>
      <c r="AE12" s="143"/>
      <c r="AF12" s="142"/>
      <c r="AG12" s="186"/>
      <c r="AH12" s="129"/>
      <c r="AI12" s="128"/>
      <c r="AJ12" s="141"/>
    </row>
    <row r="13" spans="2:36" s="92" customFormat="1" ht="15" customHeight="1" x14ac:dyDescent="0.4">
      <c r="B13" s="350"/>
      <c r="C13" s="353"/>
      <c r="D13" s="341" t="s">
        <v>339</v>
      </c>
      <c r="E13" s="342"/>
      <c r="F13" s="341" t="s">
        <v>338</v>
      </c>
      <c r="G13" s="343"/>
      <c r="H13" s="343"/>
      <c r="I13" s="343"/>
      <c r="J13" s="343"/>
      <c r="K13" s="343"/>
      <c r="L13" s="343"/>
      <c r="M13" s="342"/>
      <c r="N13" s="341" t="s">
        <v>337</v>
      </c>
      <c r="O13" s="343"/>
      <c r="P13" s="343"/>
      <c r="Q13" s="343"/>
      <c r="R13" s="343"/>
      <c r="S13" s="343"/>
      <c r="T13" s="343"/>
      <c r="U13" s="342"/>
      <c r="V13" s="344" t="s">
        <v>336</v>
      </c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3"/>
      <c r="AH13" s="343"/>
      <c r="AI13" s="343"/>
      <c r="AJ13" s="345"/>
    </row>
    <row r="14" spans="2:36" s="92" customFormat="1" ht="15" customHeight="1" x14ac:dyDescent="0.4">
      <c r="B14" s="350"/>
      <c r="C14" s="353"/>
      <c r="D14" s="346" t="s">
        <v>335</v>
      </c>
      <c r="E14" s="338"/>
      <c r="F14" s="346" t="s">
        <v>334</v>
      </c>
      <c r="G14" s="334"/>
      <c r="H14" s="334"/>
      <c r="I14" s="334"/>
      <c r="J14" s="334"/>
      <c r="K14" s="339" t="s">
        <v>333</v>
      </c>
      <c r="L14" s="334"/>
      <c r="M14" s="338"/>
      <c r="N14" s="346" t="s">
        <v>332</v>
      </c>
      <c r="O14" s="334"/>
      <c r="P14" s="334"/>
      <c r="Q14" s="334"/>
      <c r="R14" s="334"/>
      <c r="S14" s="335" t="s">
        <v>331</v>
      </c>
      <c r="T14" s="334"/>
      <c r="U14" s="338"/>
      <c r="V14" s="348" t="s">
        <v>330</v>
      </c>
      <c r="W14" s="334"/>
      <c r="X14" s="334"/>
      <c r="Y14" s="334"/>
      <c r="Z14" s="339" t="s">
        <v>329</v>
      </c>
      <c r="AA14" s="334"/>
      <c r="AB14" s="334"/>
      <c r="AC14" s="334"/>
      <c r="AD14" s="334"/>
      <c r="AE14" s="334"/>
      <c r="AF14" s="334"/>
      <c r="AG14" s="334"/>
      <c r="AH14" s="334"/>
      <c r="AI14" s="334"/>
      <c r="AJ14" s="340"/>
    </row>
    <row r="15" spans="2:36" s="92" customFormat="1" ht="25" customHeight="1" x14ac:dyDescent="0.4">
      <c r="B15" s="350"/>
      <c r="C15" s="353"/>
      <c r="D15" s="111" t="s">
        <v>328</v>
      </c>
      <c r="E15" s="139" t="s">
        <v>325</v>
      </c>
      <c r="F15" s="111" t="s">
        <v>327</v>
      </c>
      <c r="G15" s="110" t="s">
        <v>320</v>
      </c>
      <c r="H15" s="110" t="s">
        <v>326</v>
      </c>
      <c r="I15" s="109" t="s">
        <v>15</v>
      </c>
      <c r="J15" s="106" t="s">
        <v>325</v>
      </c>
      <c r="K15" s="109" t="s">
        <v>324</v>
      </c>
      <c r="L15" s="109" t="s">
        <v>323</v>
      </c>
      <c r="M15" s="139" t="s">
        <v>322</v>
      </c>
      <c r="N15" s="111" t="s">
        <v>327</v>
      </c>
      <c r="O15" s="110" t="s">
        <v>320</v>
      </c>
      <c r="P15" s="110" t="s">
        <v>326</v>
      </c>
      <c r="Q15" s="110" t="s">
        <v>15</v>
      </c>
      <c r="R15" s="188" t="s">
        <v>325</v>
      </c>
      <c r="S15" s="109" t="s">
        <v>324</v>
      </c>
      <c r="T15" s="109" t="s">
        <v>323</v>
      </c>
      <c r="U15" s="139" t="s">
        <v>322</v>
      </c>
      <c r="V15" s="112" t="s">
        <v>321</v>
      </c>
      <c r="W15" s="109" t="s">
        <v>320</v>
      </c>
      <c r="X15" s="109" t="s">
        <v>319</v>
      </c>
      <c r="Y15" s="184" t="s">
        <v>318</v>
      </c>
      <c r="Z15" s="109" t="s">
        <v>317</v>
      </c>
      <c r="AA15" s="109" t="s">
        <v>316</v>
      </c>
      <c r="AB15" s="109" t="s">
        <v>315</v>
      </c>
      <c r="AC15" s="109" t="s">
        <v>314</v>
      </c>
      <c r="AD15" s="109" t="s">
        <v>313</v>
      </c>
      <c r="AE15" s="109" t="s">
        <v>312</v>
      </c>
      <c r="AF15" s="109" t="s">
        <v>311</v>
      </c>
      <c r="AG15" s="109" t="s">
        <v>310</v>
      </c>
      <c r="AH15" s="109" t="s">
        <v>309</v>
      </c>
      <c r="AI15" s="109" t="s">
        <v>308</v>
      </c>
      <c r="AJ15" s="138" t="s">
        <v>307</v>
      </c>
    </row>
    <row r="16" spans="2:36" s="92" customFormat="1" ht="15" customHeight="1" x14ac:dyDescent="0.4">
      <c r="B16" s="350"/>
      <c r="C16" s="353"/>
      <c r="D16" s="137" t="s">
        <v>306</v>
      </c>
      <c r="E16" s="105" t="s">
        <v>4</v>
      </c>
      <c r="F16" s="108" t="s">
        <v>305</v>
      </c>
      <c r="G16" s="107" t="s">
        <v>305</v>
      </c>
      <c r="H16" s="107" t="s">
        <v>305</v>
      </c>
      <c r="I16" s="106" t="s">
        <v>284</v>
      </c>
      <c r="J16" s="106" t="s">
        <v>4</v>
      </c>
      <c r="K16" s="106" t="s">
        <v>284</v>
      </c>
      <c r="L16" s="106" t="s">
        <v>284</v>
      </c>
      <c r="M16" s="134" t="s">
        <v>284</v>
      </c>
      <c r="N16" s="136" t="s">
        <v>305</v>
      </c>
      <c r="O16" s="110" t="s">
        <v>305</v>
      </c>
      <c r="P16" s="135" t="s">
        <v>305</v>
      </c>
      <c r="Q16" s="103" t="s">
        <v>284</v>
      </c>
      <c r="R16" s="189" t="s">
        <v>4</v>
      </c>
      <c r="S16" s="106" t="s">
        <v>284</v>
      </c>
      <c r="T16" s="106" t="s">
        <v>284</v>
      </c>
      <c r="U16" s="134" t="s">
        <v>284</v>
      </c>
      <c r="V16" s="108" t="s">
        <v>305</v>
      </c>
      <c r="W16" s="107" t="s">
        <v>305</v>
      </c>
      <c r="X16" s="106" t="s">
        <v>304</v>
      </c>
      <c r="Y16" s="185" t="s">
        <v>284</v>
      </c>
      <c r="Z16" s="106" t="s">
        <v>303</v>
      </c>
      <c r="AA16" s="106" t="s">
        <v>302</v>
      </c>
      <c r="AB16" s="106" t="s">
        <v>303</v>
      </c>
      <c r="AC16" s="107" t="s">
        <v>302</v>
      </c>
      <c r="AD16" s="107" t="s">
        <v>283</v>
      </c>
      <c r="AE16" s="107" t="s">
        <v>4</v>
      </c>
      <c r="AF16" s="106" t="s">
        <v>282</v>
      </c>
      <c r="AG16" s="106" t="s">
        <v>301</v>
      </c>
      <c r="AH16" s="106" t="s">
        <v>300</v>
      </c>
      <c r="AI16" s="106" t="s">
        <v>300</v>
      </c>
      <c r="AJ16" s="133" t="s">
        <v>4</v>
      </c>
    </row>
    <row r="17" spans="2:36" s="92" customFormat="1" ht="15" customHeight="1" x14ac:dyDescent="0.4">
      <c r="B17" s="350"/>
      <c r="C17" s="353"/>
      <c r="D17" s="132">
        <v>67</v>
      </c>
      <c r="E17" s="131"/>
      <c r="F17" s="130" t="s">
        <v>299</v>
      </c>
      <c r="G17" s="129">
        <v>21</v>
      </c>
      <c r="H17" s="128">
        <f>G17-F17</f>
        <v>4</v>
      </c>
      <c r="I17" s="127"/>
      <c r="J17" s="124"/>
      <c r="K17" s="124">
        <v>93.5</v>
      </c>
      <c r="L17" s="124">
        <v>4.24</v>
      </c>
      <c r="M17" s="126">
        <f>K17+L17</f>
        <v>97.74</v>
      </c>
      <c r="N17" s="125">
        <v>20</v>
      </c>
      <c r="O17" s="124">
        <v>23</v>
      </c>
      <c r="P17" s="123">
        <f>O17-N17</f>
        <v>3</v>
      </c>
      <c r="Q17" s="120"/>
      <c r="R17" s="187"/>
      <c r="S17" s="120" t="s">
        <v>298</v>
      </c>
      <c r="T17" s="120" t="s">
        <v>297</v>
      </c>
      <c r="U17" s="122">
        <f>S17+T17</f>
        <v>97.45</v>
      </c>
      <c r="V17" s="121"/>
      <c r="W17" s="120"/>
      <c r="X17" s="120"/>
      <c r="Y17" s="187"/>
      <c r="Z17" s="120"/>
      <c r="AA17" s="120"/>
      <c r="AB17" s="120"/>
      <c r="AC17" s="120"/>
      <c r="AD17" s="120"/>
      <c r="AE17" s="119" t="e">
        <f>Z17/AB17</f>
        <v>#DIV/0!</v>
      </c>
      <c r="AF17" s="120"/>
      <c r="AG17" s="120"/>
      <c r="AH17" s="119" t="e">
        <f>AF17/(Z17-AB17)</f>
        <v>#DIV/0!</v>
      </c>
      <c r="AI17" s="118" t="s">
        <v>296</v>
      </c>
      <c r="AJ17" s="117"/>
    </row>
    <row r="18" spans="2:36" s="92" customFormat="1" ht="15" customHeight="1" x14ac:dyDescent="0.4">
      <c r="B18" s="350"/>
      <c r="C18" s="353"/>
      <c r="D18" s="344" t="s">
        <v>295</v>
      </c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2"/>
      <c r="R18" s="116" t="s">
        <v>4</v>
      </c>
      <c r="S18" s="115" t="s">
        <v>4</v>
      </c>
      <c r="T18" s="115" t="s">
        <v>4</v>
      </c>
      <c r="U18" s="115" t="s">
        <v>82</v>
      </c>
      <c r="V18" s="115" t="s">
        <v>82</v>
      </c>
      <c r="W18" s="115" t="s">
        <v>82</v>
      </c>
      <c r="X18" s="115" t="s">
        <v>82</v>
      </c>
      <c r="Y18" s="115" t="s">
        <v>82</v>
      </c>
      <c r="Z18" s="115" t="s">
        <v>82</v>
      </c>
      <c r="AA18" s="115" t="s">
        <v>82</v>
      </c>
      <c r="AB18" s="115" t="s">
        <v>82</v>
      </c>
      <c r="AC18" s="115" t="s">
        <v>82</v>
      </c>
      <c r="AD18" s="115" t="s">
        <v>82</v>
      </c>
      <c r="AE18" s="115" t="s">
        <v>82</v>
      </c>
      <c r="AF18" s="114" t="s">
        <v>82</v>
      </c>
      <c r="AG18" s="114" t="s">
        <v>82</v>
      </c>
      <c r="AH18" s="114" t="s">
        <v>82</v>
      </c>
      <c r="AI18" s="114" t="s">
        <v>82</v>
      </c>
      <c r="AJ18" s="113" t="s">
        <v>82</v>
      </c>
    </row>
    <row r="19" spans="2:36" s="92" customFormat="1" ht="15" customHeight="1" x14ac:dyDescent="0.4">
      <c r="B19" s="350"/>
      <c r="C19" s="353"/>
      <c r="D19" s="348" t="s">
        <v>294</v>
      </c>
      <c r="E19" s="334"/>
      <c r="F19" s="334"/>
      <c r="G19" s="339" t="s">
        <v>293</v>
      </c>
      <c r="H19" s="334"/>
      <c r="I19" s="334"/>
      <c r="J19" s="339" t="s">
        <v>292</v>
      </c>
      <c r="K19" s="334"/>
      <c r="L19" s="334"/>
      <c r="M19" s="339" t="s">
        <v>291</v>
      </c>
      <c r="N19" s="339" t="s">
        <v>290</v>
      </c>
      <c r="O19" s="339" t="s">
        <v>289</v>
      </c>
      <c r="P19" s="339" t="s">
        <v>225</v>
      </c>
      <c r="Q19" s="347" t="s">
        <v>288</v>
      </c>
      <c r="R19" s="104" t="s">
        <v>4</v>
      </c>
      <c r="S19" s="103" t="s">
        <v>4</v>
      </c>
      <c r="T19" s="103" t="s">
        <v>4</v>
      </c>
      <c r="U19" s="103" t="s">
        <v>82</v>
      </c>
      <c r="V19" s="103" t="s">
        <v>82</v>
      </c>
      <c r="W19" s="103" t="s">
        <v>82</v>
      </c>
      <c r="X19" s="103" t="s">
        <v>82</v>
      </c>
      <c r="Y19" s="103" t="s">
        <v>82</v>
      </c>
      <c r="Z19" s="103" t="s">
        <v>82</v>
      </c>
      <c r="AA19" s="103" t="s">
        <v>82</v>
      </c>
      <c r="AB19" s="103" t="s">
        <v>82</v>
      </c>
      <c r="AC19" s="103" t="s">
        <v>82</v>
      </c>
      <c r="AD19" s="103" t="s">
        <v>82</v>
      </c>
      <c r="AE19" s="103" t="s">
        <v>82</v>
      </c>
      <c r="AF19" s="101" t="s">
        <v>82</v>
      </c>
      <c r="AG19" s="101" t="s">
        <v>82</v>
      </c>
      <c r="AH19" s="101" t="s">
        <v>82</v>
      </c>
      <c r="AI19" s="101" t="s">
        <v>82</v>
      </c>
      <c r="AJ19" s="100" t="s">
        <v>82</v>
      </c>
    </row>
    <row r="20" spans="2:36" s="92" customFormat="1" ht="25" customHeight="1" x14ac:dyDescent="0.4">
      <c r="B20" s="350"/>
      <c r="C20" s="353"/>
      <c r="D20" s="112" t="s">
        <v>287</v>
      </c>
      <c r="E20" s="109" t="s">
        <v>286</v>
      </c>
      <c r="F20" s="109" t="s">
        <v>285</v>
      </c>
      <c r="G20" s="109" t="s">
        <v>287</v>
      </c>
      <c r="H20" s="109" t="s">
        <v>286</v>
      </c>
      <c r="I20" s="109" t="s">
        <v>285</v>
      </c>
      <c r="J20" s="109" t="s">
        <v>287</v>
      </c>
      <c r="K20" s="109" t="s">
        <v>286</v>
      </c>
      <c r="L20" s="109" t="s">
        <v>285</v>
      </c>
      <c r="M20" s="334"/>
      <c r="N20" s="334"/>
      <c r="O20" s="334"/>
      <c r="P20" s="334"/>
      <c r="Q20" s="338"/>
      <c r="R20" s="111" t="s">
        <v>4</v>
      </c>
      <c r="S20" s="110" t="s">
        <v>4</v>
      </c>
      <c r="T20" s="110" t="s">
        <v>4</v>
      </c>
      <c r="U20" s="110" t="s">
        <v>82</v>
      </c>
      <c r="V20" s="110" t="s">
        <v>82</v>
      </c>
      <c r="W20" s="109" t="s">
        <v>82</v>
      </c>
      <c r="X20" s="110" t="s">
        <v>82</v>
      </c>
      <c r="Y20" s="110" t="s">
        <v>82</v>
      </c>
      <c r="Z20" s="109" t="s">
        <v>82</v>
      </c>
      <c r="AA20" s="103" t="s">
        <v>82</v>
      </c>
      <c r="AB20" s="103" t="s">
        <v>82</v>
      </c>
      <c r="AC20" s="103" t="s">
        <v>82</v>
      </c>
      <c r="AD20" s="103" t="s">
        <v>82</v>
      </c>
      <c r="AE20" s="103" t="s">
        <v>82</v>
      </c>
      <c r="AF20" s="101" t="s">
        <v>82</v>
      </c>
      <c r="AG20" s="101" t="s">
        <v>82</v>
      </c>
      <c r="AH20" s="101" t="s">
        <v>82</v>
      </c>
      <c r="AI20" s="101" t="s">
        <v>82</v>
      </c>
      <c r="AJ20" s="100" t="s">
        <v>82</v>
      </c>
    </row>
    <row r="21" spans="2:36" s="92" customFormat="1" ht="15" customHeight="1" x14ac:dyDescent="0.4">
      <c r="B21" s="350"/>
      <c r="C21" s="353"/>
      <c r="D21" s="108" t="s">
        <v>284</v>
      </c>
      <c r="E21" s="107" t="s">
        <v>284</v>
      </c>
      <c r="F21" s="106" t="s">
        <v>284</v>
      </c>
      <c r="G21" s="106" t="s">
        <v>283</v>
      </c>
      <c r="H21" s="103" t="s">
        <v>283</v>
      </c>
      <c r="I21" s="103" t="s">
        <v>283</v>
      </c>
      <c r="J21" s="106" t="s">
        <v>283</v>
      </c>
      <c r="K21" s="103" t="s">
        <v>283</v>
      </c>
      <c r="L21" s="103" t="s">
        <v>283</v>
      </c>
      <c r="M21" s="103" t="s">
        <v>282</v>
      </c>
      <c r="N21" s="103" t="s">
        <v>281</v>
      </c>
      <c r="O21" s="106" t="s">
        <v>280</v>
      </c>
      <c r="P21" s="106" t="s">
        <v>4</v>
      </c>
      <c r="Q21" s="105" t="s">
        <v>4</v>
      </c>
      <c r="R21" s="104" t="s">
        <v>4</v>
      </c>
      <c r="S21" s="103" t="s">
        <v>4</v>
      </c>
      <c r="T21" s="103" t="s">
        <v>4</v>
      </c>
      <c r="U21" s="103" t="s">
        <v>82</v>
      </c>
      <c r="V21" s="103" t="s">
        <v>82</v>
      </c>
      <c r="W21" s="103" t="s">
        <v>82</v>
      </c>
      <c r="X21" s="103" t="s">
        <v>82</v>
      </c>
      <c r="Y21" s="103" t="s">
        <v>82</v>
      </c>
      <c r="Z21" s="103" t="s">
        <v>82</v>
      </c>
      <c r="AA21" s="103" t="s">
        <v>82</v>
      </c>
      <c r="AB21" s="103" t="s">
        <v>82</v>
      </c>
      <c r="AC21" s="103" t="s">
        <v>82</v>
      </c>
      <c r="AD21" s="103" t="s">
        <v>82</v>
      </c>
      <c r="AE21" s="102" t="s">
        <v>82</v>
      </c>
      <c r="AF21" s="101" t="s">
        <v>82</v>
      </c>
      <c r="AG21" s="101" t="s">
        <v>82</v>
      </c>
      <c r="AH21" s="101" t="s">
        <v>82</v>
      </c>
      <c r="AI21" s="101" t="s">
        <v>82</v>
      </c>
      <c r="AJ21" s="100" t="s">
        <v>82</v>
      </c>
    </row>
    <row r="22" spans="2:36" s="92" customFormat="1" ht="15" customHeight="1" x14ac:dyDescent="0.4">
      <c r="B22" s="350"/>
      <c r="C22" s="353"/>
      <c r="D22" s="181"/>
      <c r="E22" s="180"/>
      <c r="F22" s="180">
        <f>D22-E22</f>
        <v>0</v>
      </c>
      <c r="G22" s="180"/>
      <c r="H22" s="180"/>
      <c r="I22" s="180">
        <f>G22-H22</f>
        <v>0</v>
      </c>
      <c r="J22" s="180"/>
      <c r="K22" s="180"/>
      <c r="L22" s="180">
        <f>J22-K22</f>
        <v>0</v>
      </c>
      <c r="M22" s="180"/>
      <c r="N22" s="180"/>
      <c r="O22" s="183" t="e">
        <f>N22/M22</f>
        <v>#DIV/0!</v>
      </c>
      <c r="P22" s="180"/>
      <c r="Q22" s="182">
        <v>301</v>
      </c>
      <c r="R22" s="181" t="s">
        <v>4</v>
      </c>
      <c r="S22" s="180" t="s">
        <v>4</v>
      </c>
      <c r="T22" s="180" t="s">
        <v>4</v>
      </c>
      <c r="U22" s="180" t="s">
        <v>82</v>
      </c>
      <c r="V22" s="180" t="s">
        <v>82</v>
      </c>
      <c r="W22" s="180" t="s">
        <v>82</v>
      </c>
      <c r="X22" s="180" t="s">
        <v>82</v>
      </c>
      <c r="Y22" s="180" t="s">
        <v>82</v>
      </c>
      <c r="Z22" s="180" t="s">
        <v>82</v>
      </c>
      <c r="AA22" s="180" t="s">
        <v>82</v>
      </c>
      <c r="AB22" s="180" t="s">
        <v>82</v>
      </c>
      <c r="AC22" s="180" t="s">
        <v>82</v>
      </c>
      <c r="AD22" s="180" t="s">
        <v>82</v>
      </c>
      <c r="AE22" s="179" t="s">
        <v>82</v>
      </c>
      <c r="AF22" s="178" t="s">
        <v>82</v>
      </c>
      <c r="AG22" s="178" t="s">
        <v>82</v>
      </c>
      <c r="AH22" s="178" t="s">
        <v>82</v>
      </c>
      <c r="AI22" s="178" t="s">
        <v>82</v>
      </c>
      <c r="AJ22" s="177" t="s">
        <v>82</v>
      </c>
    </row>
    <row r="23" spans="2:36" s="92" customFormat="1" ht="7.5" customHeight="1" x14ac:dyDescent="0.4">
      <c r="B23" s="176"/>
      <c r="C23" s="175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3"/>
      <c r="AF23" s="172"/>
      <c r="AG23" s="173"/>
      <c r="AH23" s="172"/>
      <c r="AI23" s="172"/>
      <c r="AJ23" s="171"/>
    </row>
    <row r="24" spans="2:36" s="92" customFormat="1" ht="17.5" customHeight="1" x14ac:dyDescent="0.4">
      <c r="B24" s="356" t="s">
        <v>412</v>
      </c>
      <c r="C24" s="358" t="s">
        <v>411</v>
      </c>
      <c r="D24" s="360" t="s">
        <v>410</v>
      </c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2"/>
      <c r="AA24" s="363" t="s">
        <v>409</v>
      </c>
      <c r="AB24" s="364"/>
      <c r="AC24" s="364"/>
      <c r="AD24" s="364"/>
      <c r="AE24" s="364"/>
      <c r="AF24" s="364"/>
      <c r="AG24" s="364"/>
      <c r="AH24" s="364"/>
      <c r="AI24" s="364"/>
      <c r="AJ24" s="308"/>
    </row>
    <row r="25" spans="2:36" s="92" customFormat="1" ht="17.5" customHeight="1" x14ac:dyDescent="0.4">
      <c r="B25" s="350"/>
      <c r="C25" s="353"/>
      <c r="D25" s="365" t="s">
        <v>408</v>
      </c>
      <c r="E25" s="266"/>
      <c r="F25" s="266"/>
      <c r="G25" s="266"/>
      <c r="H25" s="266"/>
      <c r="I25" s="266"/>
      <c r="J25" s="366" t="s">
        <v>407</v>
      </c>
      <c r="K25" s="343"/>
      <c r="L25" s="343"/>
      <c r="M25" s="343"/>
      <c r="N25" s="343"/>
      <c r="O25" s="343"/>
      <c r="P25" s="343"/>
      <c r="Q25" s="343"/>
      <c r="R25" s="343"/>
      <c r="S25" s="343"/>
      <c r="T25" s="342"/>
      <c r="U25" s="341" t="s">
        <v>406</v>
      </c>
      <c r="V25" s="343"/>
      <c r="W25" s="343"/>
      <c r="X25" s="343"/>
      <c r="Y25" s="343"/>
      <c r="Z25" s="342"/>
      <c r="AA25" s="341" t="s">
        <v>405</v>
      </c>
      <c r="AB25" s="367" t="s">
        <v>404</v>
      </c>
      <c r="AC25" s="369" t="s">
        <v>403</v>
      </c>
      <c r="AD25" s="369" t="s">
        <v>309</v>
      </c>
      <c r="AE25" s="369" t="s">
        <v>402</v>
      </c>
      <c r="AF25" s="370" t="s">
        <v>401</v>
      </c>
      <c r="AG25" s="369" t="s">
        <v>400</v>
      </c>
      <c r="AH25" s="370" t="s">
        <v>399</v>
      </c>
      <c r="AI25" s="369" t="s">
        <v>398</v>
      </c>
      <c r="AJ25" s="371" t="s">
        <v>397</v>
      </c>
    </row>
    <row r="26" spans="2:36" s="92" customFormat="1" ht="37.5" customHeight="1" x14ac:dyDescent="0.4">
      <c r="B26" s="357"/>
      <c r="C26" s="359"/>
      <c r="D26" s="112" t="s">
        <v>396</v>
      </c>
      <c r="E26" s="109" t="s">
        <v>395</v>
      </c>
      <c r="F26" s="109" t="s">
        <v>394</v>
      </c>
      <c r="G26" s="109" t="s">
        <v>393</v>
      </c>
      <c r="H26" s="109" t="s">
        <v>384</v>
      </c>
      <c r="I26" s="170" t="s">
        <v>383</v>
      </c>
      <c r="J26" s="112" t="s">
        <v>387</v>
      </c>
      <c r="K26" s="109" t="s">
        <v>386</v>
      </c>
      <c r="L26" s="109" t="s">
        <v>385</v>
      </c>
      <c r="M26" s="109" t="s">
        <v>392</v>
      </c>
      <c r="N26" s="109" t="s">
        <v>392</v>
      </c>
      <c r="O26" s="109" t="s">
        <v>384</v>
      </c>
      <c r="P26" s="109" t="s">
        <v>391</v>
      </c>
      <c r="Q26" s="109" t="s">
        <v>390</v>
      </c>
      <c r="R26" s="109" t="s">
        <v>383</v>
      </c>
      <c r="S26" s="109" t="s">
        <v>389</v>
      </c>
      <c r="T26" s="168" t="s">
        <v>388</v>
      </c>
      <c r="U26" s="112" t="s">
        <v>387</v>
      </c>
      <c r="V26" s="169" t="s">
        <v>386</v>
      </c>
      <c r="W26" s="109" t="s">
        <v>385</v>
      </c>
      <c r="X26" s="109" t="s">
        <v>384</v>
      </c>
      <c r="Y26" s="109" t="s">
        <v>383</v>
      </c>
      <c r="Z26" s="168" t="s">
        <v>382</v>
      </c>
      <c r="AA26" s="355"/>
      <c r="AB26" s="368"/>
      <c r="AC26" s="334"/>
      <c r="AD26" s="334"/>
      <c r="AE26" s="334"/>
      <c r="AF26" s="334"/>
      <c r="AG26" s="334"/>
      <c r="AH26" s="334"/>
      <c r="AI26" s="334"/>
      <c r="AJ26" s="340"/>
    </row>
    <row r="27" spans="2:36" s="92" customFormat="1" ht="17.5" customHeight="1" x14ac:dyDescent="0.4">
      <c r="B27" s="349" t="s">
        <v>381</v>
      </c>
      <c r="C27" s="352" t="s">
        <v>380</v>
      </c>
      <c r="D27" s="104" t="s">
        <v>281</v>
      </c>
      <c r="E27" s="103" t="s">
        <v>281</v>
      </c>
      <c r="F27" s="103" t="s">
        <v>4</v>
      </c>
      <c r="G27" s="103" t="s">
        <v>281</v>
      </c>
      <c r="H27" s="103" t="s">
        <v>284</v>
      </c>
      <c r="I27" s="167" t="s">
        <v>284</v>
      </c>
      <c r="J27" s="104" t="s">
        <v>281</v>
      </c>
      <c r="K27" s="103" t="s">
        <v>281</v>
      </c>
      <c r="L27" s="103" t="s">
        <v>284</v>
      </c>
      <c r="M27" s="103" t="s">
        <v>284</v>
      </c>
      <c r="N27" s="103" t="s">
        <v>284</v>
      </c>
      <c r="O27" s="103" t="s">
        <v>284</v>
      </c>
      <c r="P27" s="103" t="s">
        <v>284</v>
      </c>
      <c r="Q27" s="103" t="s">
        <v>284</v>
      </c>
      <c r="R27" s="103" t="s">
        <v>284</v>
      </c>
      <c r="S27" s="103" t="s">
        <v>284</v>
      </c>
      <c r="T27" s="134" t="s">
        <v>284</v>
      </c>
      <c r="U27" s="104" t="s">
        <v>281</v>
      </c>
      <c r="V27" s="166" t="s">
        <v>281</v>
      </c>
      <c r="W27" s="103" t="s">
        <v>284</v>
      </c>
      <c r="X27" s="103" t="s">
        <v>284</v>
      </c>
      <c r="Y27" s="103" t="s">
        <v>284</v>
      </c>
      <c r="Z27" s="134" t="s">
        <v>284</v>
      </c>
      <c r="AA27" s="104" t="s">
        <v>300</v>
      </c>
      <c r="AB27" s="103" t="s">
        <v>300</v>
      </c>
      <c r="AC27" s="103" t="s">
        <v>377</v>
      </c>
      <c r="AD27" s="103" t="s">
        <v>300</v>
      </c>
      <c r="AE27" s="102" t="s">
        <v>377</v>
      </c>
      <c r="AF27" s="101" t="s">
        <v>379</v>
      </c>
      <c r="AG27" s="103" t="s">
        <v>300</v>
      </c>
      <c r="AH27" s="101" t="s">
        <v>378</v>
      </c>
      <c r="AI27" s="102" t="s">
        <v>377</v>
      </c>
      <c r="AJ27" s="100" t="s">
        <v>377</v>
      </c>
    </row>
    <row r="28" spans="2:36" s="92" customFormat="1" ht="15" customHeight="1" x14ac:dyDescent="0.4">
      <c r="B28" s="350"/>
      <c r="C28" s="353"/>
      <c r="D28" s="125">
        <f>J28+U28</f>
        <v>0</v>
      </c>
      <c r="E28" s="124">
        <f>K28+V28</f>
        <v>0</v>
      </c>
      <c r="F28" s="124"/>
      <c r="G28" s="124"/>
      <c r="H28" s="124"/>
      <c r="I28" s="165"/>
      <c r="J28" s="164"/>
      <c r="K28" s="163"/>
      <c r="L28" s="163"/>
      <c r="M28" s="163"/>
      <c r="N28" s="163"/>
      <c r="O28" s="163"/>
      <c r="P28" s="163"/>
      <c r="Q28" s="163"/>
      <c r="R28" s="163"/>
      <c r="S28" s="162"/>
      <c r="T28" s="161"/>
      <c r="U28" s="160"/>
      <c r="V28" s="159"/>
      <c r="W28" s="120"/>
      <c r="X28" s="124"/>
      <c r="Y28" s="124"/>
      <c r="Z28" s="158" t="e">
        <f>U28/D28</f>
        <v>#DIV/0!</v>
      </c>
      <c r="AA28" s="157"/>
      <c r="AB28" s="148"/>
      <c r="AC28" s="124"/>
      <c r="AD28" s="124"/>
      <c r="AE28" s="128"/>
      <c r="AF28" s="129"/>
      <c r="AG28" s="128"/>
      <c r="AH28" s="129"/>
      <c r="AI28" s="128"/>
      <c r="AJ28" s="156"/>
    </row>
    <row r="29" spans="2:36" s="92" customFormat="1" ht="17.5" customHeight="1" x14ac:dyDescent="0.4">
      <c r="B29" s="350"/>
      <c r="C29" s="353"/>
      <c r="D29" s="341" t="s">
        <v>376</v>
      </c>
      <c r="E29" s="343"/>
      <c r="F29" s="342"/>
      <c r="G29" s="341" t="s">
        <v>375</v>
      </c>
      <c r="H29" s="343"/>
      <c r="I29" s="343"/>
      <c r="J29" s="343"/>
      <c r="K29" s="343"/>
      <c r="L29" s="343"/>
      <c r="M29" s="343"/>
      <c r="N29" s="343"/>
      <c r="O29" s="342"/>
      <c r="P29" s="341" t="s">
        <v>374</v>
      </c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  <c r="AB29" s="343"/>
      <c r="AC29" s="343"/>
      <c r="AD29" s="342"/>
      <c r="AE29" s="344" t="s">
        <v>339</v>
      </c>
      <c r="AF29" s="343"/>
      <c r="AG29" s="343"/>
      <c r="AH29" s="343"/>
      <c r="AI29" s="343"/>
      <c r="AJ29" s="345"/>
    </row>
    <row r="30" spans="2:36" s="92" customFormat="1" ht="15" customHeight="1" x14ac:dyDescent="0.4">
      <c r="B30" s="350"/>
      <c r="C30" s="353"/>
      <c r="D30" s="346" t="s">
        <v>373</v>
      </c>
      <c r="E30" s="335" t="s">
        <v>372</v>
      </c>
      <c r="F30" s="337" t="s">
        <v>371</v>
      </c>
      <c r="G30" s="346" t="s">
        <v>370</v>
      </c>
      <c r="H30" s="334"/>
      <c r="I30" s="339" t="s">
        <v>369</v>
      </c>
      <c r="J30" s="339" t="s">
        <v>368</v>
      </c>
      <c r="K30" s="339" t="s">
        <v>367</v>
      </c>
      <c r="L30" s="339" t="s">
        <v>366</v>
      </c>
      <c r="M30" s="339" t="s">
        <v>365</v>
      </c>
      <c r="N30" s="339" t="s">
        <v>364</v>
      </c>
      <c r="O30" s="347" t="s">
        <v>363</v>
      </c>
      <c r="P30" s="346" t="s">
        <v>362</v>
      </c>
      <c r="Q30" s="334"/>
      <c r="R30" s="335" t="s">
        <v>361</v>
      </c>
      <c r="S30" s="334"/>
      <c r="T30" s="334"/>
      <c r="U30" s="335" t="s">
        <v>360</v>
      </c>
      <c r="V30" s="333" t="s">
        <v>359</v>
      </c>
      <c r="W30" s="334"/>
      <c r="X30" s="333" t="s">
        <v>358</v>
      </c>
      <c r="Y30" s="334"/>
      <c r="Z30" s="334"/>
      <c r="AA30" s="333" t="s">
        <v>357</v>
      </c>
      <c r="AB30" s="335" t="s">
        <v>356</v>
      </c>
      <c r="AC30" s="336" t="s">
        <v>355</v>
      </c>
      <c r="AD30" s="337" t="s">
        <v>354</v>
      </c>
      <c r="AE30" s="348" t="s">
        <v>353</v>
      </c>
      <c r="AF30" s="334"/>
      <c r="AG30" s="334"/>
      <c r="AH30" s="339" t="s">
        <v>335</v>
      </c>
      <c r="AI30" s="334"/>
      <c r="AJ30" s="340"/>
    </row>
    <row r="31" spans="2:36" s="92" customFormat="1" ht="15" customHeight="1" x14ac:dyDescent="0.4">
      <c r="B31" s="350"/>
      <c r="C31" s="353"/>
      <c r="D31" s="355"/>
      <c r="E31" s="334"/>
      <c r="F31" s="338"/>
      <c r="G31" s="111" t="s">
        <v>352</v>
      </c>
      <c r="H31" s="110" t="s">
        <v>351</v>
      </c>
      <c r="I31" s="334"/>
      <c r="J31" s="334"/>
      <c r="K31" s="334"/>
      <c r="L31" s="334"/>
      <c r="M31" s="334"/>
      <c r="N31" s="334"/>
      <c r="O31" s="338"/>
      <c r="P31" s="111" t="s">
        <v>350</v>
      </c>
      <c r="Q31" s="110" t="s">
        <v>349</v>
      </c>
      <c r="R31" s="110" t="s">
        <v>349</v>
      </c>
      <c r="S31" s="110" t="s">
        <v>348</v>
      </c>
      <c r="T31" s="140" t="s">
        <v>347</v>
      </c>
      <c r="U31" s="334"/>
      <c r="V31" s="140" t="s">
        <v>350</v>
      </c>
      <c r="W31" s="110" t="s">
        <v>349</v>
      </c>
      <c r="X31" s="140" t="s">
        <v>349</v>
      </c>
      <c r="Y31" s="110" t="s">
        <v>348</v>
      </c>
      <c r="Z31" s="140" t="s">
        <v>347</v>
      </c>
      <c r="AA31" s="334"/>
      <c r="AB31" s="334"/>
      <c r="AC31" s="334"/>
      <c r="AD31" s="338"/>
      <c r="AE31" s="112" t="s">
        <v>1</v>
      </c>
      <c r="AF31" s="109" t="s">
        <v>12</v>
      </c>
      <c r="AG31" s="109" t="s">
        <v>15</v>
      </c>
      <c r="AH31" s="106" t="s">
        <v>103</v>
      </c>
      <c r="AI31" s="109" t="s">
        <v>346</v>
      </c>
      <c r="AJ31" s="155" t="s">
        <v>345</v>
      </c>
    </row>
    <row r="32" spans="2:36" s="92" customFormat="1" ht="17.5" customHeight="1" x14ac:dyDescent="0.4">
      <c r="B32" s="350"/>
      <c r="C32" s="353"/>
      <c r="D32" s="111" t="s">
        <v>4</v>
      </c>
      <c r="E32" s="110" t="s">
        <v>4</v>
      </c>
      <c r="F32" s="139" t="s">
        <v>4</v>
      </c>
      <c r="G32" s="104" t="s">
        <v>302</v>
      </c>
      <c r="H32" s="103" t="s">
        <v>283</v>
      </c>
      <c r="I32" s="103" t="s">
        <v>344</v>
      </c>
      <c r="J32" s="103" t="s">
        <v>302</v>
      </c>
      <c r="K32" s="135" t="s">
        <v>305</v>
      </c>
      <c r="L32" s="103" t="s">
        <v>304</v>
      </c>
      <c r="M32" s="135" t="s">
        <v>305</v>
      </c>
      <c r="N32" s="135" t="s">
        <v>305</v>
      </c>
      <c r="O32" s="134" t="s">
        <v>304</v>
      </c>
      <c r="P32" s="104" t="s">
        <v>284</v>
      </c>
      <c r="Q32" s="102" t="s">
        <v>284</v>
      </c>
      <c r="R32" s="103" t="s">
        <v>284</v>
      </c>
      <c r="S32" s="102" t="s">
        <v>284</v>
      </c>
      <c r="T32" s="101" t="s">
        <v>4</v>
      </c>
      <c r="U32" s="102" t="s">
        <v>283</v>
      </c>
      <c r="V32" s="101" t="s">
        <v>284</v>
      </c>
      <c r="W32" s="102" t="s">
        <v>283</v>
      </c>
      <c r="X32" s="101" t="s">
        <v>283</v>
      </c>
      <c r="Y32" s="102" t="s">
        <v>283</v>
      </c>
      <c r="Z32" s="154" t="s">
        <v>4</v>
      </c>
      <c r="AA32" s="154" t="s">
        <v>344</v>
      </c>
      <c r="AB32" s="135" t="s">
        <v>343</v>
      </c>
      <c r="AC32" s="135" t="s">
        <v>343</v>
      </c>
      <c r="AD32" s="153" t="s">
        <v>4</v>
      </c>
      <c r="AE32" s="137" t="s">
        <v>304</v>
      </c>
      <c r="AF32" s="107" t="s">
        <v>305</v>
      </c>
      <c r="AG32" s="106" t="s">
        <v>284</v>
      </c>
      <c r="AH32" s="106" t="s">
        <v>306</v>
      </c>
      <c r="AI32" s="106" t="s">
        <v>306</v>
      </c>
      <c r="AJ32" s="133" t="s">
        <v>306</v>
      </c>
    </row>
    <row r="33" spans="2:36" s="92" customFormat="1" ht="17.5" customHeight="1" x14ac:dyDescent="0.4">
      <c r="B33" s="350"/>
      <c r="C33" s="353"/>
      <c r="D33" s="152" t="s">
        <v>342</v>
      </c>
      <c r="E33" s="151"/>
      <c r="F33" s="150"/>
      <c r="G33" s="125"/>
      <c r="H33" s="124"/>
      <c r="I33" s="124"/>
      <c r="J33" s="149"/>
      <c r="K33" s="124"/>
      <c r="L33" s="124"/>
      <c r="M33" s="148"/>
      <c r="N33" s="147"/>
      <c r="O33" s="144"/>
      <c r="P33" s="146">
        <v>29.1</v>
      </c>
      <c r="Q33" s="127" t="s">
        <v>341</v>
      </c>
      <c r="R33" s="124"/>
      <c r="S33" s="124">
        <f>R33-33.1</f>
        <v>-33.1</v>
      </c>
      <c r="T33" s="129"/>
      <c r="U33" s="145" t="s">
        <v>340</v>
      </c>
      <c r="V33" s="142">
        <v>1.6</v>
      </c>
      <c r="W33" s="127">
        <v>17.600000000000001</v>
      </c>
      <c r="X33" s="124"/>
      <c r="Y33" s="124">
        <f>X33-W33</f>
        <v>-17.600000000000001</v>
      </c>
      <c r="Z33" s="124"/>
      <c r="AA33" s="127">
        <v>6.28</v>
      </c>
      <c r="AB33" s="124"/>
      <c r="AC33" s="124">
        <f>AB33-AA33</f>
        <v>-6.28</v>
      </c>
      <c r="AD33" s="144"/>
      <c r="AE33" s="143"/>
      <c r="AF33" s="142"/>
      <c r="AG33" s="128"/>
      <c r="AH33" s="129"/>
      <c r="AI33" s="128"/>
      <c r="AJ33" s="141"/>
    </row>
    <row r="34" spans="2:36" s="92" customFormat="1" ht="15" customHeight="1" x14ac:dyDescent="0.4">
      <c r="B34" s="350"/>
      <c r="C34" s="353"/>
      <c r="D34" s="341" t="s">
        <v>339</v>
      </c>
      <c r="E34" s="342"/>
      <c r="F34" s="341" t="s">
        <v>338</v>
      </c>
      <c r="G34" s="343"/>
      <c r="H34" s="343"/>
      <c r="I34" s="343"/>
      <c r="J34" s="343"/>
      <c r="K34" s="343"/>
      <c r="L34" s="343"/>
      <c r="M34" s="342"/>
      <c r="N34" s="341" t="s">
        <v>337</v>
      </c>
      <c r="O34" s="343"/>
      <c r="P34" s="343"/>
      <c r="Q34" s="343"/>
      <c r="R34" s="343"/>
      <c r="S34" s="343"/>
      <c r="T34" s="343"/>
      <c r="U34" s="342"/>
      <c r="V34" s="344" t="s">
        <v>336</v>
      </c>
      <c r="W34" s="343"/>
      <c r="X34" s="343"/>
      <c r="Y34" s="343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5"/>
    </row>
    <row r="35" spans="2:36" s="92" customFormat="1" ht="15" customHeight="1" x14ac:dyDescent="0.4">
      <c r="B35" s="350"/>
      <c r="C35" s="353"/>
      <c r="D35" s="346" t="s">
        <v>335</v>
      </c>
      <c r="E35" s="338"/>
      <c r="F35" s="346" t="s">
        <v>334</v>
      </c>
      <c r="G35" s="334"/>
      <c r="H35" s="334"/>
      <c r="I35" s="334"/>
      <c r="J35" s="334"/>
      <c r="K35" s="339" t="s">
        <v>333</v>
      </c>
      <c r="L35" s="334"/>
      <c r="M35" s="338"/>
      <c r="N35" s="346" t="s">
        <v>332</v>
      </c>
      <c r="O35" s="334"/>
      <c r="P35" s="334"/>
      <c r="Q35" s="334"/>
      <c r="R35" s="334"/>
      <c r="S35" s="335" t="s">
        <v>331</v>
      </c>
      <c r="T35" s="334"/>
      <c r="U35" s="338"/>
      <c r="V35" s="348" t="s">
        <v>330</v>
      </c>
      <c r="W35" s="334"/>
      <c r="X35" s="334"/>
      <c r="Y35" s="334"/>
      <c r="Z35" s="339" t="s">
        <v>329</v>
      </c>
      <c r="AA35" s="334"/>
      <c r="AB35" s="334"/>
      <c r="AC35" s="334"/>
      <c r="AD35" s="334"/>
      <c r="AE35" s="334"/>
      <c r="AF35" s="334"/>
      <c r="AG35" s="334"/>
      <c r="AH35" s="334"/>
      <c r="AI35" s="334"/>
      <c r="AJ35" s="340"/>
    </row>
    <row r="36" spans="2:36" s="92" customFormat="1" ht="25" customHeight="1" x14ac:dyDescent="0.4">
      <c r="B36" s="350"/>
      <c r="C36" s="353"/>
      <c r="D36" s="111" t="s">
        <v>328</v>
      </c>
      <c r="E36" s="139" t="s">
        <v>325</v>
      </c>
      <c r="F36" s="111" t="s">
        <v>327</v>
      </c>
      <c r="G36" s="110" t="s">
        <v>320</v>
      </c>
      <c r="H36" s="110" t="s">
        <v>326</v>
      </c>
      <c r="I36" s="109" t="s">
        <v>15</v>
      </c>
      <c r="J36" s="106" t="s">
        <v>325</v>
      </c>
      <c r="K36" s="109" t="s">
        <v>324</v>
      </c>
      <c r="L36" s="109" t="s">
        <v>323</v>
      </c>
      <c r="M36" s="139" t="s">
        <v>322</v>
      </c>
      <c r="N36" s="111" t="s">
        <v>327</v>
      </c>
      <c r="O36" s="110" t="s">
        <v>320</v>
      </c>
      <c r="P36" s="110" t="s">
        <v>326</v>
      </c>
      <c r="Q36" s="110" t="s">
        <v>15</v>
      </c>
      <c r="R36" s="140" t="s">
        <v>325</v>
      </c>
      <c r="S36" s="109" t="s">
        <v>324</v>
      </c>
      <c r="T36" s="109" t="s">
        <v>323</v>
      </c>
      <c r="U36" s="139" t="s">
        <v>322</v>
      </c>
      <c r="V36" s="112" t="s">
        <v>321</v>
      </c>
      <c r="W36" s="109" t="s">
        <v>320</v>
      </c>
      <c r="X36" s="109" t="s">
        <v>319</v>
      </c>
      <c r="Y36" s="109" t="s">
        <v>318</v>
      </c>
      <c r="Z36" s="109" t="s">
        <v>317</v>
      </c>
      <c r="AA36" s="109" t="s">
        <v>316</v>
      </c>
      <c r="AB36" s="109" t="s">
        <v>315</v>
      </c>
      <c r="AC36" s="109" t="s">
        <v>314</v>
      </c>
      <c r="AD36" s="109" t="s">
        <v>313</v>
      </c>
      <c r="AE36" s="109" t="s">
        <v>312</v>
      </c>
      <c r="AF36" s="109" t="s">
        <v>311</v>
      </c>
      <c r="AG36" s="109" t="s">
        <v>310</v>
      </c>
      <c r="AH36" s="109" t="s">
        <v>309</v>
      </c>
      <c r="AI36" s="109" t="s">
        <v>308</v>
      </c>
      <c r="AJ36" s="138" t="s">
        <v>307</v>
      </c>
    </row>
    <row r="37" spans="2:36" s="92" customFormat="1" ht="15" customHeight="1" x14ac:dyDescent="0.4">
      <c r="B37" s="350"/>
      <c r="C37" s="353"/>
      <c r="D37" s="137" t="s">
        <v>306</v>
      </c>
      <c r="E37" s="105" t="s">
        <v>4</v>
      </c>
      <c r="F37" s="108" t="s">
        <v>305</v>
      </c>
      <c r="G37" s="107" t="s">
        <v>305</v>
      </c>
      <c r="H37" s="107" t="s">
        <v>305</v>
      </c>
      <c r="I37" s="106" t="s">
        <v>284</v>
      </c>
      <c r="J37" s="106" t="s">
        <v>4</v>
      </c>
      <c r="K37" s="106" t="s">
        <v>284</v>
      </c>
      <c r="L37" s="106" t="s">
        <v>284</v>
      </c>
      <c r="M37" s="134" t="s">
        <v>284</v>
      </c>
      <c r="N37" s="136" t="s">
        <v>305</v>
      </c>
      <c r="O37" s="110" t="s">
        <v>305</v>
      </c>
      <c r="P37" s="135" t="s">
        <v>305</v>
      </c>
      <c r="Q37" s="103" t="s">
        <v>284</v>
      </c>
      <c r="R37" s="103" t="s">
        <v>4</v>
      </c>
      <c r="S37" s="106" t="s">
        <v>284</v>
      </c>
      <c r="T37" s="106" t="s">
        <v>284</v>
      </c>
      <c r="U37" s="134" t="s">
        <v>284</v>
      </c>
      <c r="V37" s="108" t="s">
        <v>305</v>
      </c>
      <c r="W37" s="107" t="s">
        <v>305</v>
      </c>
      <c r="X37" s="106" t="s">
        <v>304</v>
      </c>
      <c r="Y37" s="106" t="s">
        <v>284</v>
      </c>
      <c r="Z37" s="106" t="s">
        <v>303</v>
      </c>
      <c r="AA37" s="106" t="s">
        <v>302</v>
      </c>
      <c r="AB37" s="106" t="s">
        <v>303</v>
      </c>
      <c r="AC37" s="107" t="s">
        <v>302</v>
      </c>
      <c r="AD37" s="107" t="s">
        <v>283</v>
      </c>
      <c r="AE37" s="107" t="s">
        <v>4</v>
      </c>
      <c r="AF37" s="106" t="s">
        <v>282</v>
      </c>
      <c r="AG37" s="106" t="s">
        <v>301</v>
      </c>
      <c r="AH37" s="106" t="s">
        <v>300</v>
      </c>
      <c r="AI37" s="106" t="s">
        <v>300</v>
      </c>
      <c r="AJ37" s="133" t="s">
        <v>4</v>
      </c>
    </row>
    <row r="38" spans="2:36" s="92" customFormat="1" ht="15" customHeight="1" x14ac:dyDescent="0.4">
      <c r="B38" s="350"/>
      <c r="C38" s="353"/>
      <c r="D38" s="132"/>
      <c r="E38" s="131"/>
      <c r="F38" s="130" t="s">
        <v>299</v>
      </c>
      <c r="G38" s="129">
        <v>21</v>
      </c>
      <c r="H38" s="128">
        <f>G38-F38</f>
        <v>4</v>
      </c>
      <c r="I38" s="127"/>
      <c r="J38" s="124"/>
      <c r="K38" s="124">
        <v>93.5</v>
      </c>
      <c r="L38" s="124">
        <v>4.24</v>
      </c>
      <c r="M38" s="126">
        <f>K38+L38</f>
        <v>97.74</v>
      </c>
      <c r="N38" s="125">
        <v>20</v>
      </c>
      <c r="O38" s="124">
        <v>23</v>
      </c>
      <c r="P38" s="123">
        <f>O38-N38</f>
        <v>3</v>
      </c>
      <c r="Q38" s="120"/>
      <c r="R38" s="120"/>
      <c r="S38" s="120" t="s">
        <v>298</v>
      </c>
      <c r="T38" s="120" t="s">
        <v>297</v>
      </c>
      <c r="U38" s="122">
        <f>S38+T38</f>
        <v>97.45</v>
      </c>
      <c r="V38" s="121"/>
      <c r="W38" s="120"/>
      <c r="X38" s="120"/>
      <c r="Y38" s="120"/>
      <c r="Z38" s="120"/>
      <c r="AA38" s="120"/>
      <c r="AB38" s="120"/>
      <c r="AC38" s="120"/>
      <c r="AD38" s="120"/>
      <c r="AE38" s="119" t="e">
        <f>Z38/AB38</f>
        <v>#DIV/0!</v>
      </c>
      <c r="AF38" s="120"/>
      <c r="AG38" s="120"/>
      <c r="AH38" s="119" t="e">
        <f>AF38/(Z38-AB38)</f>
        <v>#DIV/0!</v>
      </c>
      <c r="AI38" s="118" t="s">
        <v>296</v>
      </c>
      <c r="AJ38" s="117"/>
    </row>
    <row r="39" spans="2:36" s="92" customFormat="1" ht="15" customHeight="1" x14ac:dyDescent="0.4">
      <c r="B39" s="350"/>
      <c r="C39" s="353"/>
      <c r="D39" s="344" t="s">
        <v>295</v>
      </c>
      <c r="E39" s="343"/>
      <c r="F39" s="343"/>
      <c r="G39" s="343"/>
      <c r="H39" s="343"/>
      <c r="I39" s="343"/>
      <c r="J39" s="343"/>
      <c r="K39" s="343"/>
      <c r="L39" s="343"/>
      <c r="M39" s="343"/>
      <c r="N39" s="343"/>
      <c r="O39" s="343"/>
      <c r="P39" s="343"/>
      <c r="Q39" s="342"/>
      <c r="R39" s="116" t="s">
        <v>4</v>
      </c>
      <c r="S39" s="115" t="s">
        <v>4</v>
      </c>
      <c r="T39" s="115" t="s">
        <v>4</v>
      </c>
      <c r="U39" s="115" t="s">
        <v>82</v>
      </c>
      <c r="V39" s="115" t="s">
        <v>82</v>
      </c>
      <c r="W39" s="115" t="s">
        <v>82</v>
      </c>
      <c r="X39" s="115" t="s">
        <v>82</v>
      </c>
      <c r="Y39" s="115" t="s">
        <v>82</v>
      </c>
      <c r="Z39" s="115" t="s">
        <v>82</v>
      </c>
      <c r="AA39" s="115" t="s">
        <v>82</v>
      </c>
      <c r="AB39" s="115" t="s">
        <v>82</v>
      </c>
      <c r="AC39" s="115" t="s">
        <v>82</v>
      </c>
      <c r="AD39" s="115" t="s">
        <v>82</v>
      </c>
      <c r="AE39" s="115" t="s">
        <v>82</v>
      </c>
      <c r="AF39" s="114" t="s">
        <v>82</v>
      </c>
      <c r="AG39" s="114" t="s">
        <v>82</v>
      </c>
      <c r="AH39" s="114" t="s">
        <v>82</v>
      </c>
      <c r="AI39" s="114" t="s">
        <v>82</v>
      </c>
      <c r="AJ39" s="113" t="s">
        <v>82</v>
      </c>
    </row>
    <row r="40" spans="2:36" s="92" customFormat="1" ht="15" customHeight="1" x14ac:dyDescent="0.4">
      <c r="B40" s="350"/>
      <c r="C40" s="353"/>
      <c r="D40" s="348" t="s">
        <v>294</v>
      </c>
      <c r="E40" s="334"/>
      <c r="F40" s="334"/>
      <c r="G40" s="339" t="s">
        <v>293</v>
      </c>
      <c r="H40" s="334"/>
      <c r="I40" s="334"/>
      <c r="J40" s="339" t="s">
        <v>292</v>
      </c>
      <c r="K40" s="334"/>
      <c r="L40" s="334"/>
      <c r="M40" s="339" t="s">
        <v>291</v>
      </c>
      <c r="N40" s="339" t="s">
        <v>290</v>
      </c>
      <c r="O40" s="339" t="s">
        <v>289</v>
      </c>
      <c r="P40" s="339" t="s">
        <v>225</v>
      </c>
      <c r="Q40" s="347" t="s">
        <v>288</v>
      </c>
      <c r="R40" s="104" t="s">
        <v>4</v>
      </c>
      <c r="S40" s="103" t="s">
        <v>4</v>
      </c>
      <c r="T40" s="103" t="s">
        <v>4</v>
      </c>
      <c r="U40" s="103" t="s">
        <v>82</v>
      </c>
      <c r="V40" s="103" t="s">
        <v>82</v>
      </c>
      <c r="W40" s="103" t="s">
        <v>82</v>
      </c>
      <c r="X40" s="103" t="s">
        <v>82</v>
      </c>
      <c r="Y40" s="103" t="s">
        <v>82</v>
      </c>
      <c r="Z40" s="103" t="s">
        <v>82</v>
      </c>
      <c r="AA40" s="103" t="s">
        <v>82</v>
      </c>
      <c r="AB40" s="103" t="s">
        <v>82</v>
      </c>
      <c r="AC40" s="103" t="s">
        <v>82</v>
      </c>
      <c r="AD40" s="103" t="s">
        <v>82</v>
      </c>
      <c r="AE40" s="103" t="s">
        <v>82</v>
      </c>
      <c r="AF40" s="101" t="s">
        <v>82</v>
      </c>
      <c r="AG40" s="101" t="s">
        <v>82</v>
      </c>
      <c r="AH40" s="101" t="s">
        <v>82</v>
      </c>
      <c r="AI40" s="101" t="s">
        <v>82</v>
      </c>
      <c r="AJ40" s="100" t="s">
        <v>82</v>
      </c>
    </row>
    <row r="41" spans="2:36" s="92" customFormat="1" ht="25" customHeight="1" x14ac:dyDescent="0.4">
      <c r="B41" s="350"/>
      <c r="C41" s="353"/>
      <c r="D41" s="112" t="s">
        <v>287</v>
      </c>
      <c r="E41" s="109" t="s">
        <v>286</v>
      </c>
      <c r="F41" s="109" t="s">
        <v>285</v>
      </c>
      <c r="G41" s="109" t="s">
        <v>287</v>
      </c>
      <c r="H41" s="109" t="s">
        <v>286</v>
      </c>
      <c r="I41" s="109" t="s">
        <v>285</v>
      </c>
      <c r="J41" s="109" t="s">
        <v>287</v>
      </c>
      <c r="K41" s="109" t="s">
        <v>286</v>
      </c>
      <c r="L41" s="109" t="s">
        <v>285</v>
      </c>
      <c r="M41" s="334"/>
      <c r="N41" s="334"/>
      <c r="O41" s="334"/>
      <c r="P41" s="334"/>
      <c r="Q41" s="338"/>
      <c r="R41" s="111" t="s">
        <v>4</v>
      </c>
      <c r="S41" s="110" t="s">
        <v>4</v>
      </c>
      <c r="T41" s="110" t="s">
        <v>4</v>
      </c>
      <c r="U41" s="110" t="s">
        <v>82</v>
      </c>
      <c r="V41" s="110" t="s">
        <v>82</v>
      </c>
      <c r="W41" s="109" t="s">
        <v>82</v>
      </c>
      <c r="X41" s="110" t="s">
        <v>82</v>
      </c>
      <c r="Y41" s="110" t="s">
        <v>82</v>
      </c>
      <c r="Z41" s="109" t="s">
        <v>82</v>
      </c>
      <c r="AA41" s="103" t="s">
        <v>82</v>
      </c>
      <c r="AB41" s="103" t="s">
        <v>82</v>
      </c>
      <c r="AC41" s="103" t="s">
        <v>82</v>
      </c>
      <c r="AD41" s="103" t="s">
        <v>82</v>
      </c>
      <c r="AE41" s="103" t="s">
        <v>82</v>
      </c>
      <c r="AF41" s="101" t="s">
        <v>82</v>
      </c>
      <c r="AG41" s="101" t="s">
        <v>82</v>
      </c>
      <c r="AH41" s="101" t="s">
        <v>82</v>
      </c>
      <c r="AI41" s="101" t="s">
        <v>82</v>
      </c>
      <c r="AJ41" s="100" t="s">
        <v>82</v>
      </c>
    </row>
    <row r="42" spans="2:36" s="92" customFormat="1" ht="15" customHeight="1" x14ac:dyDescent="0.4">
      <c r="B42" s="350"/>
      <c r="C42" s="353"/>
      <c r="D42" s="108" t="s">
        <v>284</v>
      </c>
      <c r="E42" s="107" t="s">
        <v>284</v>
      </c>
      <c r="F42" s="106" t="s">
        <v>284</v>
      </c>
      <c r="G42" s="106" t="s">
        <v>283</v>
      </c>
      <c r="H42" s="103" t="s">
        <v>283</v>
      </c>
      <c r="I42" s="103" t="s">
        <v>283</v>
      </c>
      <c r="J42" s="106" t="s">
        <v>283</v>
      </c>
      <c r="K42" s="103" t="s">
        <v>283</v>
      </c>
      <c r="L42" s="103" t="s">
        <v>283</v>
      </c>
      <c r="M42" s="103" t="s">
        <v>282</v>
      </c>
      <c r="N42" s="103" t="s">
        <v>281</v>
      </c>
      <c r="O42" s="106" t="s">
        <v>280</v>
      </c>
      <c r="P42" s="106" t="s">
        <v>4</v>
      </c>
      <c r="Q42" s="105" t="s">
        <v>4</v>
      </c>
      <c r="R42" s="104" t="s">
        <v>4</v>
      </c>
      <c r="S42" s="103" t="s">
        <v>4</v>
      </c>
      <c r="T42" s="103" t="s">
        <v>4</v>
      </c>
      <c r="U42" s="103" t="s">
        <v>82</v>
      </c>
      <c r="V42" s="103" t="s">
        <v>82</v>
      </c>
      <c r="W42" s="103" t="s">
        <v>82</v>
      </c>
      <c r="X42" s="103" t="s">
        <v>82</v>
      </c>
      <c r="Y42" s="103" t="s">
        <v>82</v>
      </c>
      <c r="Z42" s="103" t="s">
        <v>82</v>
      </c>
      <c r="AA42" s="103" t="s">
        <v>82</v>
      </c>
      <c r="AB42" s="103" t="s">
        <v>82</v>
      </c>
      <c r="AC42" s="103" t="s">
        <v>82</v>
      </c>
      <c r="AD42" s="103" t="s">
        <v>82</v>
      </c>
      <c r="AE42" s="102" t="s">
        <v>82</v>
      </c>
      <c r="AF42" s="101" t="s">
        <v>82</v>
      </c>
      <c r="AG42" s="101" t="s">
        <v>82</v>
      </c>
      <c r="AH42" s="101" t="s">
        <v>82</v>
      </c>
      <c r="AI42" s="101" t="s">
        <v>82</v>
      </c>
      <c r="AJ42" s="100" t="s">
        <v>82</v>
      </c>
    </row>
    <row r="43" spans="2:36" s="92" customFormat="1" ht="15" customHeight="1" thickBot="1" x14ac:dyDescent="0.45">
      <c r="B43" s="351"/>
      <c r="C43" s="354"/>
      <c r="D43" s="97"/>
      <c r="E43" s="96"/>
      <c r="F43" s="96">
        <f>D43-E43</f>
        <v>0</v>
      </c>
      <c r="G43" s="96"/>
      <c r="H43" s="96"/>
      <c r="I43" s="96">
        <f>G43-H43</f>
        <v>0</v>
      </c>
      <c r="J43" s="96"/>
      <c r="K43" s="96"/>
      <c r="L43" s="96">
        <f>J43-K43</f>
        <v>0</v>
      </c>
      <c r="M43" s="96"/>
      <c r="N43" s="96"/>
      <c r="O43" s="99" t="e">
        <f>N43/M43</f>
        <v>#DIV/0!</v>
      </c>
      <c r="P43" s="96"/>
      <c r="Q43" s="98">
        <v>301</v>
      </c>
      <c r="R43" s="97" t="s">
        <v>4</v>
      </c>
      <c r="S43" s="96" t="s">
        <v>4</v>
      </c>
      <c r="T43" s="96" t="s">
        <v>4</v>
      </c>
      <c r="U43" s="96" t="s">
        <v>82</v>
      </c>
      <c r="V43" s="96" t="s">
        <v>82</v>
      </c>
      <c r="W43" s="96" t="s">
        <v>82</v>
      </c>
      <c r="X43" s="96" t="s">
        <v>82</v>
      </c>
      <c r="Y43" s="96" t="s">
        <v>82</v>
      </c>
      <c r="Z43" s="96" t="s">
        <v>82</v>
      </c>
      <c r="AA43" s="96" t="s">
        <v>82</v>
      </c>
      <c r="AB43" s="96" t="s">
        <v>82</v>
      </c>
      <c r="AC43" s="96" t="s">
        <v>82</v>
      </c>
      <c r="AD43" s="96" t="s">
        <v>82</v>
      </c>
      <c r="AE43" s="95" t="s">
        <v>82</v>
      </c>
      <c r="AF43" s="94" t="s">
        <v>82</v>
      </c>
      <c r="AG43" s="94" t="s">
        <v>82</v>
      </c>
      <c r="AH43" s="94" t="s">
        <v>82</v>
      </c>
      <c r="AI43" s="94" t="s">
        <v>82</v>
      </c>
      <c r="AJ43" s="93" t="s">
        <v>82</v>
      </c>
    </row>
    <row r="44" spans="2:36" ht="15" customHeight="1" x14ac:dyDescent="0.4"/>
    <row r="45" spans="2:36" ht="18" customHeight="1" x14ac:dyDescent="0.4"/>
    <row r="46" spans="2:36" ht="18" customHeight="1" x14ac:dyDescent="0.4"/>
    <row r="47" spans="2:36" ht="18" customHeight="1" x14ac:dyDescent="0.4"/>
    <row r="48" spans="2:36" ht="18" customHeight="1" x14ac:dyDescent="0.4"/>
    <row r="49" ht="18" customHeight="1" x14ac:dyDescent="0.4"/>
    <row r="50" ht="18" customHeight="1" x14ac:dyDescent="0.4"/>
    <row r="51" ht="18" customHeight="1" x14ac:dyDescent="0.4"/>
    <row r="52" ht="18" customHeight="1" x14ac:dyDescent="0.4"/>
    <row r="53" ht="18" customHeight="1" x14ac:dyDescent="0.4"/>
    <row r="54" ht="18" customHeight="1" x14ac:dyDescent="0.4"/>
    <row r="55" ht="18" customHeight="1" x14ac:dyDescent="0.4"/>
    <row r="56" ht="18" customHeight="1" x14ac:dyDescent="0.4"/>
    <row r="57" ht="18" customHeight="1" x14ac:dyDescent="0.4"/>
    <row r="58" ht="18" customHeight="1" x14ac:dyDescent="0.4"/>
    <row r="59" ht="18" customHeight="1" x14ac:dyDescent="0.4"/>
    <row r="60" ht="18" customHeight="1" x14ac:dyDescent="0.4"/>
    <row r="61" ht="18" customHeight="1" x14ac:dyDescent="0.4"/>
    <row r="62" ht="18" customHeight="1" x14ac:dyDescent="0.4"/>
    <row r="63" ht="18" customHeight="1" x14ac:dyDescent="0.4"/>
    <row r="64" ht="18" customHeight="1" x14ac:dyDescent="0.4"/>
    <row r="65" ht="18" customHeight="1" x14ac:dyDescent="0.4"/>
    <row r="66" ht="18" customHeight="1" x14ac:dyDescent="0.4"/>
    <row r="67" ht="18" customHeight="1" x14ac:dyDescent="0.4"/>
    <row r="68" ht="18" customHeight="1" x14ac:dyDescent="0.4"/>
    <row r="69" ht="18" customHeight="1" x14ac:dyDescent="0.4"/>
    <row r="70" ht="18" customHeight="1" x14ac:dyDescent="0.4"/>
    <row r="71" ht="18" customHeight="1" x14ac:dyDescent="0.4"/>
    <row r="72" ht="18" customHeight="1" x14ac:dyDescent="0.4"/>
    <row r="73" ht="18" customHeight="1" x14ac:dyDescent="0.4"/>
    <row r="74" ht="18" customHeight="1" x14ac:dyDescent="0.4"/>
    <row r="75" ht="18" customHeight="1" x14ac:dyDescent="0.4"/>
    <row r="76" ht="18" customHeight="1" x14ac:dyDescent="0.4"/>
    <row r="77" ht="18" customHeight="1" x14ac:dyDescent="0.4"/>
    <row r="78" ht="18" customHeight="1" x14ac:dyDescent="0.4"/>
    <row r="79" ht="18" customHeight="1" x14ac:dyDescent="0.4"/>
    <row r="80" ht="18" customHeight="1" x14ac:dyDescent="0.4"/>
    <row r="81" ht="18" customHeight="1" x14ac:dyDescent="0.4"/>
    <row r="82" ht="18" customHeight="1" x14ac:dyDescent="0.4"/>
    <row r="83" ht="18" customHeight="1" x14ac:dyDescent="0.4"/>
    <row r="84" ht="18" customHeight="1" x14ac:dyDescent="0.4"/>
    <row r="85" ht="18" customHeight="1" x14ac:dyDescent="0.4"/>
    <row r="86" ht="18" customHeight="1" x14ac:dyDescent="0.4"/>
    <row r="87" ht="18" customHeight="1" x14ac:dyDescent="0.4"/>
    <row r="88" ht="18" customHeight="1" x14ac:dyDescent="0.4"/>
    <row r="89" ht="18" customHeight="1" x14ac:dyDescent="0.4"/>
    <row r="90" ht="18" customHeight="1" x14ac:dyDescent="0.4"/>
    <row r="91" ht="18" customHeight="1" x14ac:dyDescent="0.4"/>
    <row r="92" ht="18" customHeight="1" x14ac:dyDescent="0.4"/>
    <row r="93" ht="18" customHeight="1" x14ac:dyDescent="0.4"/>
    <row r="94" ht="18" customHeight="1" x14ac:dyDescent="0.4"/>
    <row r="95" ht="18" customHeight="1" x14ac:dyDescent="0.4"/>
    <row r="96" ht="18" customHeight="1" x14ac:dyDescent="0.4"/>
    <row r="97" ht="18" customHeight="1" x14ac:dyDescent="0.4"/>
    <row r="98" ht="18" customHeight="1" x14ac:dyDescent="0.4"/>
    <row r="99" ht="18" customHeight="1" x14ac:dyDescent="0.4"/>
    <row r="100" ht="18" customHeight="1" x14ac:dyDescent="0.4"/>
    <row r="101" ht="18" customHeight="1" x14ac:dyDescent="0.4"/>
    <row r="102" ht="18" customHeight="1" x14ac:dyDescent="0.4"/>
    <row r="103" ht="18" customHeight="1" x14ac:dyDescent="0.4"/>
    <row r="104" ht="18" customHeight="1" x14ac:dyDescent="0.4"/>
    <row r="105" ht="18" customHeight="1" x14ac:dyDescent="0.4"/>
    <row r="106" ht="18" customHeight="1" x14ac:dyDescent="0.4"/>
    <row r="107" ht="18" customHeight="1" x14ac:dyDescent="0.4"/>
    <row r="108" ht="18" customHeight="1" x14ac:dyDescent="0.4"/>
    <row r="109" ht="18" customHeight="1" x14ac:dyDescent="0.4"/>
    <row r="110" ht="18" customHeight="1" x14ac:dyDescent="0.4"/>
    <row r="111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</sheetData>
  <mergeCells count="131"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580C-DE8D-40E3-951F-4704C2686892}">
  <dimension ref="B1:T24"/>
  <sheetViews>
    <sheetView topLeftCell="A10" zoomScale="85" zoomScaleNormal="85" workbookViewId="0">
      <selection activeCell="H22" sqref="F21:I22"/>
    </sheetView>
  </sheetViews>
  <sheetFormatPr defaultColWidth="9" defaultRowHeight="12.6" x14ac:dyDescent="0.45"/>
  <cols>
    <col min="1" max="1" width="2.1015625" style="190" customWidth="1"/>
    <col min="2" max="5" width="7.1015625" style="190" customWidth="1"/>
    <col min="6" max="7" width="6.1015625" style="190" customWidth="1"/>
    <col min="8" max="9" width="5.1015625" style="190" customWidth="1"/>
    <col min="10" max="11" width="6.1015625" style="190" customWidth="1"/>
    <col min="12" max="13" width="7.62890625" style="190" customWidth="1"/>
    <col min="14" max="18" width="6.1015625" style="190" customWidth="1"/>
    <col min="19" max="20" width="5.1015625" style="190" customWidth="1"/>
    <col min="21" max="21" width="3.1015625" style="190" customWidth="1"/>
    <col min="22" max="16384" width="9" style="190"/>
  </cols>
  <sheetData>
    <row r="1" spans="2:20" ht="25" customHeight="1" thickBot="1" x14ac:dyDescent="0.5"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</row>
    <row r="2" spans="2:20" ht="35.1" customHeight="1" x14ac:dyDescent="0.45">
      <c r="B2" s="453" t="s">
        <v>459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5"/>
    </row>
    <row r="3" spans="2:20" ht="35.1" customHeight="1" x14ac:dyDescent="0.45">
      <c r="B3" s="456"/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8"/>
    </row>
    <row r="4" spans="2:20" s="191" customFormat="1" ht="35.1" customHeight="1" x14ac:dyDescent="0.55000000000000004">
      <c r="B4" s="459" t="s">
        <v>458</v>
      </c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1"/>
    </row>
    <row r="5" spans="2:20" s="192" customFormat="1" ht="40" customHeight="1" x14ac:dyDescent="0.4">
      <c r="B5" s="434" t="s">
        <v>457</v>
      </c>
      <c r="C5" s="435"/>
      <c r="D5" s="436"/>
      <c r="E5" s="196" t="s">
        <v>451</v>
      </c>
      <c r="F5" s="403" t="s">
        <v>450</v>
      </c>
      <c r="G5" s="402"/>
      <c r="H5" s="403" t="s">
        <v>449</v>
      </c>
      <c r="I5" s="402"/>
      <c r="J5" s="400" t="s">
        <v>434</v>
      </c>
      <c r="K5" s="401"/>
      <c r="L5" s="401"/>
      <c r="M5" s="401"/>
      <c r="N5" s="401"/>
      <c r="O5" s="401"/>
      <c r="P5" s="401"/>
      <c r="Q5" s="401"/>
      <c r="R5" s="402"/>
      <c r="S5" s="403" t="s">
        <v>438</v>
      </c>
      <c r="T5" s="404"/>
    </row>
    <row r="6" spans="2:20" s="191" customFormat="1" ht="35.1" customHeight="1" x14ac:dyDescent="0.55000000000000004">
      <c r="B6" s="462" t="s">
        <v>456</v>
      </c>
      <c r="C6" s="463"/>
      <c r="D6" s="463"/>
      <c r="E6" s="194" t="s">
        <v>446</v>
      </c>
      <c r="F6" s="465" t="s">
        <v>453</v>
      </c>
      <c r="G6" s="466"/>
      <c r="H6" s="440"/>
      <c r="I6" s="464"/>
      <c r="J6" s="440"/>
      <c r="K6" s="464"/>
      <c r="L6" s="464"/>
      <c r="M6" s="464"/>
      <c r="N6" s="464"/>
      <c r="O6" s="464"/>
      <c r="P6" s="464"/>
      <c r="Q6" s="464"/>
      <c r="R6" s="464"/>
      <c r="S6" s="440"/>
      <c r="T6" s="441"/>
    </row>
    <row r="7" spans="2:20" s="191" customFormat="1" ht="35.1" customHeight="1" x14ac:dyDescent="0.55000000000000004">
      <c r="B7" s="462" t="s">
        <v>455</v>
      </c>
      <c r="C7" s="463"/>
      <c r="D7" s="463"/>
      <c r="E7" s="194" t="s">
        <v>446</v>
      </c>
      <c r="F7" s="465" t="s">
        <v>453</v>
      </c>
      <c r="G7" s="466"/>
      <c r="H7" s="440"/>
      <c r="I7" s="464"/>
      <c r="J7" s="440"/>
      <c r="K7" s="464"/>
      <c r="L7" s="464"/>
      <c r="M7" s="464"/>
      <c r="N7" s="464"/>
      <c r="O7" s="464"/>
      <c r="P7" s="464"/>
      <c r="Q7" s="464"/>
      <c r="R7" s="464"/>
      <c r="S7" s="440"/>
      <c r="T7" s="441"/>
    </row>
    <row r="8" spans="2:20" s="191" customFormat="1" ht="35.1" customHeight="1" x14ac:dyDescent="0.55000000000000004">
      <c r="B8" s="449" t="s">
        <v>454</v>
      </c>
      <c r="C8" s="450"/>
      <c r="D8" s="450"/>
      <c r="E8" s="193" t="s">
        <v>446</v>
      </c>
      <c r="F8" s="451" t="s">
        <v>453</v>
      </c>
      <c r="G8" s="452"/>
      <c r="H8" s="442"/>
      <c r="I8" s="448"/>
      <c r="J8" s="442"/>
      <c r="K8" s="448"/>
      <c r="L8" s="448"/>
      <c r="M8" s="448"/>
      <c r="N8" s="448"/>
      <c r="O8" s="448"/>
      <c r="P8" s="448"/>
      <c r="Q8" s="448"/>
      <c r="R8" s="448"/>
      <c r="S8" s="442"/>
      <c r="T8" s="443"/>
    </row>
    <row r="9" spans="2:20" s="192" customFormat="1" ht="40" customHeight="1" x14ac:dyDescent="0.4">
      <c r="B9" s="434" t="s">
        <v>452</v>
      </c>
      <c r="C9" s="435"/>
      <c r="D9" s="436"/>
      <c r="E9" s="195" t="s">
        <v>451</v>
      </c>
      <c r="F9" s="403" t="s">
        <v>450</v>
      </c>
      <c r="G9" s="402"/>
      <c r="H9" s="403" t="s">
        <v>449</v>
      </c>
      <c r="I9" s="402"/>
      <c r="J9" s="400" t="s">
        <v>434</v>
      </c>
      <c r="K9" s="401"/>
      <c r="L9" s="401"/>
      <c r="M9" s="401"/>
      <c r="N9" s="401"/>
      <c r="O9" s="401"/>
      <c r="P9" s="401"/>
      <c r="Q9" s="401"/>
      <c r="R9" s="402"/>
      <c r="S9" s="403" t="s">
        <v>438</v>
      </c>
      <c r="T9" s="404"/>
    </row>
    <row r="10" spans="2:20" s="191" customFormat="1" ht="35.1" customHeight="1" x14ac:dyDescent="0.55000000000000004">
      <c r="B10" s="424" t="s">
        <v>448</v>
      </c>
      <c r="C10" s="425"/>
      <c r="D10" s="426"/>
      <c r="E10" s="194" t="s">
        <v>446</v>
      </c>
      <c r="F10" s="430">
        <v>1</v>
      </c>
      <c r="G10" s="431"/>
      <c r="H10" s="444"/>
      <c r="I10" s="445"/>
      <c r="J10" s="444"/>
      <c r="K10" s="446"/>
      <c r="L10" s="446"/>
      <c r="M10" s="446"/>
      <c r="N10" s="446"/>
      <c r="O10" s="446"/>
      <c r="P10" s="446"/>
      <c r="Q10" s="446"/>
      <c r="R10" s="445"/>
      <c r="S10" s="444"/>
      <c r="T10" s="447"/>
    </row>
    <row r="11" spans="2:20" s="191" customFormat="1" ht="35.1" customHeight="1" x14ac:dyDescent="0.55000000000000004">
      <c r="B11" s="427" t="s">
        <v>447</v>
      </c>
      <c r="C11" s="428"/>
      <c r="D11" s="429"/>
      <c r="E11" s="193" t="s">
        <v>446</v>
      </c>
      <c r="F11" s="432">
        <v>1</v>
      </c>
      <c r="G11" s="433"/>
      <c r="H11" s="384"/>
      <c r="I11" s="385"/>
      <c r="J11" s="384"/>
      <c r="K11" s="386"/>
      <c r="L11" s="386"/>
      <c r="M11" s="386"/>
      <c r="N11" s="386"/>
      <c r="O11" s="386"/>
      <c r="P11" s="386"/>
      <c r="Q11" s="386"/>
      <c r="R11" s="385"/>
      <c r="S11" s="384"/>
      <c r="T11" s="387"/>
    </row>
    <row r="12" spans="2:20" s="192" customFormat="1" ht="50.1" customHeight="1" x14ac:dyDescent="0.4">
      <c r="B12" s="434" t="s">
        <v>445</v>
      </c>
      <c r="C12" s="435"/>
      <c r="D12" s="436"/>
      <c r="E12" s="400" t="s">
        <v>444</v>
      </c>
      <c r="F12" s="405"/>
      <c r="G12" s="406"/>
      <c r="H12" s="403" t="s">
        <v>443</v>
      </c>
      <c r="I12" s="402"/>
      <c r="J12" s="400" t="s">
        <v>434</v>
      </c>
      <c r="K12" s="401"/>
      <c r="L12" s="401"/>
      <c r="M12" s="401"/>
      <c r="N12" s="401"/>
      <c r="O12" s="401"/>
      <c r="P12" s="401"/>
      <c r="Q12" s="401"/>
      <c r="R12" s="402"/>
      <c r="S12" s="403" t="s">
        <v>438</v>
      </c>
      <c r="T12" s="404"/>
    </row>
    <row r="13" spans="2:20" s="191" customFormat="1" ht="50.1" customHeight="1" x14ac:dyDescent="0.55000000000000004">
      <c r="B13" s="427" t="s">
        <v>442</v>
      </c>
      <c r="C13" s="428"/>
      <c r="D13" s="429"/>
      <c r="E13" s="437" t="s">
        <v>441</v>
      </c>
      <c r="F13" s="438"/>
      <c r="G13" s="439"/>
      <c r="H13" s="384"/>
      <c r="I13" s="385"/>
      <c r="J13" s="384"/>
      <c r="K13" s="386"/>
      <c r="L13" s="386"/>
      <c r="M13" s="386"/>
      <c r="N13" s="386"/>
      <c r="O13" s="386"/>
      <c r="P13" s="386"/>
      <c r="Q13" s="386"/>
      <c r="R13" s="385"/>
      <c r="S13" s="384"/>
      <c r="T13" s="387"/>
    </row>
    <row r="14" spans="2:20" s="192" customFormat="1" ht="50.1" customHeight="1" x14ac:dyDescent="0.4">
      <c r="B14" s="434" t="s">
        <v>440</v>
      </c>
      <c r="C14" s="435"/>
      <c r="D14" s="436"/>
      <c r="E14" s="400" t="s">
        <v>439</v>
      </c>
      <c r="F14" s="405"/>
      <c r="G14" s="405"/>
      <c r="H14" s="405"/>
      <c r="I14" s="406"/>
      <c r="J14" s="400" t="s">
        <v>434</v>
      </c>
      <c r="K14" s="401"/>
      <c r="L14" s="401"/>
      <c r="M14" s="401"/>
      <c r="N14" s="401"/>
      <c r="O14" s="401"/>
      <c r="P14" s="401"/>
      <c r="Q14" s="401"/>
      <c r="R14" s="402"/>
      <c r="S14" s="403" t="s">
        <v>438</v>
      </c>
      <c r="T14" s="404"/>
    </row>
    <row r="15" spans="2:20" s="191" customFormat="1" ht="35.1" customHeight="1" x14ac:dyDescent="0.55000000000000004">
      <c r="B15" s="415" t="s">
        <v>437</v>
      </c>
      <c r="C15" s="416"/>
      <c r="D15" s="417"/>
      <c r="E15" s="407"/>
      <c r="F15" s="408"/>
      <c r="G15" s="408"/>
      <c r="H15" s="408"/>
      <c r="I15" s="409"/>
      <c r="J15" s="407"/>
      <c r="K15" s="408"/>
      <c r="L15" s="408"/>
      <c r="M15" s="408"/>
      <c r="N15" s="408"/>
      <c r="O15" s="408"/>
      <c r="P15" s="408"/>
      <c r="Q15" s="408"/>
      <c r="R15" s="409"/>
      <c r="S15" s="407"/>
      <c r="T15" s="413"/>
    </row>
    <row r="16" spans="2:20" s="191" customFormat="1" ht="35.1" customHeight="1" x14ac:dyDescent="0.55000000000000004">
      <c r="B16" s="418"/>
      <c r="C16" s="419"/>
      <c r="D16" s="420"/>
      <c r="E16" s="410"/>
      <c r="F16" s="411"/>
      <c r="G16" s="411"/>
      <c r="H16" s="411"/>
      <c r="I16" s="412"/>
      <c r="J16" s="410"/>
      <c r="K16" s="411"/>
      <c r="L16" s="411"/>
      <c r="M16" s="411"/>
      <c r="N16" s="411"/>
      <c r="O16" s="411"/>
      <c r="P16" s="411"/>
      <c r="Q16" s="411"/>
      <c r="R16" s="412"/>
      <c r="S16" s="410"/>
      <c r="T16" s="414"/>
    </row>
    <row r="17" spans="2:20" s="191" customFormat="1" ht="45" customHeight="1" x14ac:dyDescent="0.55000000000000004">
      <c r="B17" s="388" t="s">
        <v>436</v>
      </c>
      <c r="C17" s="389"/>
      <c r="D17" s="390"/>
      <c r="E17" s="394" t="s">
        <v>435</v>
      </c>
      <c r="F17" s="395"/>
      <c r="G17" s="395"/>
      <c r="H17" s="395"/>
      <c r="I17" s="396"/>
      <c r="J17" s="394" t="s">
        <v>434</v>
      </c>
      <c r="K17" s="395"/>
      <c r="L17" s="395"/>
      <c r="M17" s="395"/>
      <c r="N17" s="395"/>
      <c r="O17" s="395"/>
      <c r="P17" s="395"/>
      <c r="Q17" s="395"/>
      <c r="R17" s="396"/>
      <c r="S17" s="422" t="s">
        <v>433</v>
      </c>
      <c r="T17" s="423"/>
    </row>
    <row r="18" spans="2:20" s="191" customFormat="1" ht="45" customHeight="1" thickBot="1" x14ac:dyDescent="0.6">
      <c r="B18" s="391"/>
      <c r="C18" s="392"/>
      <c r="D18" s="393"/>
      <c r="E18" s="397" t="s">
        <v>432</v>
      </c>
      <c r="F18" s="398"/>
      <c r="G18" s="398"/>
      <c r="H18" s="398"/>
      <c r="I18" s="399"/>
      <c r="J18" s="421" t="s">
        <v>4</v>
      </c>
      <c r="K18" s="398"/>
      <c r="L18" s="398"/>
      <c r="M18" s="398"/>
      <c r="N18" s="398"/>
      <c r="O18" s="398"/>
      <c r="P18" s="398"/>
      <c r="Q18" s="398"/>
      <c r="R18" s="399"/>
      <c r="S18" s="382"/>
      <c r="T18" s="383"/>
    </row>
    <row r="19" spans="2:20" s="191" customFormat="1" ht="50.1" customHeight="1" x14ac:dyDescent="0.55000000000000004">
      <c r="B19" s="467" t="s">
        <v>431</v>
      </c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9"/>
    </row>
    <row r="20" spans="2:20" s="191" customFormat="1" ht="50.1" customHeight="1" x14ac:dyDescent="0.55000000000000004">
      <c r="B20" s="470" t="s">
        <v>430</v>
      </c>
      <c r="C20" s="406"/>
      <c r="D20" s="472" t="s">
        <v>429</v>
      </c>
      <c r="E20" s="406"/>
      <c r="F20" s="472" t="s">
        <v>428</v>
      </c>
      <c r="G20" s="406"/>
      <c r="H20" s="472" t="s">
        <v>427</v>
      </c>
      <c r="I20" s="406"/>
      <c r="J20" s="472" t="s">
        <v>426</v>
      </c>
      <c r="K20" s="406"/>
      <c r="L20" s="472" t="s">
        <v>425</v>
      </c>
      <c r="M20" s="406"/>
      <c r="N20" s="472" t="s">
        <v>424</v>
      </c>
      <c r="O20" s="474"/>
      <c r="P20" s="476" t="s">
        <v>423</v>
      </c>
      <c r="Q20" s="405"/>
      <c r="R20" s="405"/>
      <c r="S20" s="405"/>
      <c r="T20" s="477"/>
    </row>
    <row r="21" spans="2:20" s="191" customFormat="1" ht="50.1" customHeight="1" x14ac:dyDescent="0.55000000000000004">
      <c r="B21" s="471" t="s">
        <v>422</v>
      </c>
      <c r="C21" s="431"/>
      <c r="D21" s="473" t="s">
        <v>422</v>
      </c>
      <c r="E21" s="431"/>
      <c r="F21" s="473" t="s">
        <v>422</v>
      </c>
      <c r="G21" s="431"/>
      <c r="H21" s="473" t="s">
        <v>421</v>
      </c>
      <c r="I21" s="431"/>
      <c r="J21" s="473" t="s">
        <v>284</v>
      </c>
      <c r="K21" s="431"/>
      <c r="L21" s="473" t="s">
        <v>284</v>
      </c>
      <c r="M21" s="431"/>
      <c r="N21" s="473" t="s">
        <v>284</v>
      </c>
      <c r="O21" s="475"/>
      <c r="P21" s="481"/>
      <c r="Q21" s="475"/>
      <c r="R21" s="475"/>
      <c r="S21" s="475"/>
      <c r="T21" s="482"/>
    </row>
    <row r="22" spans="2:20" s="191" customFormat="1" ht="50.1" customHeight="1" x14ac:dyDescent="0.55000000000000004">
      <c r="B22" s="478"/>
      <c r="C22" s="445"/>
      <c r="D22" s="444"/>
      <c r="E22" s="445"/>
      <c r="F22" s="444"/>
      <c r="G22" s="445"/>
      <c r="H22" s="444"/>
      <c r="I22" s="445"/>
      <c r="J22" s="444"/>
      <c r="K22" s="445"/>
      <c r="L22" s="444"/>
      <c r="M22" s="445"/>
      <c r="N22" s="444"/>
      <c r="O22" s="486"/>
      <c r="P22" s="483"/>
      <c r="Q22" s="446"/>
      <c r="R22" s="446"/>
      <c r="S22" s="446"/>
      <c r="T22" s="447"/>
    </row>
    <row r="23" spans="2:20" s="191" customFormat="1" ht="50.1" customHeight="1" x14ac:dyDescent="0.55000000000000004">
      <c r="B23" s="470" t="s">
        <v>420</v>
      </c>
      <c r="C23" s="405"/>
      <c r="D23" s="406"/>
      <c r="E23" s="480"/>
      <c r="F23" s="406"/>
      <c r="G23" s="472" t="s">
        <v>419</v>
      </c>
      <c r="H23" s="405"/>
      <c r="I23" s="406"/>
      <c r="J23" s="480"/>
      <c r="K23" s="406"/>
      <c r="L23" s="472" t="s">
        <v>418</v>
      </c>
      <c r="M23" s="406"/>
      <c r="N23" s="480"/>
      <c r="O23" s="405"/>
      <c r="P23" s="483"/>
      <c r="Q23" s="446"/>
      <c r="R23" s="446"/>
      <c r="S23" s="446"/>
      <c r="T23" s="447"/>
    </row>
    <row r="24" spans="2:20" s="191" customFormat="1" ht="50.1" customHeight="1" thickBot="1" x14ac:dyDescent="0.6">
      <c r="B24" s="479" t="s">
        <v>417</v>
      </c>
      <c r="C24" s="398"/>
      <c r="D24" s="399"/>
      <c r="E24" s="421"/>
      <c r="F24" s="399"/>
      <c r="G24" s="397" t="s">
        <v>416</v>
      </c>
      <c r="H24" s="398"/>
      <c r="I24" s="399"/>
      <c r="J24" s="421"/>
      <c r="K24" s="399"/>
      <c r="L24" s="397" t="s">
        <v>415</v>
      </c>
      <c r="M24" s="399"/>
      <c r="N24" s="421"/>
      <c r="O24" s="398"/>
      <c r="P24" s="484"/>
      <c r="Q24" s="485"/>
      <c r="R24" s="485"/>
      <c r="S24" s="485"/>
      <c r="T24" s="383"/>
    </row>
  </sheetData>
  <mergeCells count="98">
    <mergeCell ref="N24:O24"/>
    <mergeCell ref="P21:T24"/>
    <mergeCell ref="J22:K22"/>
    <mergeCell ref="L22:M22"/>
    <mergeCell ref="N22:O22"/>
    <mergeCell ref="J23:K23"/>
    <mergeCell ref="J24:K24"/>
    <mergeCell ref="L23:M23"/>
    <mergeCell ref="L24:M24"/>
    <mergeCell ref="N23:O23"/>
    <mergeCell ref="B23:D23"/>
    <mergeCell ref="B24:D24"/>
    <mergeCell ref="E23:F23"/>
    <mergeCell ref="E24:F24"/>
    <mergeCell ref="G23:I23"/>
    <mergeCell ref="G24:I24"/>
    <mergeCell ref="B22:C22"/>
    <mergeCell ref="D22:E22"/>
    <mergeCell ref="F22:G22"/>
    <mergeCell ref="H22:I22"/>
    <mergeCell ref="J20:K20"/>
    <mergeCell ref="J21:K21"/>
    <mergeCell ref="H21:I21"/>
    <mergeCell ref="B19:T19"/>
    <mergeCell ref="B20:C20"/>
    <mergeCell ref="B21:C21"/>
    <mergeCell ref="D20:E20"/>
    <mergeCell ref="D21:E21"/>
    <mergeCell ref="F20:G20"/>
    <mergeCell ref="H20:I20"/>
    <mergeCell ref="F21:G21"/>
    <mergeCell ref="L20:M20"/>
    <mergeCell ref="N20:O20"/>
    <mergeCell ref="L21:M21"/>
    <mergeCell ref="N21:O21"/>
    <mergeCell ref="P20:T20"/>
    <mergeCell ref="B7:D7"/>
    <mergeCell ref="F6:G6"/>
    <mergeCell ref="F7:G7"/>
    <mergeCell ref="H7:I7"/>
    <mergeCell ref="S5:T5"/>
    <mergeCell ref="J6:R6"/>
    <mergeCell ref="J7:R7"/>
    <mergeCell ref="B2:T3"/>
    <mergeCell ref="B4:T4"/>
    <mergeCell ref="F5:G5"/>
    <mergeCell ref="H5:I5"/>
    <mergeCell ref="B6:D6"/>
    <mergeCell ref="H6:I6"/>
    <mergeCell ref="J5:R5"/>
    <mergeCell ref="B5:D5"/>
    <mergeCell ref="B9:D9"/>
    <mergeCell ref="F9:G9"/>
    <mergeCell ref="H9:I9"/>
    <mergeCell ref="J9:R9"/>
    <mergeCell ref="H8:I8"/>
    <mergeCell ref="B8:D8"/>
    <mergeCell ref="J8:R8"/>
    <mergeCell ref="F8:G8"/>
    <mergeCell ref="S6:T6"/>
    <mergeCell ref="S7:T7"/>
    <mergeCell ref="S8:T8"/>
    <mergeCell ref="H10:I10"/>
    <mergeCell ref="H11:I11"/>
    <mergeCell ref="J10:R10"/>
    <mergeCell ref="J11:R11"/>
    <mergeCell ref="S10:T10"/>
    <mergeCell ref="S11:T11"/>
    <mergeCell ref="S9:T9"/>
    <mergeCell ref="S17:T17"/>
    <mergeCell ref="B10:D10"/>
    <mergeCell ref="B11:D11"/>
    <mergeCell ref="F10:G10"/>
    <mergeCell ref="F11:G11"/>
    <mergeCell ref="B14:D14"/>
    <mergeCell ref="B12:D12"/>
    <mergeCell ref="B13:D13"/>
    <mergeCell ref="E13:G13"/>
    <mergeCell ref="H12:I12"/>
    <mergeCell ref="J12:R12"/>
    <mergeCell ref="S12:T12"/>
    <mergeCell ref="E12:G12"/>
    <mergeCell ref="S18:T18"/>
    <mergeCell ref="H13:I13"/>
    <mergeCell ref="J13:R13"/>
    <mergeCell ref="S13:T13"/>
    <mergeCell ref="B17:D18"/>
    <mergeCell ref="E17:I17"/>
    <mergeCell ref="E18:I18"/>
    <mergeCell ref="J14:R14"/>
    <mergeCell ref="S14:T14"/>
    <mergeCell ref="E14:I14"/>
    <mergeCell ref="J15:R16"/>
    <mergeCell ref="S15:T16"/>
    <mergeCell ref="B15:D16"/>
    <mergeCell ref="E15:I16"/>
    <mergeCell ref="J17:R17"/>
    <mergeCell ref="J18:R18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2026-03-31T03:05:50Z</dcterms:modified>
</cp:coreProperties>
</file>