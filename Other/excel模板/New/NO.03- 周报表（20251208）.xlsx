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drawings/drawing2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\3_项目\25、四川乐山-和邦生物\报表\熊工发的模板\NO.01- 报表初稿\2026年2月27日定稿\"/>
    </mc:Choice>
  </mc:AlternateContent>
  <xr:revisionPtr revIDLastSave="0" documentId="13_ncr:1_{37C7C276-2749-4F20-9CFE-035948F3CE42}" xr6:coauthVersionLast="47" xr6:coauthVersionMax="47" xr10:uidLastSave="{00000000-0000-0000-0000-000000000000}"/>
  <bookViews>
    <workbookView xWindow="-105" yWindow="-16200" windowWidth="17670" windowHeight="15585" tabRatio="967" xr2:uid="{00000000-000D-0000-FFFF-FFFF00000000}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D15" i="15" l="1"/>
  <c r="D13" i="16" l="1"/>
  <c r="U19" i="7"/>
  <c r="R19" i="7" s="1"/>
  <c r="O19" i="7"/>
  <c r="H19" i="7"/>
  <c r="V19" i="7" s="1"/>
  <c r="P16" i="7"/>
  <c r="P19" i="7" l="1"/>
  <c r="S19" i="7"/>
  <c r="Q19" i="7"/>
  <c r="T19" i="7"/>
  <c r="W22" i="12" l="1"/>
  <c r="U22" i="12"/>
  <c r="S22" i="12"/>
  <c r="Q22" i="12"/>
  <c r="O22" i="12"/>
  <c r="M22" i="12"/>
  <c r="K22" i="12"/>
  <c r="I22" i="12"/>
  <c r="G22" i="12"/>
  <c r="W21" i="12"/>
  <c r="U21" i="12"/>
  <c r="S21" i="12"/>
  <c r="Q21" i="12"/>
  <c r="O21" i="12"/>
  <c r="M21" i="12"/>
  <c r="K21" i="12"/>
  <c r="I21" i="12"/>
  <c r="G21" i="12"/>
  <c r="W20" i="12"/>
  <c r="U20" i="12"/>
  <c r="S20" i="12"/>
  <c r="Q20" i="12"/>
  <c r="O20" i="12"/>
  <c r="M20" i="12"/>
  <c r="K20" i="12"/>
  <c r="I20" i="12"/>
  <c r="G20" i="12"/>
  <c r="E20" i="12"/>
  <c r="W17" i="12"/>
  <c r="U17" i="12"/>
  <c r="S17" i="12"/>
  <c r="Q17" i="12"/>
  <c r="O17" i="12"/>
  <c r="M17" i="12"/>
  <c r="K17" i="12"/>
  <c r="I17" i="12"/>
  <c r="G17" i="12"/>
  <c r="E17" i="12"/>
  <c r="Q23" i="12" l="1"/>
  <c r="O23" i="12"/>
  <c r="U23" i="12"/>
  <c r="M23" i="12"/>
  <c r="S23" i="12"/>
  <c r="W23" i="12"/>
  <c r="E23" i="12"/>
  <c r="G23" i="12"/>
  <c r="I23" i="12"/>
  <c r="K23" i="12"/>
  <c r="I9" i="6"/>
  <c r="J9" i="6" s="1"/>
  <c r="I7" i="6"/>
  <c r="J7" i="6" s="1"/>
  <c r="I8" i="6"/>
  <c r="J8" i="6" s="1"/>
  <c r="E9" i="6"/>
  <c r="F9" i="6" s="1"/>
  <c r="E8" i="6"/>
  <c r="F8" i="6" s="1"/>
  <c r="E7" i="6"/>
  <c r="F7" i="6" s="1"/>
  <c r="G10" i="5" l="1"/>
  <c r="F10" i="5"/>
  <c r="E10" i="5"/>
  <c r="D10" i="5"/>
  <c r="C10" i="5"/>
  <c r="C13" i="16" l="1"/>
  <c r="E8" i="7"/>
  <c r="E7" i="7"/>
  <c r="E6" i="7"/>
  <c r="E13" i="16"/>
  <c r="M20" i="15"/>
  <c r="M18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M8" i="15"/>
  <c r="E7" i="9"/>
  <c r="M15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7" authorId="0" shapeId="0" xr:uid="{2667A613-E335-4392-8120-3C7CE62C4BC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 shapeId="0" xr:uid="{13741C51-AF16-4852-B172-2F686B5CDA8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 shapeId="0" xr:uid="{139C979D-DC17-4808-B944-AA46C2D8713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 shapeId="0" xr:uid="{6639E74B-D12F-4BE3-BED8-B718B5FF890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 shapeId="0" xr:uid="{9A6362F0-FE0D-4093-B5E2-A31AD176475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 shapeId="0" xr:uid="{DE16200E-6BD2-44A0-AF74-0BF747FA75C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 shapeId="0" xr:uid="{25F4CBB6-9326-4F40-A450-BB7AB71BFE2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 shapeId="0" xr:uid="{610CA333-F53A-4675-A58B-BEA90C87AEB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 shapeId="0" xr:uid="{5A136C1C-AF71-4A02-9553-77136BF1CC9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7" authorId="0" shapeId="0" xr:uid="{58FFCC24-36C3-4FDD-8205-BA442E2524A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 shapeId="0" xr:uid="{60AE7534-96C9-4B1F-B291-43F9DCC0513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 shapeId="0" xr:uid="{CD97590E-15F1-4CEC-97A8-2EFEAE951B6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 shapeId="0" xr:uid="{52923C86-08E2-4197-917A-D98B0F2CEFC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 shapeId="0" xr:uid="{ABCC817F-CDCE-447B-B665-C88C3D349CE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CFAF8463-7619-4F5F-B923-6D3AE8F5E47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 shapeId="0" xr:uid="{EE690940-A647-4AE6-8DE9-E7E2C5DA68C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 shapeId="0" xr:uid="{9044E9FE-7CBA-4CA8-BD7D-B00EF2F7F4E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 shapeId="0" xr:uid="{20B6F88D-84C4-44BE-A311-58FCA63CA0A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 shapeId="0" xr:uid="{05429616-4CE6-4608-AC27-08B4ECA3230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 shapeId="0" xr:uid="{1D418F3F-B9A5-41CB-869E-C806BF93334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 shapeId="0" xr:uid="{05F69F3F-51F6-4942-ADC7-2DAED71CD25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 shapeId="0" xr:uid="{5EC0F064-5134-4932-8976-829861F8424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 shapeId="0" xr:uid="{54218CD0-356D-4A18-91A0-22FF615C8E7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7" authorId="0" shapeId="0" xr:uid="{5C483A9E-A48A-4B15-ABF0-3309FD459B75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=本年度检测数据取平均值，其他同</t>
        </r>
      </text>
    </comment>
    <comment ref="E7" authorId="0" shapeId="0" xr:uid="{A37A2B81-86CF-4234-A5F7-5B849AC1071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 shapeId="0" xr:uid="{0A35ED70-7C61-47D5-8232-F9DF4BFC23E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 shapeId="0" xr:uid="{B38A9064-6398-45EE-A2FA-5CA0AB8CD1A0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=本年度检测数据取平均值，其他同</t>
        </r>
      </text>
    </comment>
    <comment ref="I7" authorId="0" shapeId="0" xr:uid="{6FF529D2-A73B-4737-946F-ACFF0CFE23F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 shapeId="0" xr:uid="{256E17A7-0674-4E3C-A6B6-85D18BB6172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 shapeId="0" xr:uid="{FA8B7820-F109-4D1E-9692-93AC9D8B30F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 shapeId="0" xr:uid="{05E24430-5BD3-4BB5-88C1-E47CD001A5A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 shapeId="0" xr:uid="{79845427-F212-477C-BC69-20D248AB376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 shapeId="0" xr:uid="{0FFEAE34-FF58-46AA-BE2B-565CA2F1BCB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634C56AA-A919-453D-B486-5176207435F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 shapeId="0" xr:uid="{96269FEB-06AD-4F5B-A8D3-BBFF744BFAC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 shapeId="0" xr:uid="{D3BC12FE-F86A-406E-B2CF-DFC194800C6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B14" authorId="0" shapeId="0" xr:uid="{8A425780-4E79-474E-A20E-B71FAA85052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D14" authorId="0" shapeId="0" xr:uid="{1492B2A8-D1AD-4626-BF4E-541101D7F8C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E14" authorId="0" shapeId="0" xr:uid="{0552AD42-76A0-415F-B4B8-EBC0FA9342E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F14" authorId="0" shapeId="0" xr:uid="{8484E233-9B0D-4396-9A59-A6646453AB0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G14" authorId="0" shapeId="0" xr:uid="{DE5B5C3F-D78F-44A9-942D-37C4DF7BBED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H14" authorId="0" shapeId="0" xr:uid="{F7EC4115-CD44-4665-BB95-A5ADE014C60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I14" authorId="0" shapeId="0" xr:uid="{94A9DFCB-7740-4B3A-9923-BA40AABE830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L14" authorId="0" shapeId="0" xr:uid="{DC15C925-ACCF-4DB6-A094-5EA9E42A725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M14" authorId="0" shapeId="0" xr:uid="{6A0F2A10-CD92-42D9-978C-759AE5D20DA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N14" authorId="0" shapeId="0" xr:uid="{A70235DB-5CF3-4217-BED5-72205B4639A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O14" authorId="0" shapeId="0" xr:uid="{6A83E1F4-F6DD-4FA9-87BB-A029769D13D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P14" authorId="0" shapeId="0" xr:uid="{F3F09AF8-BEE2-4972-9520-FDAAA2BB021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R14" authorId="0" shapeId="0" xr:uid="{FAB97DF6-3CEC-4071-A836-F7623A571A4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14" authorId="0" shapeId="0" xr:uid="{4ACE1542-9981-4585-B388-478915938CF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T14" authorId="0" shapeId="0" xr:uid="{05A47FDD-76C9-45BC-BF39-67C877585AD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14" authorId="0" shapeId="0" xr:uid="{86F55928-F879-435E-863D-5F8C50DAAD0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14" authorId="0" shapeId="0" xr:uid="{EC7F6318-829E-48DD-87B8-F36DFA1DA30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0B3CB284-A078-4E4E-8C12-88C1C425EF6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9" authorId="0" shapeId="0" xr:uid="{57E862EB-5050-4704-971F-D48A82B2D99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 shapeId="0" xr:uid="{CA8101A1-5F59-4114-A3BD-7D9B486363F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 shapeId="0" xr:uid="{E5376C37-28C5-48C5-BE7C-037E02B8F33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 shapeId="0" xr:uid="{CB5E173B-9D43-482A-ADCD-8CD11A96BF0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 shapeId="0" xr:uid="{924C04E1-B4FB-4C75-A844-5B2F90F08EF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 shapeId="0" xr:uid="{FF3FD1D9-D23B-4CBA-ADE5-4C6A5B9BEB8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13" authorId="0" shapeId="0" xr:uid="{D6E9E0EB-76CB-4973-BEED-8D96BA1C758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30326DF5-D3BB-4A70-ACCE-4BA8B8DFDB4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 shapeId="0" xr:uid="{075A0126-7751-47A4-BF03-BDA1816C6C1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 shapeId="0" xr:uid="{74F87AD6-6784-4001-93EF-4E980184C6D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 shapeId="0" xr:uid="{9ABFC379-4A49-4E55-A609-6990D9B5037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 shapeId="0" xr:uid="{C6965BF3-7056-466C-90FA-05BF095A301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 shapeId="0" xr:uid="{9670136B-8879-4F28-880C-1A95245A651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4" authorId="0" shapeId="0" xr:uid="{27BF4EC3-CCBB-40AC-B256-40D1F920FAC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 shapeId="0" xr:uid="{4F5634FA-21E0-41BF-8582-4AF304DD824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 shapeId="0" xr:uid="{182C6BA2-AD59-4D9D-A6B0-BAAFDF045E8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 shapeId="0" xr:uid="{8D65E87B-5174-413C-A8E8-ED0DDC8D7CC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 shapeId="0" xr:uid="{C59B725D-6732-4ABB-9D01-9405C182FF1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E15" authorId="0" shapeId="0" xr:uid="{0BA0B53B-0169-4C79-90BB-65BE59F59BF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 shapeId="0" xr:uid="{9DB2C261-86EB-4BB1-8E8D-624FED2A776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 shapeId="0" xr:uid="{F12DC2EF-29BE-4B2B-B3B5-C709FB46912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 shapeId="0" xr:uid="{62A9AE49-6256-4C67-AB4B-E89DA6C0DEA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 shapeId="0" xr:uid="{8FCB3284-CDA0-4166-B64B-304173B98BA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 shapeId="0" xr:uid="{FBDB9B63-69B4-4CCA-A96B-C314C517FF5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 shapeId="0" xr:uid="{B36CADEE-E432-42A1-8517-C8C143328E2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 shapeId="0" xr:uid="{E02502CF-684E-4D7F-9509-509DD515BAF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 shapeId="0" xr:uid="{59F15B39-2403-4DB0-AC42-95E457291F4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 shapeId="0" xr:uid="{AC315762-CE02-47EA-950A-718047F59EE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 shapeId="0" xr:uid="{48441358-8FAF-4F70-8AF3-15656EC2B0B8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  <comment ref="E18" authorId="0" shapeId="0" xr:uid="{D4114F17-2F23-4A41-BE99-96D39F1A0AB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8" authorId="0" shapeId="0" xr:uid="{32378609-40C4-4635-9160-A19EBBA4340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8" authorId="0" shapeId="0" xr:uid="{C327BEDE-920C-4DA1-92B7-EEC619F57BD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8" authorId="0" shapeId="0" xr:uid="{29A53DB8-950D-4598-B58D-2B4C413F218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8" authorId="0" shapeId="0" xr:uid="{0D88CCEB-47FA-4C48-BA6D-09768E33EDA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8" authorId="0" shapeId="0" xr:uid="{EDB1773D-D730-4973-AE59-ABE742D9D9B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8" authorId="0" shapeId="0" xr:uid="{D03CA176-0290-44CC-AB39-D3FFFB5312F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8" authorId="0" shapeId="0" xr:uid="{E526CA66-CBB9-4086-952C-5A4AD9247FB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8" authorId="0" shapeId="0" xr:uid="{1932E547-FEE6-4E86-BE7D-B1425438DFC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8" authorId="0" shapeId="0" xr:uid="{EF96ACBE-E415-4956-A5EC-9897C33F4D8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9" authorId="0" shapeId="0" xr:uid="{FF713F5E-1B28-46E4-B556-0C811ECA0D79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<sst xmlns="http://schemas.openxmlformats.org/spreadsheetml/2006/main" count="699" uniqueCount="348">
  <si>
    <t>设计参数</t>
    <phoneticPr fontId="1" type="noConversion"/>
  </si>
  <si>
    <t>时间</t>
    <phoneticPr fontId="1" type="noConversion"/>
  </si>
  <si>
    <t>反应器
入口温度</t>
    <phoneticPr fontId="1" type="noConversion"/>
  </si>
  <si>
    <t>羟基
流量</t>
    <phoneticPr fontId="1" type="noConversion"/>
  </si>
  <si>
    <t>反应器
入口压力</t>
    <phoneticPr fontId="1" type="noConversion"/>
  </si>
  <si>
    <t>反应器
出口温度</t>
    <phoneticPr fontId="1" type="noConversion"/>
  </si>
  <si>
    <t>反应器
温度</t>
    <phoneticPr fontId="1" type="noConversion"/>
  </si>
  <si>
    <t>气氨
流量</t>
    <phoneticPr fontId="1" type="noConversion"/>
  </si>
  <si>
    <t>配比蒸汽
流量</t>
    <phoneticPr fontId="1" type="noConversion"/>
  </si>
  <si>
    <t>平均配比
摩尔比</t>
    <phoneticPr fontId="1" type="noConversion"/>
  </si>
  <si>
    <t>m3/h</t>
    <phoneticPr fontId="1" type="noConversion"/>
  </si>
  <si>
    <t>kg/h</t>
    <phoneticPr fontId="1" type="noConversion"/>
  </si>
  <si>
    <t>/</t>
    <phoneticPr fontId="1" type="noConversion"/>
  </si>
  <si>
    <t>℃</t>
    <phoneticPr fontId="1" type="noConversion"/>
  </si>
  <si>
    <t>Mpa</t>
  </si>
  <si>
    <t>Mpa</t>
    <phoneticPr fontId="1" type="noConversion"/>
  </si>
  <si>
    <t>项目</t>
    <phoneticPr fontId="1" type="noConversion"/>
  </si>
  <si>
    <t>上上周参数</t>
    <phoneticPr fontId="1" type="noConversion"/>
  </si>
  <si>
    <t>上周参数</t>
    <phoneticPr fontId="1" type="noConversion"/>
  </si>
  <si>
    <t>本周参数</t>
    <phoneticPr fontId="1" type="noConversion"/>
  </si>
  <si>
    <t>反应器
出口压力</t>
    <phoneticPr fontId="1" type="noConversion"/>
  </si>
  <si>
    <t>二乙腈含量</t>
    <phoneticPr fontId="1" type="noConversion"/>
  </si>
  <si>
    <t>二乙腈含量
（%）</t>
    <phoneticPr fontId="1" type="noConversion"/>
  </si>
  <si>
    <t>色谱法</t>
    <phoneticPr fontId="1" type="noConversion"/>
  </si>
  <si>
    <t>化分法
（%）</t>
    <phoneticPr fontId="1" type="noConversion"/>
  </si>
  <si>
    <t>色谱法
（%）</t>
    <phoneticPr fontId="1" type="noConversion"/>
  </si>
  <si>
    <t>二乙腈
含 量</t>
    <phoneticPr fontId="1" type="noConversion"/>
  </si>
  <si>
    <t>羟基乙腈
残 余</t>
    <phoneticPr fontId="1" type="noConversion"/>
  </si>
  <si>
    <t>百分比
（%）</t>
    <phoneticPr fontId="1" type="noConversion"/>
  </si>
  <si>
    <t>浓度
（g/L）</t>
    <phoneticPr fontId="1" type="noConversion"/>
  </si>
  <si>
    <t>项 目</t>
    <phoneticPr fontId="1" type="noConversion"/>
  </si>
  <si>
    <t>pH值</t>
    <phoneticPr fontId="1" type="noConversion"/>
  </si>
  <si>
    <t>硫酸用量
（kg/h）</t>
    <phoneticPr fontId="1" type="noConversion"/>
  </si>
  <si>
    <t>本月平均</t>
    <phoneticPr fontId="1" type="noConversion"/>
  </si>
  <si>
    <t>上周平均</t>
    <phoneticPr fontId="1" type="noConversion"/>
  </si>
  <si>
    <t>本周平均</t>
    <phoneticPr fontId="1" type="noConversion"/>
  </si>
  <si>
    <t>差值</t>
    <phoneticPr fontId="1" type="noConversion"/>
  </si>
  <si>
    <t>mg/L</t>
    <phoneticPr fontId="1" type="noConversion"/>
  </si>
  <si>
    <t>COD</t>
    <phoneticPr fontId="1" type="noConversion"/>
  </si>
  <si>
    <t>指标</t>
    <phoneticPr fontId="1" type="noConversion"/>
  </si>
  <si>
    <t>单位</t>
    <phoneticPr fontId="1" type="noConversion"/>
  </si>
  <si>
    <t>TCN/总腈</t>
    <phoneticPr fontId="1" type="noConversion"/>
  </si>
  <si>
    <t>NH3-N/氨氮</t>
    <phoneticPr fontId="1" type="noConversion"/>
  </si>
  <si>
    <t>HCHO/甲醛</t>
    <phoneticPr fontId="1" type="noConversion"/>
  </si>
  <si>
    <t>pH</t>
    <phoneticPr fontId="1" type="noConversion"/>
  </si>
  <si>
    <t>大生产数据</t>
    <phoneticPr fontId="1" type="noConversion"/>
  </si>
  <si>
    <t>上上周平均</t>
    <phoneticPr fontId="1" type="noConversion"/>
  </si>
  <si>
    <t>农科数据</t>
    <phoneticPr fontId="1" type="noConversion"/>
  </si>
  <si>
    <t>低蒸压力</t>
    <phoneticPr fontId="1" type="noConversion"/>
  </si>
  <si>
    <t>低蒸温度</t>
    <phoneticPr fontId="1" type="noConversion"/>
  </si>
  <si>
    <t>备注：分析密度，每24小时白班送检一次。</t>
    <phoneticPr fontId="1" type="noConversion"/>
  </si>
  <si>
    <r>
      <t>25000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30000</t>
    </r>
    <phoneticPr fontId="1" type="noConversion"/>
  </si>
  <si>
    <r>
      <t>900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1200</t>
    </r>
    <phoneticPr fontId="1" type="noConversion"/>
  </si>
  <si>
    <r>
      <t>2500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3000</t>
    </r>
    <phoneticPr fontId="1" type="noConversion"/>
  </si>
  <si>
    <r>
      <t>30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50</t>
    </r>
    <phoneticPr fontId="1" type="noConversion"/>
  </si>
  <si>
    <t>月份</t>
    <phoneticPr fontId="1" type="noConversion"/>
  </si>
  <si>
    <t>%</t>
    <phoneticPr fontId="1" type="noConversion"/>
  </si>
  <si>
    <t>水分含量</t>
    <phoneticPr fontId="1" type="noConversion"/>
  </si>
  <si>
    <t>综合含量</t>
    <phoneticPr fontId="1" type="noConversion"/>
  </si>
  <si>
    <t>未知物含量</t>
    <phoneticPr fontId="1" type="noConversion"/>
  </si>
  <si>
    <t>本年度平均</t>
    <phoneticPr fontId="1" type="noConversion"/>
  </si>
  <si>
    <t>化学分析法</t>
    <phoneticPr fontId="1" type="noConversion"/>
  </si>
  <si>
    <t>备注</t>
    <phoneticPr fontId="1" type="noConversion"/>
  </si>
  <si>
    <t>上上周</t>
    <phoneticPr fontId="1" type="noConversion"/>
  </si>
  <si>
    <t>上周</t>
    <phoneticPr fontId="1" type="noConversion"/>
  </si>
  <si>
    <t>本周</t>
    <phoneticPr fontId="1" type="noConversion"/>
  </si>
  <si>
    <t>平
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</si>
  <si>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</si>
  <si>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</si>
  <si>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</si>
  <si>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</si>
  <si>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</si>
  <si>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</si>
  <si>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</si>
  <si>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</si>
  <si>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</si>
  <si>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</si>
  <si>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</si>
  <si>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</si>
  <si>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收
率
（%）</t>
    <phoneticPr fontId="1" type="noConversion"/>
  </si>
  <si>
    <t>班
产
量
（t）</t>
    <phoneticPr fontId="1" type="noConversion"/>
  </si>
  <si>
    <t>设计值</t>
    <phoneticPr fontId="1" type="noConversion"/>
  </si>
  <si>
    <t>进料量</t>
    <phoneticPr fontId="1" type="noConversion"/>
  </si>
  <si>
    <t>出料量</t>
    <phoneticPr fontId="1" type="noConversion"/>
  </si>
  <si>
    <t>浓缩比</t>
    <phoneticPr fontId="1" type="noConversion"/>
  </si>
  <si>
    <t>出料比重</t>
    <phoneticPr fontId="1" type="noConversion"/>
  </si>
  <si>
    <t>g/L</t>
    <phoneticPr fontId="1" type="noConversion"/>
  </si>
  <si>
    <t>蒸汽用量</t>
    <phoneticPr fontId="1" type="noConversion"/>
  </si>
  <si>
    <t>t/h</t>
    <phoneticPr fontId="1" type="noConversion"/>
  </si>
  <si>
    <t>无</t>
    <phoneticPr fontId="1" type="noConversion"/>
  </si>
  <si>
    <t>本周数据</t>
    <phoneticPr fontId="1" type="noConversion"/>
  </si>
  <si>
    <t>低蒸运行参数</t>
    <phoneticPr fontId="1" type="noConversion"/>
  </si>
  <si>
    <t>低蒸母液分析：送检频次，一天一次；管反反应液一天三次</t>
    <phoneticPr fontId="1" type="noConversion"/>
  </si>
  <si>
    <t>硫铵含量</t>
    <phoneticPr fontId="1" type="noConversion"/>
  </si>
  <si>
    <t>羟基乙腈含量</t>
    <phoneticPr fontId="1" type="noConversion"/>
  </si>
  <si>
    <t>硫铵含量
（g/L）</t>
    <phoneticPr fontId="1" type="noConversion"/>
  </si>
  <si>
    <t>羟基乙腈含量
（g/L）</t>
    <phoneticPr fontId="1" type="noConversion"/>
  </si>
  <si>
    <t>外排废液
m3废液/t产品</t>
    <phoneticPr fontId="1" type="noConversion"/>
  </si>
  <si>
    <t>本周固液比控制范围：</t>
    <phoneticPr fontId="1" type="noConversion"/>
  </si>
  <si>
    <t>本周累计外排废液量：</t>
    <phoneticPr fontId="1" type="noConversion"/>
  </si>
  <si>
    <t>m3</t>
    <phoneticPr fontId="1" type="noConversion"/>
  </si>
  <si>
    <t>二次母液
分析数据</t>
    <phoneticPr fontId="1" type="noConversion"/>
  </si>
  <si>
    <t>脱色前</t>
    <phoneticPr fontId="1" type="noConversion"/>
  </si>
  <si>
    <t>脱色后</t>
    <phoneticPr fontId="1" type="noConversion"/>
  </si>
  <si>
    <t>差 值</t>
    <phoneticPr fontId="1" type="noConversion"/>
  </si>
  <si>
    <t>上 周</t>
    <phoneticPr fontId="1" type="noConversion"/>
  </si>
  <si>
    <t>本 周</t>
    <phoneticPr fontId="1" type="noConversion"/>
  </si>
  <si>
    <t>kg/t</t>
    <phoneticPr fontId="1" type="noConversion"/>
  </si>
  <si>
    <t>活性炭单耗</t>
    <phoneticPr fontId="1" type="noConversion"/>
  </si>
  <si>
    <t>脱色
消耗</t>
    <phoneticPr fontId="1" type="noConversion"/>
  </si>
  <si>
    <t>透光率</t>
    <phoneticPr fontId="1" type="noConversion"/>
  </si>
  <si>
    <t>型号</t>
    <phoneticPr fontId="1" type="noConversion"/>
  </si>
  <si>
    <t xml:space="preserve">                指标
对比项目</t>
    <phoneticPr fontId="1" type="noConversion"/>
  </si>
  <si>
    <t>t</t>
    <phoneticPr fontId="1" type="noConversion"/>
  </si>
  <si>
    <t>t/t</t>
    <phoneticPr fontId="1" type="noConversion"/>
  </si>
  <si>
    <t>m3/t</t>
    <phoneticPr fontId="1" type="noConversion"/>
  </si>
  <si>
    <t>吨产品原料/动力及排放单耗</t>
    <phoneticPr fontId="1" type="noConversion"/>
  </si>
  <si>
    <t>日期</t>
    <phoneticPr fontId="1" type="noConversion"/>
  </si>
  <si>
    <t>星期</t>
    <phoneticPr fontId="1" type="noConversion"/>
  </si>
  <si>
    <t>五</t>
    <phoneticPr fontId="1" type="noConversion"/>
  </si>
  <si>
    <t>六</t>
    <phoneticPr fontId="1" type="noConversion"/>
  </si>
  <si>
    <t>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</si>
  <si>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</si>
  <si>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</si>
  <si>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</si>
  <si>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</si>
  <si>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本周
平均</t>
    <phoneticPr fontId="1" type="noConversion"/>
  </si>
  <si>
    <t>上周
平均</t>
    <phoneticPr fontId="1" type="noConversion"/>
  </si>
  <si>
    <t>两周
差值</t>
    <phoneticPr fontId="1" type="noConversion"/>
  </si>
  <si>
    <t>一、反应液</t>
    <phoneticPr fontId="1" type="noConversion"/>
  </si>
  <si>
    <t>二、产品</t>
    <phoneticPr fontId="1" type="noConversion"/>
  </si>
  <si>
    <t>羟基乙腈</t>
    <phoneticPr fontId="1" type="noConversion"/>
  </si>
  <si>
    <t>二乙腈</t>
    <phoneticPr fontId="1" type="noConversion"/>
  </si>
  <si>
    <t>折百产量</t>
    <phoneticPr fontId="1" type="noConversion"/>
  </si>
  <si>
    <t>2025年第（44）周</t>
    <phoneticPr fontId="1" type="noConversion"/>
  </si>
  <si>
    <t>班次</t>
    <phoneticPr fontId="1" type="noConversion"/>
  </si>
  <si>
    <t>1号</t>
    <phoneticPr fontId="1" type="noConversion"/>
  </si>
  <si>
    <t>2号</t>
    <phoneticPr fontId="1" type="noConversion"/>
  </si>
  <si>
    <t>3号</t>
    <phoneticPr fontId="1" type="noConversion"/>
  </si>
  <si>
    <t>4号</t>
    <phoneticPr fontId="1" type="noConversion"/>
  </si>
  <si>
    <t>5号</t>
    <phoneticPr fontId="1" type="noConversion"/>
  </si>
  <si>
    <t>6号</t>
    <phoneticPr fontId="1" type="noConversion"/>
  </si>
  <si>
    <t>7号</t>
    <phoneticPr fontId="1" type="noConversion"/>
  </si>
  <si>
    <t>白</t>
    <phoneticPr fontId="1" type="noConversion"/>
  </si>
  <si>
    <t>夜</t>
    <phoneticPr fontId="1" type="noConversion"/>
  </si>
  <si>
    <t>第（44周）核心指标完成情况汇总表</t>
    <phoneticPr fontId="1" type="noConversion"/>
  </si>
  <si>
    <t>羟基乙腈
单耗</t>
    <phoneticPr fontId="1" type="noConversion"/>
  </si>
  <si>
    <t>液氨
单耗</t>
    <phoneticPr fontId="1" type="noConversion"/>
  </si>
  <si>
    <t>硫酸
单耗</t>
    <phoneticPr fontId="1" type="noConversion"/>
  </si>
  <si>
    <t>总蒸汽
单耗</t>
    <phoneticPr fontId="1" type="noConversion"/>
  </si>
  <si>
    <t>反应蒸汽
单耗</t>
    <phoneticPr fontId="1" type="noConversion"/>
  </si>
  <si>
    <t>低蒸蒸汽
单耗</t>
    <phoneticPr fontId="1" type="noConversion"/>
  </si>
  <si>
    <t>废液
外排</t>
    <phoneticPr fontId="1" type="noConversion"/>
  </si>
  <si>
    <t>废水
外排</t>
    <phoneticPr fontId="1" type="noConversion"/>
  </si>
  <si>
    <t>0，5150±0.05</t>
    <phoneticPr fontId="1" type="noConversion"/>
  </si>
  <si>
    <t>410±5g/L</t>
    <phoneticPr fontId="1" type="noConversion"/>
  </si>
  <si>
    <t>168±2℃</t>
    <phoneticPr fontId="1" type="noConversion"/>
  </si>
  <si>
    <t>≤20℃</t>
    <phoneticPr fontId="1" type="noConversion"/>
  </si>
  <si>
    <t>氨/腈摩尔比
合格率（%）</t>
    <phoneticPr fontId="1" type="noConversion"/>
  </si>
  <si>
    <t>羟基浓度
合格率（%）</t>
    <phoneticPr fontId="1" type="noConversion"/>
  </si>
  <si>
    <t>氨化反应温度
合格率（%）</t>
    <phoneticPr fontId="1" type="noConversion"/>
  </si>
  <si>
    <t>一次结晶出料
温度合格率（%）</t>
    <phoneticPr fontId="1" type="noConversion"/>
  </si>
  <si>
    <t>核心工艺指标合格率
（%）</t>
    <phoneticPr fontId="1" type="noConversion"/>
  </si>
  <si>
    <t>实际产量</t>
    <phoneticPr fontId="1" type="noConversion"/>
  </si>
  <si>
    <t>kg/班</t>
    <phoneticPr fontId="1" type="noConversion"/>
  </si>
  <si>
    <t>收率</t>
    <phoneticPr fontId="1" type="noConversion"/>
  </si>
  <si>
    <t>第21周 周报---脱色工序数据分析表</t>
    <phoneticPr fontId="1" type="noConversion"/>
  </si>
  <si>
    <t>第21周 周报---二次结晶数据分析表</t>
    <phoneticPr fontId="1" type="noConversion"/>
  </si>
  <si>
    <t>第21周 周报---产品原料/动力/排放单耗数据分析表</t>
    <phoneticPr fontId="1" type="noConversion"/>
  </si>
  <si>
    <t>第21周 周报---核心指标分析汇总表</t>
    <phoneticPr fontId="1" type="noConversion"/>
  </si>
  <si>
    <t>第21周 周报---反应工序控制参数表</t>
    <phoneticPr fontId="1" type="noConversion"/>
  </si>
  <si>
    <t>第21周 周报---闪蒸废水分析数据表</t>
    <phoneticPr fontId="1" type="noConversion"/>
  </si>
  <si>
    <t>第21周 周报---反应液分析数据表</t>
    <phoneticPr fontId="1" type="noConversion"/>
  </si>
  <si>
    <t>第21周 周报---结晶工序数据分析表</t>
    <phoneticPr fontId="1" type="noConversion"/>
  </si>
  <si>
    <t>第21周 周报---产品指标分析表</t>
    <phoneticPr fontId="1" type="noConversion"/>
  </si>
  <si>
    <t>第21周 周报---产品收率数据分析表</t>
    <phoneticPr fontId="1" type="noConversion"/>
  </si>
  <si>
    <t>第21周 周报---汇总数据分析表</t>
    <phoneticPr fontId="1" type="noConversion"/>
  </si>
  <si>
    <t>第21周 周报---低蒸数据分析表</t>
    <phoneticPr fontId="1" type="noConversion"/>
  </si>
  <si>
    <t>Cell13</t>
    <phoneticPr fontId="1" type="noConversion"/>
  </si>
  <si>
    <t>Cell15</t>
  </si>
  <si>
    <t>Cell19</t>
  </si>
  <si>
    <t>Cell22</t>
    <phoneticPr fontId="1" type="noConversion"/>
  </si>
  <si>
    <t>Cell24</t>
    <phoneticPr fontId="1" type="noConversion"/>
  </si>
  <si>
    <t>Cell25</t>
  </si>
  <si>
    <t>Cell26</t>
  </si>
  <si>
    <t>Cell27</t>
  </si>
  <si>
    <t>Cell28</t>
  </si>
  <si>
    <t>本月平均</t>
    <phoneticPr fontId="1" type="noConversion"/>
  </si>
  <si>
    <t>一次结晶</t>
    <phoneticPr fontId="1" type="noConversion"/>
  </si>
  <si>
    <t>二次结晶</t>
    <phoneticPr fontId="1" type="noConversion"/>
  </si>
  <si>
    <t>本周</t>
  </si>
  <si>
    <t>二乙腈
含量</t>
    <phoneticPr fontId="1" type="noConversion"/>
  </si>
  <si>
    <t>水分
含量</t>
    <phoneticPr fontId="1" type="noConversion"/>
  </si>
  <si>
    <t>二乙腈+水</t>
    <phoneticPr fontId="1" type="noConversion"/>
  </si>
  <si>
    <t>未知物
含量</t>
    <phoneticPr fontId="1" type="noConversion"/>
  </si>
  <si>
    <t>产量</t>
    <phoneticPr fontId="1" type="noConversion"/>
  </si>
  <si>
    <t>折百
产量</t>
    <phoneticPr fontId="1" type="noConversion"/>
  </si>
  <si>
    <t>二乙腈+水</t>
  </si>
  <si>
    <t>产量</t>
  </si>
  <si>
    <t>化分
%</t>
    <phoneticPr fontId="1" type="noConversion"/>
  </si>
  <si>
    <t>色谱
%</t>
    <phoneticPr fontId="1" type="noConversion"/>
  </si>
  <si>
    <t>kg</t>
    <phoneticPr fontId="1" type="noConversion"/>
  </si>
  <si>
    <t>%</t>
  </si>
  <si>
    <t>kg</t>
  </si>
  <si>
    <t>检测数据</t>
    <phoneticPr fontId="1" type="noConversion"/>
  </si>
  <si>
    <t>一次结晶物/一次产品</t>
    <phoneticPr fontId="1" type="noConversion"/>
  </si>
  <si>
    <t>二次结晶物/二次产品</t>
    <phoneticPr fontId="1" type="noConversion"/>
  </si>
  <si>
    <t>班合计（一次产品+二次产品）</t>
    <phoneticPr fontId="1" type="noConversion"/>
  </si>
  <si>
    <t>班产
与日平均产量的差额</t>
    <phoneticPr fontId="1" type="noConversion"/>
  </si>
  <si>
    <t>上周数据</t>
    <phoneticPr fontId="1" type="noConversion"/>
  </si>
  <si>
    <t>主要原料消耗/单耗</t>
    <phoneticPr fontId="1" type="noConversion"/>
  </si>
  <si>
    <t>序号</t>
    <phoneticPr fontId="1" type="noConversion"/>
  </si>
  <si>
    <t>液氨</t>
    <phoneticPr fontId="1" type="noConversion"/>
  </si>
  <si>
    <t>稀硫酸</t>
    <phoneticPr fontId="1" type="noConversion"/>
  </si>
  <si>
    <t>蒸汽
总消耗</t>
    <phoneticPr fontId="1" type="noConversion"/>
  </si>
  <si>
    <t>反应蒸汽
消耗</t>
    <phoneticPr fontId="1" type="noConversion"/>
  </si>
  <si>
    <t>低蒸蒸汽
消耗</t>
    <phoneticPr fontId="1" type="noConversion"/>
  </si>
  <si>
    <t>脱盐水
消耗</t>
    <phoneticPr fontId="1" type="noConversion"/>
  </si>
  <si>
    <t>电
消耗</t>
    <phoneticPr fontId="1" type="noConversion"/>
  </si>
  <si>
    <t>废水
排放</t>
    <phoneticPr fontId="1" type="noConversion"/>
  </si>
  <si>
    <t>废液
排放</t>
    <phoneticPr fontId="1" type="noConversion"/>
  </si>
  <si>
    <t>用量</t>
    <phoneticPr fontId="1" type="noConversion"/>
  </si>
  <si>
    <t>用量</t>
  </si>
  <si>
    <t>单位</t>
  </si>
  <si>
    <t xml:space="preserve"> 排放量</t>
    <phoneticPr fontId="1" type="noConversion"/>
  </si>
  <si>
    <t xml:space="preserve"> 排放量</t>
  </si>
  <si>
    <t>白班</t>
    <phoneticPr fontId="1" type="noConversion"/>
  </si>
  <si>
    <t>KWh</t>
    <phoneticPr fontId="1" type="noConversion"/>
  </si>
  <si>
    <t>折百产量(t)</t>
    <phoneticPr fontId="1" type="noConversion"/>
  </si>
  <si>
    <t>t</t>
  </si>
  <si>
    <t>单耗</t>
    <phoneticPr fontId="1" type="noConversion"/>
  </si>
  <si>
    <t>KWh/t</t>
    <phoneticPr fontId="1" type="noConversion"/>
  </si>
  <si>
    <t>m3/t</t>
  </si>
  <si>
    <t>夜班</t>
    <phoneticPr fontId="1" type="noConversion"/>
  </si>
  <si>
    <t>日消耗/排放汇总</t>
    <phoneticPr fontId="1" type="noConversion"/>
  </si>
  <si>
    <t>m3</t>
  </si>
  <si>
    <t>KWh</t>
  </si>
  <si>
    <t>日折百产量汇总</t>
    <phoneticPr fontId="1" type="noConversion"/>
  </si>
  <si>
    <t>日平均单耗/排放</t>
    <phoneticPr fontId="1" type="noConversion"/>
  </si>
  <si>
    <t>t/t</t>
  </si>
  <si>
    <t>KWh/t</t>
  </si>
  <si>
    <t>如何判断这一周再运行</t>
    <phoneticPr fontId="1" type="noConversion"/>
  </si>
  <si>
    <t>差值</t>
    <phoneticPr fontId="1" type="noConversion"/>
  </si>
  <si>
    <t>平均值</t>
    <phoneticPr fontId="1" type="noConversion"/>
  </si>
  <si>
    <t>sourcedata</t>
    <phoneticPr fontId="1" type="noConversion"/>
  </si>
  <si>
    <t>operatorInputData</t>
  </si>
  <si>
    <t>Cell11</t>
    <phoneticPr fontId="1" type="noConversion"/>
  </si>
  <si>
    <t>Cell12</t>
  </si>
  <si>
    <t>Cell13</t>
  </si>
  <si>
    <t>Cell14</t>
  </si>
  <si>
    <t>Cell17</t>
  </si>
  <si>
    <t>Cell17</t>
    <phoneticPr fontId="1" type="noConversion"/>
  </si>
  <si>
    <t>Cell1</t>
    <phoneticPr fontId="1" type="noConversion"/>
  </si>
  <si>
    <t>Cell2</t>
  </si>
  <si>
    <t>Cell3</t>
  </si>
  <si>
    <t>Cell4</t>
  </si>
  <si>
    <t>Cell5</t>
  </si>
  <si>
    <t>sourceData</t>
    <phoneticPr fontId="1" type="noConversion"/>
  </si>
  <si>
    <t xml:space="preserve"> Cell92</t>
    <phoneticPr fontId="1" type="noConversion"/>
  </si>
  <si>
    <t xml:space="preserve"> Cell106</t>
    <phoneticPr fontId="1" type="noConversion"/>
  </si>
  <si>
    <t>这两个可以从手写数据中采集么</t>
    <phoneticPr fontId="1" type="noConversion"/>
  </si>
  <si>
    <t>(Cell21*Cell26+Cell31*Cell36)/(Cell26+Cell36)</t>
    <phoneticPr fontId="1" type="noConversion"/>
  </si>
  <si>
    <t>(Cell22*Cell26+Cell32*Cell36)/(Cell26+Cell36)</t>
    <phoneticPr fontId="1" type="noConversion"/>
  </si>
  <si>
    <t>operatadata</t>
    <phoneticPr fontId="1" type="noConversion"/>
  </si>
  <si>
    <t>Cell11</t>
    <phoneticPr fontId="1" type="noConversion"/>
  </si>
  <si>
    <t>表3-需要计算</t>
    <phoneticPr fontId="1" type="noConversion"/>
  </si>
  <si>
    <t>Cell</t>
    <phoneticPr fontId="1" type="noConversion"/>
  </si>
  <si>
    <t>低温母液是单独的还是使用某个表中的数据代替</t>
    <phoneticPr fontId="1" type="noConversion"/>
  </si>
  <si>
    <t>operatedata Cell63/sourcedata Cell105</t>
    <phoneticPr fontId="1" type="noConversion"/>
  </si>
  <si>
    <t>operatedata Cell62</t>
    <phoneticPr fontId="1" type="noConversion"/>
  </si>
  <si>
    <t>operatedata Cell51</t>
    <phoneticPr fontId="1" type="noConversion"/>
  </si>
  <si>
    <t>operatedata Cell57</t>
    <phoneticPr fontId="1" type="noConversion"/>
  </si>
  <si>
    <t>operatedata Cell52</t>
    <phoneticPr fontId="1" type="noConversion"/>
  </si>
  <si>
    <t>operatedata Cell59</t>
    <phoneticPr fontId="1" type="noConversion"/>
  </si>
  <si>
    <t>operatedata Cell55</t>
    <phoneticPr fontId="1" type="noConversion"/>
  </si>
  <si>
    <t>operatedata Cell61</t>
    <phoneticPr fontId="1" type="noConversion"/>
  </si>
  <si>
    <t xml:space="preserve">                             指标
 时间</t>
    <phoneticPr fontId="1" type="noConversion"/>
  </si>
  <si>
    <t>sourcedata Cell</t>
    <phoneticPr fontId="1" type="noConversion"/>
  </si>
  <si>
    <t>operatedata</t>
    <phoneticPr fontId="1" type="noConversion"/>
  </si>
  <si>
    <t>折干=折百</t>
    <phoneticPr fontId="1" type="noConversion"/>
  </si>
  <si>
    <t>表3 二乙睛化分平均</t>
    <phoneticPr fontId="1" type="noConversion"/>
  </si>
  <si>
    <t>表3 产量汇总最下角</t>
    <phoneticPr fontId="1" type="noConversion"/>
  </si>
  <si>
    <t>水+二乙睛</t>
    <phoneticPr fontId="1" type="noConversion"/>
  </si>
  <si>
    <t>表5 新增列</t>
    <phoneticPr fontId="1" type="noConversion"/>
  </si>
  <si>
    <t>公式算前面的平均值</t>
    <phoneticPr fontId="1" type="noConversion"/>
  </si>
  <si>
    <t>表3 采集</t>
    <phoneticPr fontId="1" type="noConversion"/>
  </si>
  <si>
    <t>液脱色前 表5</t>
    <phoneticPr fontId="1" type="noConversion"/>
  </si>
  <si>
    <t>三、收率</t>
    <phoneticPr fontId="1" type="noConversion"/>
  </si>
  <si>
    <t>四、废液</t>
    <phoneticPr fontId="1" type="noConversion"/>
  </si>
  <si>
    <t>Cell114</t>
    <phoneticPr fontId="1" type="noConversion"/>
  </si>
  <si>
    <t>Cell112</t>
    <phoneticPr fontId="1" type="noConversion"/>
  </si>
  <si>
    <t>Cell110</t>
    <phoneticPr fontId="1" type="noConversion"/>
  </si>
  <si>
    <t>累计除以产量</t>
    <phoneticPr fontId="1" type="noConversion"/>
  </si>
  <si>
    <t>中试标准指标</t>
    <phoneticPr fontId="1" type="noConversion"/>
  </si>
  <si>
    <t>实际运行数据</t>
    <phoneticPr fontId="1" type="noConversion"/>
  </si>
  <si>
    <t>二、原料消耗</t>
    <phoneticPr fontId="1" type="noConversion"/>
  </si>
  <si>
    <t>合格</t>
    <phoneticPr fontId="1" type="noConversion"/>
  </si>
  <si>
    <t>三、工艺指标</t>
    <phoneticPr fontId="1" type="noConversion"/>
  </si>
  <si>
    <t>215±5</t>
    <phoneticPr fontId="1" type="noConversion"/>
  </si>
  <si>
    <t>200±10</t>
    <phoneticPr fontId="1" type="noConversion"/>
  </si>
  <si>
    <t>配料单元</t>
    <phoneticPr fontId="1" type="noConversion"/>
  </si>
  <si>
    <t>417±5</t>
    <phoneticPr fontId="1" type="noConversion"/>
  </si>
  <si>
    <t>不合格</t>
    <phoneticPr fontId="1" type="noConversion"/>
  </si>
  <si>
    <t>反应单元</t>
    <phoneticPr fontId="1" type="noConversion"/>
  </si>
  <si>
    <t>氨腈摩尔比</t>
    <phoneticPr fontId="1" type="noConversion"/>
  </si>
  <si>
    <t>(0.530±0.005):1</t>
    <phoneticPr fontId="1" type="noConversion"/>
  </si>
  <si>
    <t>0.75±0.05</t>
    <phoneticPr fontId="1" type="noConversion"/>
  </si>
  <si>
    <t>90±2</t>
    <phoneticPr fontId="1" type="noConversion"/>
  </si>
  <si>
    <t>145±2</t>
    <phoneticPr fontId="1" type="noConversion"/>
  </si>
  <si>
    <t>168±2</t>
    <phoneticPr fontId="1" type="noConversion"/>
  </si>
  <si>
    <t>结晶单元</t>
    <phoneticPr fontId="1" type="noConversion"/>
  </si>
  <si>
    <t>≤20</t>
    <phoneticPr fontId="1" type="noConversion"/>
  </si>
  <si>
    <t>48±2</t>
    <phoneticPr fontId="1" type="noConversion"/>
  </si>
  <si>
    <t>反应液组成</t>
    <phoneticPr fontId="1" type="noConversion"/>
  </si>
  <si>
    <t>羟基乙腈残余</t>
    <phoneticPr fontId="1" type="noConversion"/>
  </si>
  <si>
    <t>≤0.38</t>
    <phoneticPr fontId="1" type="noConversion"/>
  </si>
  <si>
    <t>废液组成</t>
    <phoneticPr fontId="1" type="noConversion"/>
  </si>
  <si>
    <t>一、产品</t>
    <phoneticPr fontId="1" type="noConversion"/>
  </si>
  <si>
    <t>羟基消耗</t>
  </si>
  <si>
    <t>氨消耗</t>
    <phoneticPr fontId="1" type="noConversion"/>
  </si>
  <si>
    <t>硫酸消耗</t>
    <phoneticPr fontId="1" type="noConversion"/>
  </si>
  <si>
    <t xml:space="preserve">羟基浓度 </t>
    <phoneticPr fontId="1" type="noConversion"/>
  </si>
  <si>
    <t>g/l</t>
    <phoneticPr fontId="1" type="noConversion"/>
  </si>
  <si>
    <t>--</t>
    <phoneticPr fontId="1" type="noConversion"/>
  </si>
  <si>
    <t>反应时间</t>
    <phoneticPr fontId="1" type="noConversion"/>
  </si>
  <si>
    <t>s</t>
    <phoneticPr fontId="1" type="noConversion"/>
  </si>
  <si>
    <t>甘氨腈</t>
    <phoneticPr fontId="1" type="noConversion"/>
  </si>
  <si>
    <t>三乙腈</t>
    <phoneticPr fontId="1" type="noConversion"/>
  </si>
  <si>
    <t>其它</t>
    <phoneticPr fontId="1" type="noConversion"/>
  </si>
  <si>
    <t>水分</t>
    <phoneticPr fontId="1" type="noConversion"/>
  </si>
  <si>
    <t>硫铵</t>
    <phoneticPr fontId="1" type="noConversion"/>
  </si>
  <si>
    <t>m³/t</t>
    <phoneticPr fontId="1" type="noConversion"/>
  </si>
  <si>
    <t>废液排放</t>
    <phoneticPr fontId="1" type="noConversion"/>
  </si>
  <si>
    <t>羟基加热温度</t>
    <phoneticPr fontId="1" type="noConversion"/>
  </si>
  <si>
    <t>氨汽混合温度</t>
  </si>
  <si>
    <t>管反热点温度</t>
  </si>
  <si>
    <t>预冷器结晶温度</t>
  </si>
  <si>
    <t>一次结晶温度</t>
  </si>
  <si>
    <t>降膜蒸发温度</t>
  </si>
  <si>
    <t>二次结晶温度</t>
  </si>
  <si>
    <t>反应压力</t>
    <phoneticPr fontId="1" type="noConversion"/>
  </si>
  <si>
    <t>评价</t>
    <phoneticPr fontId="1" type="noConversion"/>
  </si>
  <si>
    <t>0.530:1</t>
  </si>
  <si>
    <t>单位产品排放量</t>
    <phoneticPr fontId="1" type="noConversion"/>
  </si>
  <si>
    <t>二乙睛中试车间周报</t>
    <phoneticPr fontId="1" type="noConversion"/>
  </si>
  <si>
    <t>时间:</t>
    <phoneticPr fontId="1" type="noConversion"/>
  </si>
  <si>
    <t>五、其他</t>
    <phoneticPr fontId="1" type="noConversion"/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</si>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</sst>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;[Red]0.00"/>
    <numFmt numFmtId="177" formatCode="0.0000;[Red]0.0000"/>
    <numFmt numFmtId="178" formatCode="0.0;[Red]0.0"/>
    <numFmt numFmtId="179" formatCode="0.000;[Red]0.000"/>
    <numFmt numFmtId="180" formatCode="0.00_ "/>
  </numFmts>
  <fonts count="2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i/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6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0" borderId="6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0" borderId="7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3" fillId="0" borderId="72" xfId="0" applyNumberFormat="1" applyFont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76" fontId="0" fillId="7" borderId="74" xfId="0" applyNumberFormat="1" applyFill="1" applyBorder="1" applyAlignment="1">
      <alignment horizontal="center" vertical="center"/>
    </xf>
    <xf numFmtId="176" fontId="0" fillId="0" borderId="74" xfId="0" applyNumberFormat="1" applyBorder="1" applyAlignment="1">
      <alignment horizontal="center" vertical="center"/>
    </xf>
    <xf numFmtId="176" fontId="0" fillId="0" borderId="75" xfId="0" applyNumberForma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176" fontId="3" fillId="9" borderId="6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0" borderId="35" xfId="0" applyFont="1" applyBorder="1" applyAlignment="1">
      <alignment wrapText="1"/>
    </xf>
    <xf numFmtId="0" fontId="3" fillId="0" borderId="35" xfId="0" applyFont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2" fillId="11" borderId="38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 wrapText="1"/>
    </xf>
    <xf numFmtId="176" fontId="3" fillId="9" borderId="35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0" fillId="0" borderId="0" xfId="0" applyAlignment="1">
      <alignment horizontal="left"/>
    </xf>
    <xf numFmtId="180" fontId="3" fillId="0" borderId="35" xfId="0" applyNumberFormat="1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35" xfId="0" quotePrefix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7" fillId="0" borderId="35" xfId="0" quotePrefix="1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7" fillId="0" borderId="89" xfId="0" applyFont="1" applyBorder="1" applyAlignment="1">
      <alignment horizontal="left" vertical="center"/>
    </xf>
    <xf numFmtId="0" fontId="3" fillId="0" borderId="90" xfId="0" applyFont="1" applyBorder="1" applyAlignment="1">
      <alignment horizontal="center" vertical="center"/>
    </xf>
    <xf numFmtId="0" fontId="19" fillId="13" borderId="87" xfId="0" applyFont="1" applyFill="1" applyBorder="1" applyAlignment="1">
      <alignment vertical="center"/>
    </xf>
    <xf numFmtId="0" fontId="19" fillId="13" borderId="20" xfId="0" applyFont="1" applyFill="1" applyBorder="1" applyAlignment="1">
      <alignment vertical="center"/>
    </xf>
    <xf numFmtId="0" fontId="19" fillId="13" borderId="20" xfId="0" applyFont="1" applyFill="1" applyBorder="1" applyAlignment="1">
      <alignment horizontal="right" vertical="center"/>
    </xf>
    <xf numFmtId="0" fontId="3" fillId="0" borderId="83" xfId="0" quotePrefix="1" applyFont="1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180" fontId="3" fillId="0" borderId="29" xfId="0" applyNumberFormat="1" applyFont="1" applyBorder="1" applyAlignment="1">
      <alignment horizontal="center" vertical="center"/>
    </xf>
    <xf numFmtId="0" fontId="17" fillId="7" borderId="35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17" fillId="7" borderId="83" xfId="0" applyFont="1" applyFill="1" applyBorder="1" applyAlignment="1">
      <alignment horizontal="center" vertical="center"/>
    </xf>
    <xf numFmtId="0" fontId="16" fillId="7" borderId="83" xfId="0" applyFont="1" applyFill="1" applyBorder="1" applyAlignment="1">
      <alignment horizontal="center" vertical="center"/>
    </xf>
    <xf numFmtId="0" fontId="17" fillId="0" borderId="99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7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103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7" fillId="0" borderId="96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0" fontId="18" fillId="13" borderId="84" xfId="0" applyFont="1" applyFill="1" applyBorder="1" applyAlignment="1">
      <alignment horizontal="center" vertical="center"/>
    </xf>
    <xf numFmtId="0" fontId="18" fillId="13" borderId="85" xfId="0" applyFont="1" applyFill="1" applyBorder="1" applyAlignment="1">
      <alignment horizontal="center" vertical="center"/>
    </xf>
    <xf numFmtId="0" fontId="18" fillId="13" borderId="86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88" xfId="0" applyFont="1" applyFill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5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/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1" borderId="59" xfId="0" applyFill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5"/>
  <sheetViews>
    <sheetView tabSelected="1" zoomScale="115" zoomScaleNormal="115" workbookViewId="0">
      <selection activeCell="I5" sqref="I5"/>
    </sheetView>
  </sheetViews>
  <sheetFormatPr defaultRowHeight="14"/>
  <cols>
    <col min="1" max="1" width="1.83203125" customWidth="1"/>
    <col min="2" max="2" width="11.1640625" style="174" bestFit="1" customWidth="1"/>
    <col min="3" max="3" width="9.4140625" bestFit="1" customWidth="1"/>
    <col min="4" max="4" width="12.9140625" bestFit="1" customWidth="1"/>
    <col min="5" max="5" width="6.58203125" bestFit="1" customWidth="1"/>
    <col min="6" max="7" width="17.9140625" bestFit="1" customWidth="1"/>
    <col min="8" max="8" width="18.1640625" customWidth="1"/>
    <col min="9" max="9" width="6.4140625" customWidth="1"/>
    <col min="10" max="10" width="6.58203125" bestFit="1" customWidth="1"/>
    <col min="13" max="13" width="8.83203125" style="174"/>
  </cols>
  <sheetData>
    <row r="1" spans="2:13" ht="14.5" thickBot="1"/>
    <row r="2" spans="2:13" ht="20.149999999999999" customHeight="1">
      <c r="B2" s="215" t="s">
        <v>344</v>
      </c>
      <c r="C2" s="216"/>
      <c r="D2" s="216"/>
      <c r="E2" s="216"/>
      <c r="F2" s="216"/>
      <c r="G2" s="216"/>
      <c r="H2" s="216"/>
      <c r="I2" s="216"/>
      <c r="J2" s="217"/>
    </row>
    <row r="3" spans="2:13" ht="20.149999999999999" customHeight="1">
      <c r="B3" s="185"/>
      <c r="C3" s="186"/>
      <c r="D3" s="186"/>
      <c r="E3" s="186"/>
      <c r="F3" s="186"/>
      <c r="G3" s="187" t="s">
        <v>345</v>
      </c>
      <c r="H3" s="218"/>
      <c r="I3" s="218"/>
      <c r="J3" s="219"/>
    </row>
    <row r="4" spans="2:13" ht="21">
      <c r="B4" s="221" t="s">
        <v>16</v>
      </c>
      <c r="C4" s="222"/>
      <c r="D4" s="206"/>
      <c r="E4" s="180" t="s">
        <v>40</v>
      </c>
      <c r="F4" s="180" t="s">
        <v>293</v>
      </c>
      <c r="G4" s="180" t="s">
        <v>294</v>
      </c>
      <c r="H4" s="205" t="s">
        <v>341</v>
      </c>
      <c r="I4" s="206"/>
      <c r="J4" s="182" t="s">
        <v>62</v>
      </c>
    </row>
    <row r="5" spans="2:13">
      <c r="B5" s="183" t="s">
        <v>317</v>
      </c>
      <c r="C5" s="210" t="s">
        <v>165</v>
      </c>
      <c r="D5" s="210"/>
      <c r="E5" s="179" t="s">
        <v>56</v>
      </c>
      <c r="F5" s="178">
        <v>90</v>
      </c>
      <c r="G5" s="157"/>
      <c r="H5" s="175">
        <f>(G5-F5)/F5*100</f>
        <v>-100</v>
      </c>
      <c r="I5" s="190" t="s">
        <v>56</v>
      </c>
      <c r="J5" s="184"/>
      <c r="M5" s="174">
        <v>86.7</v>
      </c>
    </row>
    <row r="6" spans="2:13">
      <c r="B6" s="212" t="s">
        <v>295</v>
      </c>
      <c r="C6" s="210" t="s">
        <v>318</v>
      </c>
      <c r="D6" s="210"/>
      <c r="E6" s="179" t="s">
        <v>107</v>
      </c>
      <c r="F6" s="178">
        <v>1427</v>
      </c>
      <c r="G6" s="157"/>
      <c r="H6" s="157" t="s">
        <v>296</v>
      </c>
      <c r="I6" s="181" t="s">
        <v>12</v>
      </c>
      <c r="J6" s="184"/>
      <c r="M6" s="174">
        <v>1384</v>
      </c>
    </row>
    <row r="7" spans="2:13">
      <c r="B7" s="213"/>
      <c r="C7" s="210" t="s">
        <v>319</v>
      </c>
      <c r="D7" s="210"/>
      <c r="E7" s="179" t="s">
        <v>107</v>
      </c>
      <c r="F7" s="178" t="s">
        <v>298</v>
      </c>
      <c r="G7" s="157"/>
      <c r="H7" s="157" t="s">
        <v>296</v>
      </c>
      <c r="I7" s="181" t="s">
        <v>12</v>
      </c>
      <c r="J7" s="184"/>
      <c r="M7" s="174">
        <v>183</v>
      </c>
    </row>
    <row r="8" spans="2:13">
      <c r="B8" s="214"/>
      <c r="C8" s="210" t="s">
        <v>320</v>
      </c>
      <c r="D8" s="210"/>
      <c r="E8" s="179" t="s">
        <v>107</v>
      </c>
      <c r="F8" s="178" t="s">
        <v>299</v>
      </c>
      <c r="G8" s="157"/>
      <c r="H8" s="157" t="s">
        <v>296</v>
      </c>
      <c r="I8" s="181" t="s">
        <v>12</v>
      </c>
      <c r="J8" s="184"/>
      <c r="M8" s="174">
        <v>200</v>
      </c>
    </row>
    <row r="9" spans="2:13">
      <c r="B9" s="212" t="s">
        <v>297</v>
      </c>
      <c r="C9" s="179" t="s">
        <v>300</v>
      </c>
      <c r="D9" s="179" t="s">
        <v>321</v>
      </c>
      <c r="E9" s="179" t="s">
        <v>322</v>
      </c>
      <c r="F9" s="178" t="s">
        <v>301</v>
      </c>
      <c r="G9" s="157"/>
      <c r="H9" s="157" t="s">
        <v>302</v>
      </c>
      <c r="I9" s="181" t="s">
        <v>12</v>
      </c>
      <c r="J9" s="184"/>
      <c r="M9" s="174">
        <v>417.7</v>
      </c>
    </row>
    <row r="10" spans="2:13">
      <c r="B10" s="213"/>
      <c r="C10" s="210" t="s">
        <v>303</v>
      </c>
      <c r="D10" s="179" t="s">
        <v>304</v>
      </c>
      <c r="E10" s="181" t="s">
        <v>12</v>
      </c>
      <c r="F10" s="178" t="s">
        <v>305</v>
      </c>
      <c r="G10" s="157"/>
      <c r="H10" s="157" t="s">
        <v>296</v>
      </c>
      <c r="I10" s="181" t="s">
        <v>12</v>
      </c>
      <c r="J10" s="184"/>
      <c r="M10" s="174" t="s">
        <v>342</v>
      </c>
    </row>
    <row r="11" spans="2:13">
      <c r="B11" s="213"/>
      <c r="C11" s="210"/>
      <c r="D11" s="191" t="s">
        <v>324</v>
      </c>
      <c r="E11" s="191" t="s">
        <v>325</v>
      </c>
      <c r="F11" s="192">
        <v>46.63</v>
      </c>
      <c r="G11" s="157"/>
      <c r="H11" s="157" t="s">
        <v>296</v>
      </c>
      <c r="I11" s="181" t="s">
        <v>12</v>
      </c>
      <c r="J11" s="184"/>
      <c r="M11" s="174">
        <v>46.63</v>
      </c>
    </row>
    <row r="12" spans="2:13">
      <c r="B12" s="213"/>
      <c r="C12" s="210"/>
      <c r="D12" s="179" t="s">
        <v>340</v>
      </c>
      <c r="E12" s="179" t="s">
        <v>15</v>
      </c>
      <c r="F12" s="178" t="s">
        <v>306</v>
      </c>
      <c r="G12" s="157"/>
      <c r="H12" s="157" t="s">
        <v>296</v>
      </c>
      <c r="I12" s="181" t="s">
        <v>12</v>
      </c>
      <c r="J12" s="184"/>
      <c r="M12" s="174">
        <v>0.74</v>
      </c>
    </row>
    <row r="13" spans="2:13">
      <c r="B13" s="213"/>
      <c r="C13" s="210"/>
      <c r="D13" s="179" t="s">
        <v>333</v>
      </c>
      <c r="E13" s="179" t="s">
        <v>13</v>
      </c>
      <c r="F13" s="178" t="s">
        <v>307</v>
      </c>
      <c r="G13" s="157"/>
      <c r="H13" s="157" t="s">
        <v>296</v>
      </c>
      <c r="I13" s="181" t="s">
        <v>12</v>
      </c>
      <c r="J13" s="184"/>
      <c r="M13" s="174">
        <v>90.5</v>
      </c>
    </row>
    <row r="14" spans="2:13">
      <c r="B14" s="213"/>
      <c r="C14" s="210"/>
      <c r="D14" s="179" t="s">
        <v>334</v>
      </c>
      <c r="E14" s="179" t="s">
        <v>13</v>
      </c>
      <c r="F14" s="178" t="s">
        <v>308</v>
      </c>
      <c r="G14" s="157"/>
      <c r="H14" s="157" t="s">
        <v>296</v>
      </c>
      <c r="I14" s="181" t="s">
        <v>12</v>
      </c>
      <c r="J14" s="184"/>
      <c r="M14" s="174">
        <v>138.69999999999999</v>
      </c>
    </row>
    <row r="15" spans="2:13">
      <c r="B15" s="213"/>
      <c r="C15" s="210"/>
      <c r="D15" s="179" t="s">
        <v>335</v>
      </c>
      <c r="E15" s="179" t="s">
        <v>13</v>
      </c>
      <c r="F15" s="178" t="s">
        <v>309</v>
      </c>
      <c r="G15" s="157"/>
      <c r="H15" s="157" t="s">
        <v>302</v>
      </c>
      <c r="I15" s="181" t="s">
        <v>12</v>
      </c>
      <c r="J15" s="184"/>
      <c r="M15" s="174">
        <v>160.1</v>
      </c>
    </row>
    <row r="16" spans="2:13">
      <c r="B16" s="213"/>
      <c r="C16" s="210" t="s">
        <v>310</v>
      </c>
      <c r="D16" s="191" t="s">
        <v>336</v>
      </c>
      <c r="E16" s="191" t="s">
        <v>13</v>
      </c>
      <c r="F16" s="192">
        <v>45</v>
      </c>
      <c r="G16" s="157"/>
      <c r="H16" s="157" t="s">
        <v>302</v>
      </c>
      <c r="I16" s="181" t="s">
        <v>12</v>
      </c>
      <c r="J16" s="184"/>
      <c r="M16" s="174">
        <v>46.7</v>
      </c>
    </row>
    <row r="17" spans="2:13">
      <c r="B17" s="213"/>
      <c r="C17" s="210"/>
      <c r="D17" s="191" t="s">
        <v>337</v>
      </c>
      <c r="E17" s="191" t="s">
        <v>13</v>
      </c>
      <c r="F17" s="192" t="s">
        <v>311</v>
      </c>
      <c r="G17" s="157"/>
      <c r="H17" s="157" t="s">
        <v>296</v>
      </c>
      <c r="I17" s="181" t="s">
        <v>12</v>
      </c>
      <c r="J17" s="184"/>
      <c r="M17" s="174">
        <v>19.2</v>
      </c>
    </row>
    <row r="18" spans="2:13">
      <c r="B18" s="213"/>
      <c r="C18" s="210"/>
      <c r="D18" s="191" t="s">
        <v>338</v>
      </c>
      <c r="E18" s="191" t="s">
        <v>13</v>
      </c>
      <c r="F18" s="192" t="s">
        <v>312</v>
      </c>
      <c r="G18" s="157"/>
      <c r="H18" s="157" t="s">
        <v>296</v>
      </c>
      <c r="I18" s="181" t="s">
        <v>12</v>
      </c>
      <c r="J18" s="184"/>
      <c r="M18" s="174">
        <v>48.4</v>
      </c>
    </row>
    <row r="19" spans="2:13">
      <c r="B19" s="213"/>
      <c r="C19" s="210"/>
      <c r="D19" s="191" t="s">
        <v>339</v>
      </c>
      <c r="E19" s="191" t="s">
        <v>13</v>
      </c>
      <c r="F19" s="192" t="s">
        <v>311</v>
      </c>
      <c r="G19" s="157"/>
      <c r="H19" s="157" t="s">
        <v>296</v>
      </c>
      <c r="I19" s="181" t="s">
        <v>12</v>
      </c>
      <c r="J19" s="184"/>
      <c r="M19" s="174">
        <v>18.8</v>
      </c>
    </row>
    <row r="20" spans="2:13">
      <c r="B20" s="213"/>
      <c r="C20" s="210" t="s">
        <v>313</v>
      </c>
      <c r="D20" s="179" t="s">
        <v>21</v>
      </c>
      <c r="E20" s="179" t="s">
        <v>56</v>
      </c>
      <c r="F20" s="181" t="s">
        <v>12</v>
      </c>
      <c r="G20" s="157"/>
      <c r="H20" s="177" t="s">
        <v>323</v>
      </c>
      <c r="I20" s="181" t="s">
        <v>12</v>
      </c>
      <c r="J20" s="184"/>
      <c r="M20" s="174">
        <v>33.340000000000003</v>
      </c>
    </row>
    <row r="21" spans="2:13">
      <c r="B21" s="213"/>
      <c r="C21" s="210"/>
      <c r="D21" s="179" t="s">
        <v>314</v>
      </c>
      <c r="E21" s="193" t="s">
        <v>56</v>
      </c>
      <c r="F21" s="181" t="s">
        <v>12</v>
      </c>
      <c r="G21" s="157"/>
      <c r="H21" s="177" t="s">
        <v>323</v>
      </c>
      <c r="I21" s="181" t="s">
        <v>12</v>
      </c>
      <c r="J21" s="184"/>
      <c r="M21" s="174">
        <v>13.39</v>
      </c>
    </row>
    <row r="22" spans="2:13">
      <c r="B22" s="213"/>
      <c r="C22" s="210"/>
      <c r="D22" s="179" t="s">
        <v>31</v>
      </c>
      <c r="E22" s="181" t="s">
        <v>12</v>
      </c>
      <c r="F22" s="181" t="s">
        <v>12</v>
      </c>
      <c r="G22" s="157"/>
      <c r="H22" s="177" t="s">
        <v>323</v>
      </c>
      <c r="I22" s="181" t="s">
        <v>12</v>
      </c>
      <c r="J22" s="184"/>
      <c r="M22" s="174">
        <v>6.99</v>
      </c>
    </row>
    <row r="23" spans="2:13">
      <c r="B23" s="213"/>
      <c r="C23" s="210"/>
      <c r="D23" s="179" t="s">
        <v>326</v>
      </c>
      <c r="E23" s="179" t="s">
        <v>322</v>
      </c>
      <c r="F23" s="181" t="s">
        <v>12</v>
      </c>
      <c r="G23" s="157"/>
      <c r="H23" s="177" t="s">
        <v>323</v>
      </c>
      <c r="I23" s="181" t="s">
        <v>12</v>
      </c>
      <c r="J23" s="184"/>
      <c r="M23" s="174">
        <v>24.68</v>
      </c>
    </row>
    <row r="24" spans="2:13">
      <c r="B24" s="214"/>
      <c r="C24" s="210"/>
      <c r="D24" s="179" t="s">
        <v>327</v>
      </c>
      <c r="E24" s="179" t="s">
        <v>322</v>
      </c>
      <c r="F24" s="181" t="s">
        <v>12</v>
      </c>
      <c r="G24" s="157"/>
      <c r="H24" s="177" t="s">
        <v>323</v>
      </c>
      <c r="I24" s="181" t="s">
        <v>12</v>
      </c>
      <c r="J24" s="184"/>
      <c r="M24" s="174">
        <v>10.78</v>
      </c>
    </row>
    <row r="25" spans="2:13">
      <c r="B25" s="220" t="s">
        <v>288</v>
      </c>
      <c r="C25" s="179" t="s">
        <v>332</v>
      </c>
      <c r="D25" s="179" t="s">
        <v>343</v>
      </c>
      <c r="E25" s="179" t="s">
        <v>331</v>
      </c>
      <c r="F25" s="178" t="s">
        <v>315</v>
      </c>
      <c r="G25" s="157"/>
      <c r="H25" s="177" t="s">
        <v>323</v>
      </c>
      <c r="I25" s="181" t="s">
        <v>12</v>
      </c>
      <c r="J25" s="184"/>
      <c r="M25" s="174">
        <v>0.16</v>
      </c>
    </row>
    <row r="26" spans="2:13">
      <c r="B26" s="220"/>
      <c r="C26" s="210" t="s">
        <v>316</v>
      </c>
      <c r="D26" s="179" t="s">
        <v>131</v>
      </c>
      <c r="E26" s="179" t="s">
        <v>56</v>
      </c>
      <c r="F26" s="178">
        <v>7</v>
      </c>
      <c r="G26" s="157"/>
      <c r="H26" s="177" t="s">
        <v>323</v>
      </c>
      <c r="I26" s="181" t="s">
        <v>12</v>
      </c>
      <c r="J26" s="184"/>
      <c r="M26" s="174">
        <v>10.4</v>
      </c>
    </row>
    <row r="27" spans="2:13">
      <c r="B27" s="220"/>
      <c r="C27" s="210"/>
      <c r="D27" s="179" t="s">
        <v>330</v>
      </c>
      <c r="E27" s="179" t="s">
        <v>56</v>
      </c>
      <c r="F27" s="178">
        <v>15</v>
      </c>
      <c r="G27" s="157"/>
      <c r="H27" s="177" t="s">
        <v>323</v>
      </c>
      <c r="I27" s="181" t="s">
        <v>12</v>
      </c>
      <c r="J27" s="184"/>
      <c r="M27" s="174">
        <v>23.1</v>
      </c>
    </row>
    <row r="28" spans="2:13">
      <c r="B28" s="220"/>
      <c r="C28" s="210"/>
      <c r="D28" s="179" t="s">
        <v>132</v>
      </c>
      <c r="E28" s="179" t="s">
        <v>56</v>
      </c>
      <c r="F28" s="178">
        <v>4</v>
      </c>
      <c r="G28" s="157"/>
      <c r="H28" s="177" t="s">
        <v>323</v>
      </c>
      <c r="I28" s="181" t="s">
        <v>12</v>
      </c>
      <c r="J28" s="184"/>
      <c r="M28" s="174">
        <v>4.1900000000000004</v>
      </c>
    </row>
    <row r="29" spans="2:13">
      <c r="B29" s="220"/>
      <c r="C29" s="210"/>
      <c r="D29" s="191" t="s">
        <v>326</v>
      </c>
      <c r="E29" s="191" t="s">
        <v>56</v>
      </c>
      <c r="F29" s="192">
        <v>7</v>
      </c>
      <c r="G29" s="157"/>
      <c r="H29" s="177" t="s">
        <v>323</v>
      </c>
      <c r="I29" s="181" t="s">
        <v>12</v>
      </c>
      <c r="J29" s="184"/>
      <c r="M29" s="174">
        <v>23.2</v>
      </c>
    </row>
    <row r="30" spans="2:13">
      <c r="B30" s="220"/>
      <c r="C30" s="210"/>
      <c r="D30" s="191" t="s">
        <v>327</v>
      </c>
      <c r="E30" s="191" t="s">
        <v>56</v>
      </c>
      <c r="F30" s="192">
        <v>7</v>
      </c>
      <c r="G30" s="157"/>
      <c r="H30" s="177" t="s">
        <v>323</v>
      </c>
      <c r="I30" s="181" t="s">
        <v>12</v>
      </c>
      <c r="J30" s="184"/>
      <c r="M30" s="174">
        <v>1.6</v>
      </c>
    </row>
    <row r="31" spans="2:13">
      <c r="B31" s="220"/>
      <c r="C31" s="210"/>
      <c r="D31" s="191" t="s">
        <v>328</v>
      </c>
      <c r="E31" s="191" t="s">
        <v>202</v>
      </c>
      <c r="F31" s="192">
        <v>10</v>
      </c>
      <c r="G31" s="157"/>
      <c r="H31" s="177" t="s">
        <v>323</v>
      </c>
      <c r="I31" s="181" t="s">
        <v>12</v>
      </c>
      <c r="J31" s="184"/>
      <c r="M31" s="174" t="s">
        <v>347</v>
      </c>
    </row>
    <row r="32" spans="2:13" ht="14.5" thickBot="1">
      <c r="B32" s="212"/>
      <c r="C32" s="211"/>
      <c r="D32" s="194" t="s">
        <v>329</v>
      </c>
      <c r="E32" s="194" t="s">
        <v>56</v>
      </c>
      <c r="F32" s="195">
        <v>50</v>
      </c>
      <c r="G32" s="176"/>
      <c r="H32" s="188" t="s">
        <v>323</v>
      </c>
      <c r="I32" s="181" t="s">
        <v>12</v>
      </c>
      <c r="J32" s="189"/>
      <c r="M32" s="174" t="s">
        <v>347</v>
      </c>
    </row>
    <row r="33" spans="2:10">
      <c r="B33" s="207" t="s">
        <v>346</v>
      </c>
      <c r="C33" s="196"/>
      <c r="D33" s="197"/>
      <c r="E33" s="197"/>
      <c r="F33" s="197"/>
      <c r="G33" s="197"/>
      <c r="H33" s="197"/>
      <c r="I33" s="197"/>
      <c r="J33" s="198"/>
    </row>
    <row r="34" spans="2:10">
      <c r="B34" s="208"/>
      <c r="C34" s="199"/>
      <c r="D34" s="200"/>
      <c r="E34" s="200"/>
      <c r="F34" s="200"/>
      <c r="G34" s="200"/>
      <c r="H34" s="200"/>
      <c r="I34" s="200"/>
      <c r="J34" s="201"/>
    </row>
    <row r="35" spans="2:10" ht="14.5" thickBot="1">
      <c r="B35" s="209"/>
      <c r="C35" s="202"/>
      <c r="D35" s="203"/>
      <c r="E35" s="203"/>
      <c r="F35" s="203"/>
      <c r="G35" s="203"/>
      <c r="H35" s="203"/>
      <c r="I35" s="203"/>
      <c r="J35" s="204"/>
    </row>
  </sheetData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708B-AFEE-482C-9EDF-E765F4BF1F1B}">
  <dimension ref="B2:K18"/>
  <sheetViews>
    <sheetView workbookViewId="0">
      <selection activeCell="B7" sqref="B7"/>
    </sheetView>
  </sheetViews>
  <sheetFormatPr defaultColWidth="9" defaultRowHeight="13"/>
  <cols>
    <col min="1" max="1" width="1.58203125" style="2" customWidth="1"/>
    <col min="2" max="16384" width="9" style="2"/>
  </cols>
  <sheetData>
    <row r="2" spans="2:11" ht="27.75" customHeight="1">
      <c r="B2" s="225" t="s">
        <v>170</v>
      </c>
      <c r="C2" s="225"/>
      <c r="D2" s="225"/>
      <c r="E2" s="225"/>
      <c r="F2" s="225"/>
      <c r="G2" s="225"/>
      <c r="H2" s="225"/>
      <c r="I2" s="225"/>
      <c r="J2" s="225"/>
      <c r="K2" s="225"/>
    </row>
    <row r="3" spans="2:11" ht="15" customHeight="1">
      <c r="B3" s="223"/>
      <c r="C3" s="224"/>
      <c r="D3" s="224"/>
      <c r="E3" s="224"/>
      <c r="F3" s="224"/>
      <c r="G3" s="224"/>
      <c r="H3" s="224"/>
      <c r="I3" s="224"/>
      <c r="J3" s="224"/>
      <c r="K3" s="224"/>
    </row>
    <row r="4" spans="2:11" ht="30" customHeight="1">
      <c r="B4" s="13" t="s">
        <v>16</v>
      </c>
      <c r="C4" s="14" t="s">
        <v>7</v>
      </c>
      <c r="D4" s="14" t="s">
        <v>8</v>
      </c>
      <c r="E4" s="14" t="s">
        <v>3</v>
      </c>
      <c r="F4" s="14" t="s">
        <v>9</v>
      </c>
      <c r="G4" s="14" t="s">
        <v>4</v>
      </c>
      <c r="H4" s="14" t="s">
        <v>2</v>
      </c>
      <c r="I4" s="14" t="s">
        <v>6</v>
      </c>
      <c r="J4" s="15" t="s">
        <v>20</v>
      </c>
      <c r="K4" s="25" t="s">
        <v>5</v>
      </c>
    </row>
    <row r="5" spans="2:11" ht="25" customHeight="1">
      <c r="B5" s="10" t="s">
        <v>1</v>
      </c>
      <c r="C5" s="11" t="s">
        <v>11</v>
      </c>
      <c r="D5" s="11" t="s">
        <v>10</v>
      </c>
      <c r="E5" s="11" t="s">
        <v>10</v>
      </c>
      <c r="F5" s="11" t="s">
        <v>12</v>
      </c>
      <c r="G5" s="11" t="s">
        <v>15</v>
      </c>
      <c r="H5" s="11" t="s">
        <v>13</v>
      </c>
      <c r="I5" s="11" t="s">
        <v>13</v>
      </c>
      <c r="J5" s="12" t="s">
        <v>14</v>
      </c>
      <c r="K5" s="26" t="s">
        <v>13</v>
      </c>
    </row>
    <row r="6" spans="2:11" ht="25" customHeight="1">
      <c r="B6" s="16" t="s">
        <v>0</v>
      </c>
      <c r="C6" s="17">
        <v>21.7</v>
      </c>
      <c r="D6" s="17">
        <v>1.93</v>
      </c>
      <c r="E6" s="17">
        <v>0.33</v>
      </c>
      <c r="F6" s="19">
        <v>0.51500000000000001</v>
      </c>
      <c r="G6" s="17">
        <v>1.2</v>
      </c>
      <c r="H6" s="22">
        <v>170</v>
      </c>
      <c r="I6" s="31">
        <v>183</v>
      </c>
      <c r="J6" s="33">
        <v>1</v>
      </c>
      <c r="K6" s="32">
        <v>150</v>
      </c>
    </row>
    <row r="7" spans="2:11" ht="25" customHeight="1">
      <c r="B7" s="4" t="s">
        <v>17</v>
      </c>
      <c r="C7" s="5"/>
      <c r="D7" s="5"/>
      <c r="E7" s="5"/>
      <c r="F7" s="20"/>
      <c r="G7" s="5"/>
      <c r="H7" s="23"/>
      <c r="I7" s="5"/>
      <c r="J7" s="27"/>
      <c r="K7" s="29"/>
    </row>
    <row r="8" spans="2:11" ht="25" customHeight="1">
      <c r="B8" s="4" t="s">
        <v>18</v>
      </c>
      <c r="C8" s="5"/>
      <c r="D8" s="5"/>
      <c r="E8" s="5"/>
      <c r="F8" s="20"/>
      <c r="G8" s="5"/>
      <c r="H8" s="23"/>
      <c r="I8" s="5"/>
      <c r="J8" s="27"/>
      <c r="K8" s="29"/>
    </row>
    <row r="9" spans="2:11" ht="25" customHeight="1">
      <c r="B9" s="7" t="s">
        <v>19</v>
      </c>
      <c r="C9" s="8"/>
      <c r="D9" s="8"/>
      <c r="E9" s="8"/>
      <c r="F9" s="21"/>
      <c r="G9" s="8"/>
      <c r="H9" s="24"/>
      <c r="I9" s="8"/>
      <c r="J9" s="28"/>
      <c r="K9" s="30"/>
    </row>
    <row r="10" spans="2:11" ht="20.149999999999999" customHeight="1">
      <c r="B10" s="2" t="s">
        <v>244</v>
      </c>
      <c r="C10" s="84" t="s">
        <v>178</v>
      </c>
      <c r="D10" s="84" t="s">
        <v>179</v>
      </c>
      <c r="E10" s="84" t="s">
        <v>180</v>
      </c>
      <c r="F10" s="84" t="s">
        <v>181</v>
      </c>
      <c r="G10" s="83" t="s">
        <v>182</v>
      </c>
      <c r="H10" s="83" t="s">
        <v>183</v>
      </c>
      <c r="I10" s="83" t="s">
        <v>184</v>
      </c>
      <c r="J10" s="83" t="s">
        <v>185</v>
      </c>
      <c r="K10" s="83" t="s">
        <v>186</v>
      </c>
    </row>
    <row r="11" spans="2:11" ht="20.149999999999999" customHeight="1">
      <c r="C11" s="2" t="s">
        <v>242</v>
      </c>
      <c r="D11" s="2" t="s">
        <v>242</v>
      </c>
      <c r="E11" s="2" t="s">
        <v>243</v>
      </c>
      <c r="F11" s="2" t="s">
        <v>243</v>
      </c>
      <c r="G11" s="2" t="s">
        <v>243</v>
      </c>
      <c r="H11" s="2" t="s">
        <v>243</v>
      </c>
      <c r="I11" s="2" t="s">
        <v>243</v>
      </c>
      <c r="J11" s="2" t="s">
        <v>243</v>
      </c>
      <c r="K11" s="2" t="s">
        <v>243</v>
      </c>
    </row>
    <row r="12" spans="2:11" ht="20.149999999999999" customHeight="1"/>
    <row r="18" spans="3:3">
      <c r="C18" s="2" t="s">
        <v>241</v>
      </c>
    </row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8E3A-2908-4CDC-B23A-CA8F39AE7803}">
  <dimension ref="B2:H12"/>
  <sheetViews>
    <sheetView workbookViewId="0">
      <selection activeCell="J9" sqref="J9"/>
    </sheetView>
  </sheetViews>
  <sheetFormatPr defaultColWidth="9" defaultRowHeight="13"/>
  <cols>
    <col min="1" max="1" width="3" style="2" customWidth="1"/>
    <col min="2" max="7" width="11.25" style="2" customWidth="1"/>
    <col min="8" max="8" width="9.5" style="2" customWidth="1"/>
    <col min="9" max="16384" width="9" style="2"/>
  </cols>
  <sheetData>
    <row r="2" spans="2:8" ht="17.5">
      <c r="B2" s="225" t="s">
        <v>172</v>
      </c>
      <c r="C2" s="225"/>
      <c r="D2" s="225"/>
      <c r="E2" s="225"/>
      <c r="F2" s="225"/>
      <c r="G2" s="225"/>
      <c r="H2" s="225"/>
    </row>
    <row r="4" spans="2:8" ht="25.25" customHeight="1">
      <c r="B4" s="3" t="s">
        <v>30</v>
      </c>
      <c r="C4" s="226" t="s">
        <v>26</v>
      </c>
      <c r="D4" s="227"/>
      <c r="E4" s="228" t="s">
        <v>27</v>
      </c>
      <c r="F4" s="229"/>
      <c r="G4" s="91" t="s">
        <v>31</v>
      </c>
    </row>
    <row r="5" spans="2:8" ht="26">
      <c r="B5" s="85"/>
      <c r="C5" s="86" t="s">
        <v>24</v>
      </c>
      <c r="D5" s="86" t="s">
        <v>25</v>
      </c>
      <c r="E5" s="86" t="s">
        <v>28</v>
      </c>
      <c r="F5" s="86" t="s">
        <v>29</v>
      </c>
      <c r="G5" s="92" t="s">
        <v>32</v>
      </c>
    </row>
    <row r="6" spans="2:8" ht="16.5" customHeight="1">
      <c r="B6" s="87" t="s">
        <v>0</v>
      </c>
      <c r="C6" s="51">
        <v>33.1</v>
      </c>
      <c r="D6" s="51">
        <v>29.1</v>
      </c>
      <c r="E6" s="51">
        <v>1.6</v>
      </c>
      <c r="F6" s="51">
        <v>17.600000000000001</v>
      </c>
      <c r="G6" s="93">
        <v>6.28</v>
      </c>
    </row>
    <row r="7" spans="2:8" ht="16.5" customHeight="1">
      <c r="B7" s="3" t="s">
        <v>34</v>
      </c>
      <c r="C7" s="38"/>
      <c r="D7" s="38"/>
      <c r="E7" s="38"/>
      <c r="F7" s="38"/>
      <c r="G7" s="41"/>
    </row>
    <row r="8" spans="2:8" ht="16.5" customHeight="1">
      <c r="B8" s="3" t="s">
        <v>35</v>
      </c>
      <c r="C8" s="38"/>
      <c r="D8" s="38"/>
      <c r="E8" s="38"/>
      <c r="F8" s="38"/>
      <c r="G8" s="41"/>
    </row>
    <row r="9" spans="2:8" ht="16.5" customHeight="1">
      <c r="B9" s="3" t="s">
        <v>187</v>
      </c>
      <c r="C9" s="38"/>
      <c r="D9" s="38"/>
      <c r="E9" s="38"/>
      <c r="F9" s="38"/>
      <c r="G9" s="41"/>
    </row>
    <row r="10" spans="2:8" ht="16.5" customHeight="1">
      <c r="B10" s="91" t="s">
        <v>36</v>
      </c>
      <c r="C10" s="41">
        <f>C8-C7</f>
        <v>0</v>
      </c>
      <c r="D10" s="41">
        <f>D8-D7</f>
        <v>0</v>
      </c>
      <c r="E10" s="41">
        <f>E8-E7</f>
        <v>0</v>
      </c>
      <c r="F10" s="41">
        <f>F8-F7</f>
        <v>0</v>
      </c>
      <c r="G10" s="41">
        <f>G8-G7</f>
        <v>0</v>
      </c>
    </row>
    <row r="11" spans="2:8" ht="14">
      <c r="B11" s="1" t="s">
        <v>245</v>
      </c>
      <c r="C11" s="1" t="s">
        <v>246</v>
      </c>
      <c r="D11" s="1" t="s">
        <v>247</v>
      </c>
      <c r="E11" s="1" t="s">
        <v>248</v>
      </c>
      <c r="F11" s="1" t="s">
        <v>249</v>
      </c>
      <c r="G11" s="141" t="s">
        <v>251</v>
      </c>
    </row>
    <row r="12" spans="2:8">
      <c r="C12" s="2" t="s">
        <v>243</v>
      </c>
      <c r="D12" s="2" t="s">
        <v>243</v>
      </c>
      <c r="E12" s="2" t="s">
        <v>243</v>
      </c>
      <c r="F12" s="2" t="s">
        <v>243</v>
      </c>
      <c r="G12" s="2" t="s">
        <v>243</v>
      </c>
    </row>
  </sheetData>
  <mergeCells count="3">
    <mergeCell ref="B2:H2"/>
    <mergeCell ref="C4:D4"/>
    <mergeCell ref="E4:F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8E5B-3396-4E40-9EC5-EE441B379686}">
  <dimension ref="B2:J13"/>
  <sheetViews>
    <sheetView workbookViewId="0">
      <selection activeCell="B12" sqref="B12"/>
    </sheetView>
  </sheetViews>
  <sheetFormatPr defaultColWidth="9" defaultRowHeight="17.149999999999999" customHeight="1"/>
  <cols>
    <col min="1" max="1" width="2.33203125" style="2" customWidth="1"/>
    <col min="2" max="2" width="9.1640625" style="2" bestFit="1" customWidth="1"/>
    <col min="3" max="9" width="10.75" style="2" customWidth="1"/>
    <col min="10" max="16384" width="9" style="2"/>
  </cols>
  <sheetData>
    <row r="2" spans="2:10" ht="17.149999999999999" customHeight="1">
      <c r="B2" s="225" t="s">
        <v>171</v>
      </c>
      <c r="C2" s="225"/>
      <c r="D2" s="225"/>
      <c r="E2" s="225"/>
      <c r="F2" s="225"/>
      <c r="G2" s="225"/>
      <c r="H2" s="225"/>
      <c r="I2" s="225"/>
    </row>
    <row r="3" spans="2:10" ht="17.149999999999999" customHeight="1">
      <c r="B3" s="223"/>
      <c r="C3" s="224"/>
      <c r="D3" s="224"/>
      <c r="E3" s="224"/>
      <c r="F3" s="224"/>
      <c r="G3" s="224"/>
      <c r="H3" s="224"/>
      <c r="I3" s="224"/>
    </row>
    <row r="4" spans="2:10" ht="17.149999999999999" customHeight="1">
      <c r="B4" s="42" t="s">
        <v>39</v>
      </c>
      <c r="C4" s="43" t="s">
        <v>38</v>
      </c>
      <c r="D4" s="43" t="s">
        <v>41</v>
      </c>
      <c r="E4" s="43" t="s">
        <v>42</v>
      </c>
      <c r="F4" s="43" t="s">
        <v>43</v>
      </c>
      <c r="G4" s="43" t="s">
        <v>44</v>
      </c>
      <c r="H4" s="43" t="s">
        <v>48</v>
      </c>
      <c r="I4" s="44" t="s">
        <v>49</v>
      </c>
    </row>
    <row r="5" spans="2:10" ht="17.149999999999999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10" ht="17.149999999999999" customHeight="1">
      <c r="B6" s="16" t="s">
        <v>45</v>
      </c>
      <c r="C6" s="31" t="s">
        <v>51</v>
      </c>
      <c r="D6" s="31" t="s">
        <v>52</v>
      </c>
      <c r="E6" s="31" t="s">
        <v>53</v>
      </c>
      <c r="F6" s="31" t="s">
        <v>54</v>
      </c>
      <c r="G6" s="31">
        <v>9.5</v>
      </c>
      <c r="H6" s="31" t="s">
        <v>12</v>
      </c>
      <c r="I6" s="50" t="s">
        <v>12</v>
      </c>
    </row>
    <row r="7" spans="2:10" ht="17.149999999999999" customHeight="1">
      <c r="B7" s="4" t="s">
        <v>46</v>
      </c>
      <c r="C7" s="5"/>
      <c r="D7" s="5"/>
      <c r="E7" s="5"/>
      <c r="F7" s="5"/>
      <c r="G7" s="5"/>
      <c r="H7" s="5"/>
      <c r="I7" s="6"/>
    </row>
    <row r="8" spans="2:10" ht="17.149999999999999" customHeight="1">
      <c r="B8" s="4" t="s">
        <v>34</v>
      </c>
      <c r="C8" s="5"/>
      <c r="D8" s="5"/>
      <c r="E8" s="5"/>
      <c r="F8" s="5"/>
      <c r="G8" s="5"/>
      <c r="H8" s="5"/>
      <c r="I8" s="6"/>
    </row>
    <row r="9" spans="2:10" ht="17.149999999999999" customHeight="1">
      <c r="B9" s="4" t="s">
        <v>35</v>
      </c>
      <c r="C9" s="5"/>
      <c r="D9" s="5"/>
      <c r="E9" s="5"/>
      <c r="F9" s="5"/>
      <c r="G9" s="5"/>
      <c r="H9" s="5"/>
      <c r="I9" s="6"/>
    </row>
    <row r="10" spans="2:10" ht="17.149999999999999" customHeight="1">
      <c r="B10" s="46" t="s">
        <v>47</v>
      </c>
      <c r="C10" s="47">
        <v>41118</v>
      </c>
      <c r="D10" s="47">
        <v>1104</v>
      </c>
      <c r="E10" s="47">
        <v>3571</v>
      </c>
      <c r="F10" s="47">
        <v>80</v>
      </c>
      <c r="G10" s="47">
        <v>9.36</v>
      </c>
      <c r="H10" s="48" t="s">
        <v>12</v>
      </c>
      <c r="I10" s="49" t="s">
        <v>12</v>
      </c>
    </row>
    <row r="11" spans="2:10" ht="17.149999999999999" customHeight="1">
      <c r="B11" s="230" t="s">
        <v>50</v>
      </c>
      <c r="C11" s="231"/>
      <c r="D11" s="231"/>
      <c r="E11" s="231"/>
      <c r="F11" s="231"/>
      <c r="G11" s="231"/>
      <c r="H11" s="231"/>
      <c r="I11" s="232"/>
    </row>
    <row r="12" spans="2:10" ht="17.149999999999999" customHeight="1">
      <c r="B12" s="1" t="s">
        <v>245</v>
      </c>
      <c r="C12" s="1" t="s">
        <v>252</v>
      </c>
      <c r="D12" s="1" t="s">
        <v>253</v>
      </c>
      <c r="E12" s="1" t="s">
        <v>254</v>
      </c>
      <c r="F12" s="1" t="s">
        <v>255</v>
      </c>
      <c r="G12" s="1" t="s">
        <v>256</v>
      </c>
    </row>
    <row r="13" spans="2:10" ht="17.149999999999999" customHeight="1">
      <c r="H13" s="2" t="s">
        <v>258</v>
      </c>
      <c r="I13" s="2" t="s">
        <v>259</v>
      </c>
      <c r="J13" s="2" t="s">
        <v>257</v>
      </c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DD50-40E8-43B8-86B3-04DABBAC7DFF}">
  <dimension ref="B2:J18"/>
  <sheetViews>
    <sheetView zoomScale="115" zoomScaleNormal="115" workbookViewId="0">
      <selection activeCell="I10" sqref="I10:J10"/>
    </sheetView>
  </sheetViews>
  <sheetFormatPr defaultColWidth="9" defaultRowHeight="13"/>
  <cols>
    <col min="1" max="1" width="1.75" style="2" customWidth="1"/>
    <col min="2" max="3" width="9.4140625" style="2" bestFit="1" customWidth="1"/>
    <col min="4" max="5" width="7.83203125" style="2" bestFit="1" customWidth="1"/>
    <col min="6" max="7" width="9.4140625" style="2" bestFit="1" customWidth="1"/>
    <col min="8" max="9" width="7.83203125" style="2" bestFit="1" customWidth="1"/>
    <col min="10" max="10" width="9.4140625" style="2" bestFit="1" customWidth="1"/>
    <col min="11" max="16384" width="9" style="2"/>
  </cols>
  <sheetData>
    <row r="2" spans="2:10" ht="30" customHeight="1">
      <c r="B2" s="225" t="s">
        <v>173</v>
      </c>
      <c r="C2" s="225"/>
      <c r="D2" s="225"/>
      <c r="E2" s="225"/>
      <c r="F2" s="225"/>
    </row>
    <row r="3" spans="2:10" ht="15" customHeight="1">
      <c r="B3" s="223"/>
      <c r="C3" s="224"/>
      <c r="D3" s="224"/>
      <c r="E3" s="224"/>
      <c r="F3" s="224"/>
    </row>
    <row r="4" spans="2:10" ht="25" customHeight="1">
      <c r="B4" s="238" t="s">
        <v>55</v>
      </c>
      <c r="C4" s="233" t="s">
        <v>188</v>
      </c>
      <c r="D4" s="234"/>
      <c r="E4" s="234"/>
      <c r="F4" s="235"/>
      <c r="G4" s="236" t="s">
        <v>189</v>
      </c>
      <c r="H4" s="236"/>
      <c r="I4" s="236"/>
      <c r="J4" s="237"/>
    </row>
    <row r="5" spans="2:10" ht="25" customHeight="1">
      <c r="B5" s="239"/>
      <c r="C5" s="95" t="s">
        <v>21</v>
      </c>
      <c r="D5" s="95" t="s">
        <v>57</v>
      </c>
      <c r="E5" s="95" t="s">
        <v>58</v>
      </c>
      <c r="F5" s="95" t="s">
        <v>59</v>
      </c>
      <c r="G5" s="95" t="s">
        <v>21</v>
      </c>
      <c r="H5" s="95" t="s">
        <v>57</v>
      </c>
      <c r="I5" s="95" t="s">
        <v>58</v>
      </c>
      <c r="J5" s="96" t="s">
        <v>59</v>
      </c>
    </row>
    <row r="6" spans="2:10" ht="25" customHeight="1">
      <c r="B6" s="240"/>
      <c r="C6" s="95" t="s">
        <v>56</v>
      </c>
      <c r="D6" s="95" t="s">
        <v>56</v>
      </c>
      <c r="E6" s="95" t="s">
        <v>56</v>
      </c>
      <c r="F6" s="95" t="s">
        <v>56</v>
      </c>
      <c r="G6" s="95" t="s">
        <v>56</v>
      </c>
      <c r="H6" s="95" t="s">
        <v>56</v>
      </c>
      <c r="I6" s="95" t="s">
        <v>56</v>
      </c>
      <c r="J6" s="96" t="s">
        <v>56</v>
      </c>
    </row>
    <row r="7" spans="2:10" ht="25" customHeight="1">
      <c r="B7" s="97" t="s">
        <v>60</v>
      </c>
      <c r="C7" s="98">
        <v>1</v>
      </c>
      <c r="D7" s="98">
        <v>1</v>
      </c>
      <c r="E7" s="159">
        <f>C7+D7</f>
        <v>2</v>
      </c>
      <c r="F7" s="159">
        <f>100-E7</f>
        <v>98</v>
      </c>
      <c r="G7" s="98">
        <v>2</v>
      </c>
      <c r="H7" s="98">
        <v>1</v>
      </c>
      <c r="I7" s="159">
        <f>G7+H7</f>
        <v>3</v>
      </c>
      <c r="J7" s="160">
        <f>100-I7</f>
        <v>97</v>
      </c>
    </row>
    <row r="8" spans="2:10" ht="25" customHeight="1">
      <c r="B8" s="99" t="s">
        <v>64</v>
      </c>
      <c r="C8" s="95">
        <v>1</v>
      </c>
      <c r="D8" s="95">
        <v>2</v>
      </c>
      <c r="E8" s="95">
        <f>C8+D8</f>
        <v>3</v>
      </c>
      <c r="F8" s="95">
        <f>100-E8</f>
        <v>97</v>
      </c>
      <c r="G8" s="100"/>
      <c r="H8" s="100"/>
      <c r="I8" s="100">
        <f>G8+H8</f>
        <v>0</v>
      </c>
      <c r="J8" s="101">
        <f>100-I8</f>
        <v>100</v>
      </c>
    </row>
    <row r="9" spans="2:10" ht="25" customHeight="1">
      <c r="B9" s="102" t="s">
        <v>190</v>
      </c>
      <c r="C9" s="103">
        <v>3</v>
      </c>
      <c r="D9" s="103">
        <v>4</v>
      </c>
      <c r="E9" s="103">
        <f>C9+D9</f>
        <v>7</v>
      </c>
      <c r="F9" s="103">
        <f>100-E9</f>
        <v>93</v>
      </c>
      <c r="G9" s="103">
        <v>3</v>
      </c>
      <c r="H9" s="103">
        <v>4</v>
      </c>
      <c r="I9" s="103">
        <f t="shared" ref="I9" si="0">G9+H9</f>
        <v>7</v>
      </c>
      <c r="J9" s="104">
        <f t="shared" ref="J9" si="1">100-I9</f>
        <v>93</v>
      </c>
    </row>
    <row r="10" spans="2:10" ht="25" customHeight="1">
      <c r="B10" s="1" t="s">
        <v>245</v>
      </c>
      <c r="C10" s="1">
        <v>21</v>
      </c>
      <c r="D10" s="141">
        <v>23</v>
      </c>
      <c r="E10" s="161">
        <v>24</v>
      </c>
      <c r="F10" s="161">
        <v>25</v>
      </c>
      <c r="G10" s="1">
        <v>31</v>
      </c>
      <c r="H10" s="141">
        <v>33</v>
      </c>
      <c r="I10" s="162">
        <v>34</v>
      </c>
      <c r="J10" s="162">
        <v>35</v>
      </c>
    </row>
    <row r="11" spans="2:10" ht="25" customHeight="1">
      <c r="E11" s="2" t="s">
        <v>260</v>
      </c>
    </row>
    <row r="17" ht="14.15" customHeight="1"/>
    <row r="18" ht="14.15" customHeight="1"/>
  </sheetData>
  <mergeCells count="5">
    <mergeCell ref="C4:F4"/>
    <mergeCell ref="G4:J4"/>
    <mergeCell ref="B4:B6"/>
    <mergeCell ref="B3:F3"/>
    <mergeCell ref="B2:F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C0BE-55C4-4E46-AEBD-A047ADDF1343}">
  <dimension ref="B2:W26"/>
  <sheetViews>
    <sheetView zoomScale="70" zoomScaleNormal="70" workbookViewId="0">
      <selection activeCell="C9" sqref="C9"/>
    </sheetView>
  </sheetViews>
  <sheetFormatPr defaultColWidth="9" defaultRowHeight="14"/>
  <cols>
    <col min="1" max="1" width="2.58203125" style="1" customWidth="1"/>
    <col min="2" max="2" width="9" style="1"/>
    <col min="3" max="4" width="40.08203125" style="1" bestFit="1" customWidth="1"/>
    <col min="5" max="5" width="9.58203125" style="1" bestFit="1" customWidth="1"/>
    <col min="6" max="6" width="6.83203125" style="1" bestFit="1" customWidth="1"/>
    <col min="7" max="7" width="12.58203125" style="1" customWidth="1"/>
    <col min="8" max="22" width="9" style="1"/>
    <col min="23" max="23" width="8.6640625" style="1" bestFit="1" customWidth="1"/>
    <col min="24" max="16384" width="9" style="1"/>
  </cols>
  <sheetData>
    <row r="2" spans="2:23" ht="30" customHeight="1">
      <c r="B2" s="225" t="s">
        <v>174</v>
      </c>
      <c r="C2" s="225"/>
      <c r="D2" s="225"/>
      <c r="E2" s="225"/>
      <c r="F2" s="225"/>
    </row>
    <row r="3" spans="2:23" ht="15" customHeight="1">
      <c r="B3" s="224"/>
      <c r="C3" s="224"/>
      <c r="D3" s="224"/>
      <c r="E3" s="224"/>
      <c r="F3" s="224"/>
    </row>
    <row r="4" spans="2:23" ht="25" customHeight="1">
      <c r="B4" s="241" t="s">
        <v>16</v>
      </c>
      <c r="C4" s="34" t="s">
        <v>61</v>
      </c>
      <c r="D4" s="34" t="s">
        <v>23</v>
      </c>
      <c r="E4" s="34" t="s">
        <v>36</v>
      </c>
      <c r="F4" s="243" t="s">
        <v>62</v>
      </c>
    </row>
    <row r="5" spans="2:23" ht="25" customHeight="1">
      <c r="B5" s="242"/>
      <c r="C5" s="53" t="s">
        <v>56</v>
      </c>
      <c r="D5" s="53" t="s">
        <v>56</v>
      </c>
      <c r="E5" s="53" t="s">
        <v>56</v>
      </c>
      <c r="F5" s="244"/>
    </row>
    <row r="6" spans="2:23" ht="25" customHeight="1">
      <c r="B6" s="40" t="s">
        <v>63</v>
      </c>
      <c r="C6" s="53">
        <v>1</v>
      </c>
      <c r="D6" s="53">
        <v>1</v>
      </c>
      <c r="E6" s="53">
        <f>C6-D6</f>
        <v>0</v>
      </c>
      <c r="F6" s="54"/>
    </row>
    <row r="7" spans="2:23" ht="25" customHeight="1">
      <c r="B7" s="40" t="s">
        <v>64</v>
      </c>
      <c r="C7" s="53"/>
      <c r="D7" s="53"/>
      <c r="E7" s="53">
        <f>C7-D7</f>
        <v>0</v>
      </c>
      <c r="F7" s="54"/>
    </row>
    <row r="8" spans="2:23" ht="25" customHeight="1">
      <c r="B8" s="58" t="s">
        <v>65</v>
      </c>
      <c r="C8" s="59"/>
      <c r="D8" s="59"/>
      <c r="E8" s="59">
        <f>C8-D8</f>
        <v>0</v>
      </c>
      <c r="F8" s="60"/>
    </row>
    <row r="9" spans="2:23" ht="25" customHeight="1">
      <c r="B9" s="1" t="s">
        <v>263</v>
      </c>
      <c r="C9" s="148" t="s">
        <v>261</v>
      </c>
      <c r="D9" s="148" t="s">
        <v>262</v>
      </c>
      <c r="E9" s="148"/>
    </row>
    <row r="12" spans="2:23" ht="14.5" thickBot="1">
      <c r="B12" s="245" t="s">
        <v>204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</row>
    <row r="13" spans="2:23" ht="17.5">
      <c r="B13" s="249" t="s">
        <v>205</v>
      </c>
      <c r="C13" s="250"/>
      <c r="D13" s="250"/>
      <c r="E13" s="250"/>
      <c r="F13" s="250"/>
      <c r="G13" s="250"/>
      <c r="H13" s="251"/>
      <c r="I13" s="249" t="s">
        <v>206</v>
      </c>
      <c r="J13" s="250"/>
      <c r="K13" s="250"/>
      <c r="L13" s="250"/>
      <c r="M13" s="250"/>
      <c r="N13" s="250"/>
      <c r="O13" s="251"/>
      <c r="P13" s="249" t="s">
        <v>207</v>
      </c>
      <c r="Q13" s="252"/>
      <c r="R13" s="252"/>
      <c r="S13" s="252"/>
      <c r="T13" s="252"/>
      <c r="U13" s="252"/>
      <c r="V13" s="253"/>
      <c r="W13" s="247" t="s">
        <v>208</v>
      </c>
    </row>
    <row r="14" spans="2:23" ht="26">
      <c r="B14" s="254" t="s">
        <v>191</v>
      </c>
      <c r="C14" s="255"/>
      <c r="D14" s="109" t="s">
        <v>192</v>
      </c>
      <c r="E14" s="109" t="s">
        <v>193</v>
      </c>
      <c r="F14" s="109" t="s">
        <v>194</v>
      </c>
      <c r="G14" s="109" t="s">
        <v>195</v>
      </c>
      <c r="H14" s="110" t="s">
        <v>196</v>
      </c>
      <c r="I14" s="254" t="s">
        <v>191</v>
      </c>
      <c r="J14" s="255"/>
      <c r="K14" s="109" t="s">
        <v>192</v>
      </c>
      <c r="L14" s="109" t="s">
        <v>197</v>
      </c>
      <c r="M14" s="109" t="s">
        <v>194</v>
      </c>
      <c r="N14" s="109" t="s">
        <v>195</v>
      </c>
      <c r="O14" s="110" t="s">
        <v>196</v>
      </c>
      <c r="P14" s="254" t="s">
        <v>191</v>
      </c>
      <c r="Q14" s="256"/>
      <c r="R14" s="109" t="s">
        <v>192</v>
      </c>
      <c r="S14" s="43" t="s">
        <v>197</v>
      </c>
      <c r="T14" s="109" t="s">
        <v>194</v>
      </c>
      <c r="U14" s="43" t="s">
        <v>198</v>
      </c>
      <c r="V14" s="110" t="s">
        <v>196</v>
      </c>
      <c r="W14" s="248"/>
    </row>
    <row r="15" spans="2:23" ht="26">
      <c r="B15" s="105" t="s">
        <v>199</v>
      </c>
      <c r="C15" s="106" t="s">
        <v>200</v>
      </c>
      <c r="D15" s="107" t="s">
        <v>56</v>
      </c>
      <c r="E15" s="107" t="s">
        <v>56</v>
      </c>
      <c r="F15" s="107" t="s">
        <v>56</v>
      </c>
      <c r="G15" s="107" t="s">
        <v>201</v>
      </c>
      <c r="H15" s="108" t="s">
        <v>201</v>
      </c>
      <c r="I15" s="105" t="s">
        <v>199</v>
      </c>
      <c r="J15" s="106" t="s">
        <v>200</v>
      </c>
      <c r="K15" s="107" t="s">
        <v>56</v>
      </c>
      <c r="L15" s="107" t="s">
        <v>56</v>
      </c>
      <c r="M15" s="107" t="s">
        <v>56</v>
      </c>
      <c r="N15" s="107" t="s">
        <v>201</v>
      </c>
      <c r="O15" s="108" t="s">
        <v>201</v>
      </c>
      <c r="P15" s="105" t="s">
        <v>199</v>
      </c>
      <c r="Q15" s="106" t="s">
        <v>200</v>
      </c>
      <c r="R15" s="107" t="s">
        <v>202</v>
      </c>
      <c r="S15" s="107" t="s">
        <v>202</v>
      </c>
      <c r="T15" s="107" t="s">
        <v>202</v>
      </c>
      <c r="U15" s="107" t="s">
        <v>203</v>
      </c>
      <c r="V15" s="108" t="s">
        <v>203</v>
      </c>
      <c r="W15" s="111" t="s">
        <v>201</v>
      </c>
    </row>
    <row r="16" spans="2:23">
      <c r="B16" s="1">
        <v>21</v>
      </c>
      <c r="C16" s="1">
        <v>22</v>
      </c>
      <c r="D16" s="1">
        <v>23</v>
      </c>
      <c r="E16" s="1">
        <v>24</v>
      </c>
      <c r="F16" s="1">
        <v>25</v>
      </c>
      <c r="G16" s="1">
        <v>26</v>
      </c>
      <c r="H16" s="1">
        <v>27</v>
      </c>
      <c r="I16" s="1">
        <v>31</v>
      </c>
      <c r="J16" s="1">
        <v>32</v>
      </c>
      <c r="K16" s="1">
        <v>33</v>
      </c>
      <c r="L16" s="1">
        <v>34</v>
      </c>
      <c r="M16" s="1">
        <v>35</v>
      </c>
      <c r="N16" s="1">
        <v>36</v>
      </c>
      <c r="O16" s="1">
        <v>37</v>
      </c>
      <c r="P16" s="142" t="e">
        <f>(B16*G16+I16*N16)/U16</f>
        <v>#DIV/0!</v>
      </c>
    </row>
    <row r="19" spans="2:22">
      <c r="B19" s="143">
        <v>99</v>
      </c>
      <c r="C19" s="144">
        <v>65</v>
      </c>
      <c r="D19" s="144">
        <v>1.2</v>
      </c>
      <c r="E19" s="144">
        <v>99</v>
      </c>
      <c r="F19" s="144">
        <v>0.25</v>
      </c>
      <c r="G19" s="144">
        <v>2254</v>
      </c>
      <c r="H19" s="145">
        <f>B19*G19/100</f>
        <v>2231.46</v>
      </c>
      <c r="I19" s="143">
        <v>92.3</v>
      </c>
      <c r="J19" s="144">
        <v>88.9</v>
      </c>
      <c r="K19" s="144">
        <v>3.6</v>
      </c>
      <c r="L19" s="144">
        <v>99.5</v>
      </c>
      <c r="M19" s="144">
        <v>4.0999999999999996</v>
      </c>
      <c r="N19" s="144">
        <v>150</v>
      </c>
      <c r="O19" s="145">
        <f>I19*N19/100</f>
        <v>138.44999999999999</v>
      </c>
      <c r="P19" s="142">
        <f>(B19*G19+I19*N19)/U19</f>
        <v>98.581946755407657</v>
      </c>
      <c r="Q19" s="146">
        <f>(C19*G19+J19*N19)/U19</f>
        <v>66.491264559068213</v>
      </c>
      <c r="R19" s="146">
        <f>(D19*G19+K19*N19)/U19</f>
        <v>1.3497504159733775</v>
      </c>
      <c r="S19" s="146">
        <f>(E19*G19+L19*N19)/U19</f>
        <v>99.031198003327788</v>
      </c>
      <c r="T19" s="146">
        <f>(F19*G19+M19*N19)/U19</f>
        <v>0.49022462562396008</v>
      </c>
      <c r="U19" s="146">
        <f>G19+N19</f>
        <v>2404</v>
      </c>
      <c r="V19" s="147">
        <f>H19+O19</f>
        <v>2369.91</v>
      </c>
    </row>
    <row r="26" spans="2:22">
      <c r="D26" s="246"/>
      <c r="E26" s="246"/>
      <c r="F26" s="246"/>
    </row>
  </sheetData>
  <mergeCells count="13">
    <mergeCell ref="D26:F26"/>
    <mergeCell ref="W13:W14"/>
    <mergeCell ref="B13:H13"/>
    <mergeCell ref="I13:O13"/>
    <mergeCell ref="P13:V13"/>
    <mergeCell ref="I14:J14"/>
    <mergeCell ref="P14:Q14"/>
    <mergeCell ref="B14:C14"/>
    <mergeCell ref="B4:B5"/>
    <mergeCell ref="F4:F5"/>
    <mergeCell ref="B3:F3"/>
    <mergeCell ref="B2:F2"/>
    <mergeCell ref="B12:V1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4765-2F12-481A-9848-0C6D93ECED61}">
  <sheetPr>
    <tabColor rgb="FF00B050"/>
  </sheetPr>
  <dimension ref="B2:P24"/>
  <sheetViews>
    <sheetView workbookViewId="0">
      <selection activeCell="G24" sqref="A24:G24"/>
    </sheetView>
  </sheetViews>
  <sheetFormatPr defaultColWidth="9" defaultRowHeight="13"/>
  <cols>
    <col min="1" max="1" width="2" style="2" customWidth="1"/>
    <col min="2" max="2" width="9" style="2"/>
    <col min="3" max="3" width="15.6640625" style="2" bestFit="1" customWidth="1"/>
    <col min="4" max="14" width="6.58203125" style="2" customWidth="1"/>
    <col min="15" max="16" width="7.58203125" style="2" customWidth="1"/>
    <col min="17" max="16384" width="9" style="2"/>
  </cols>
  <sheetData>
    <row r="2" spans="2:16" ht="30" customHeight="1">
      <c r="B2" s="225" t="s">
        <v>175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</row>
    <row r="3" spans="2:16" ht="15" customHeight="1">
      <c r="B3" s="223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</row>
    <row r="4" spans="2:16" ht="60" customHeight="1">
      <c r="B4" s="61" t="s">
        <v>66</v>
      </c>
      <c r="C4" s="35" t="s">
        <v>67</v>
      </c>
      <c r="D4" s="35" t="s">
        <v>68</v>
      </c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5" t="s">
        <v>34</v>
      </c>
      <c r="P4" s="36" t="s">
        <v>35</v>
      </c>
    </row>
    <row r="5" spans="2:16" ht="60" customHeight="1">
      <c r="B5" s="149" t="s">
        <v>79</v>
      </c>
      <c r="C5" s="38" t="s">
        <v>280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ht="60" customHeight="1">
      <c r="B6" s="150" t="s">
        <v>80</v>
      </c>
      <c r="C6" s="62" t="s">
        <v>281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ht="25" customHeight="1">
      <c r="B7" s="2" t="s">
        <v>279</v>
      </c>
    </row>
    <row r="24" spans="7:7">
      <c r="G24" s="2">
        <v>0</v>
      </c>
    </row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D530-4977-4F6A-B6E4-BE4620A0F189}">
  <sheetPr>
    <tabColor rgb="FF00B050"/>
  </sheetPr>
  <dimension ref="B2:M25"/>
  <sheetViews>
    <sheetView workbookViewId="0">
      <selection activeCell="Q17" sqref="Q17"/>
    </sheetView>
  </sheetViews>
  <sheetFormatPr defaultColWidth="9" defaultRowHeight="13"/>
  <cols>
    <col min="1" max="1" width="1.83203125" style="2" customWidth="1"/>
    <col min="2" max="2" width="10.58203125" style="2" customWidth="1"/>
    <col min="3" max="3" width="9" style="2"/>
    <col min="4" max="4" width="15.9140625" style="2" bestFit="1" customWidth="1"/>
    <col min="5" max="16384" width="9" style="2"/>
  </cols>
  <sheetData>
    <row r="2" spans="2:13" ht="30" customHeight="1">
      <c r="B2" s="225" t="s">
        <v>176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2:13" ht="30" customHeight="1">
      <c r="B3" s="260" t="s">
        <v>134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43"/>
    </row>
    <row r="4" spans="2:13" ht="10" customHeight="1">
      <c r="B4" s="261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2:13" ht="20.149999999999999" customHeight="1">
      <c r="B5" s="264" t="s">
        <v>117</v>
      </c>
      <c r="C5" s="265"/>
      <c r="D5" s="5"/>
      <c r="E5" s="5"/>
      <c r="F5" s="5"/>
      <c r="G5" s="5"/>
      <c r="H5" s="5"/>
      <c r="I5" s="5"/>
      <c r="J5" s="5"/>
      <c r="K5" s="266" t="s">
        <v>127</v>
      </c>
      <c r="L5" s="266" t="s">
        <v>126</v>
      </c>
      <c r="M5" s="267" t="s">
        <v>128</v>
      </c>
    </row>
    <row r="6" spans="2:13" ht="20.149999999999999" customHeight="1">
      <c r="B6" s="264" t="s">
        <v>118</v>
      </c>
      <c r="C6" s="265"/>
      <c r="D6" s="5" t="s">
        <v>122</v>
      </c>
      <c r="E6" s="5" t="s">
        <v>123</v>
      </c>
      <c r="F6" s="5" t="s">
        <v>124</v>
      </c>
      <c r="G6" s="5" t="s">
        <v>125</v>
      </c>
      <c r="H6" s="5" t="s">
        <v>119</v>
      </c>
      <c r="I6" s="5" t="s">
        <v>120</v>
      </c>
      <c r="J6" s="5" t="s">
        <v>121</v>
      </c>
      <c r="K6" s="265"/>
      <c r="L6" s="265"/>
      <c r="M6" s="244"/>
    </row>
    <row r="7" spans="2:13" ht="20.149999999999999" customHeight="1">
      <c r="B7" s="257" t="s">
        <v>129</v>
      </c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9"/>
    </row>
    <row r="8" spans="2:13" ht="20.149999999999999" customHeight="1">
      <c r="B8" s="4" t="s">
        <v>21</v>
      </c>
      <c r="C8" s="5" t="s">
        <v>56</v>
      </c>
      <c r="D8" s="141" t="s">
        <v>264</v>
      </c>
      <c r="E8" s="5"/>
      <c r="F8" s="5"/>
      <c r="G8" s="5"/>
      <c r="H8" s="5"/>
      <c r="I8" s="5"/>
      <c r="J8" s="5"/>
      <c r="K8" s="5"/>
      <c r="L8" s="5">
        <v>9</v>
      </c>
      <c r="M8" s="6">
        <f>K8-L8</f>
        <v>-9</v>
      </c>
    </row>
    <row r="9" spans="2:13" ht="20.149999999999999" customHeight="1">
      <c r="B9" s="4" t="s">
        <v>94</v>
      </c>
      <c r="C9" s="5" t="s">
        <v>86</v>
      </c>
      <c r="D9" s="141" t="s">
        <v>248</v>
      </c>
      <c r="E9" s="5"/>
      <c r="F9" s="5"/>
      <c r="G9" s="5"/>
      <c r="H9" s="5"/>
      <c r="I9" s="5"/>
      <c r="J9" s="5"/>
      <c r="K9" s="5"/>
      <c r="L9" s="5"/>
      <c r="M9" s="6">
        <f t="shared" ref="M9:M10" si="0">K9-L9</f>
        <v>0</v>
      </c>
    </row>
    <row r="10" spans="2:13" ht="20.149999999999999" customHeight="1">
      <c r="B10" s="4" t="s">
        <v>44</v>
      </c>
      <c r="C10" s="5" t="s">
        <v>12</v>
      </c>
      <c r="D10" s="141" t="s">
        <v>250</v>
      </c>
      <c r="E10" s="5"/>
      <c r="F10" s="5"/>
      <c r="G10" s="5"/>
      <c r="H10" s="5"/>
      <c r="I10" s="5"/>
      <c r="J10" s="5"/>
      <c r="K10" s="5"/>
      <c r="L10" s="5"/>
      <c r="M10" s="6">
        <f t="shared" si="0"/>
        <v>0</v>
      </c>
    </row>
    <row r="11" spans="2:13" ht="20.149999999999999" customHeight="1">
      <c r="B11" s="257" t="s">
        <v>130</v>
      </c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9"/>
    </row>
    <row r="12" spans="2:13" ht="20.149999999999999" customHeight="1">
      <c r="B12" s="4" t="s">
        <v>21</v>
      </c>
      <c r="C12" s="5" t="s">
        <v>56</v>
      </c>
      <c r="D12" s="88" t="s">
        <v>265</v>
      </c>
      <c r="E12" s="5"/>
      <c r="F12" s="5"/>
      <c r="G12" s="5"/>
      <c r="H12" s="5"/>
      <c r="I12" s="5"/>
      <c r="J12" s="5"/>
      <c r="K12" s="5"/>
      <c r="L12" s="5"/>
      <c r="M12" s="6">
        <f>K12-L12</f>
        <v>0</v>
      </c>
    </row>
    <row r="13" spans="2:13" ht="20.149999999999999" customHeight="1">
      <c r="B13" s="4" t="s">
        <v>57</v>
      </c>
      <c r="C13" s="5" t="s">
        <v>56</v>
      </c>
      <c r="D13" s="88" t="s">
        <v>265</v>
      </c>
      <c r="E13" s="5"/>
      <c r="F13" s="5"/>
      <c r="G13" s="5"/>
      <c r="H13" s="5"/>
      <c r="I13" s="5"/>
      <c r="J13" s="5"/>
      <c r="K13" s="5"/>
      <c r="L13" s="5"/>
      <c r="M13" s="6">
        <f t="shared" ref="M13:M15" si="1">K13-L13</f>
        <v>0</v>
      </c>
    </row>
    <row r="14" spans="2:13" ht="20.149999999999999" customHeight="1">
      <c r="B14" s="151" t="s">
        <v>58</v>
      </c>
      <c r="C14" s="5" t="s">
        <v>56</v>
      </c>
      <c r="D14" s="152" t="s">
        <v>282</v>
      </c>
      <c r="E14" s="5"/>
      <c r="F14" s="5"/>
      <c r="G14" s="5"/>
      <c r="H14" s="5"/>
      <c r="I14" s="5"/>
      <c r="J14" s="5"/>
      <c r="K14" s="5"/>
      <c r="L14" s="5"/>
      <c r="M14" s="6">
        <f t="shared" si="1"/>
        <v>0</v>
      </c>
    </row>
    <row r="15" spans="2:13" ht="20.149999999999999" customHeight="1">
      <c r="B15" s="4" t="s">
        <v>59</v>
      </c>
      <c r="C15" s="5" t="s">
        <v>56</v>
      </c>
      <c r="D15" s="5" t="e">
        <f>100-D14</f>
        <v>#VALUE!</v>
      </c>
      <c r="E15" s="5">
        <f t="shared" ref="E15:L15" si="2">100-E14</f>
        <v>100</v>
      </c>
      <c r="F15" s="5">
        <f t="shared" si="2"/>
        <v>100</v>
      </c>
      <c r="G15" s="5">
        <f t="shared" si="2"/>
        <v>100</v>
      </c>
      <c r="H15" s="5">
        <f t="shared" si="2"/>
        <v>100</v>
      </c>
      <c r="I15" s="5">
        <f t="shared" si="2"/>
        <v>100</v>
      </c>
      <c r="J15" s="5">
        <f t="shared" si="2"/>
        <v>100</v>
      </c>
      <c r="K15" s="5">
        <f t="shared" si="2"/>
        <v>100</v>
      </c>
      <c r="L15" s="5">
        <f t="shared" si="2"/>
        <v>100</v>
      </c>
      <c r="M15" s="6">
        <f t="shared" si="1"/>
        <v>0</v>
      </c>
    </row>
    <row r="16" spans="2:13" ht="20.149999999999999" customHeight="1">
      <c r="B16" s="257" t="s">
        <v>287</v>
      </c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9"/>
    </row>
    <row r="17" spans="2:13" ht="20.149999999999999" customHeight="1">
      <c r="B17" s="163" t="s">
        <v>132</v>
      </c>
      <c r="C17" s="164" t="s">
        <v>56</v>
      </c>
      <c r="D17" s="164" t="s">
        <v>265</v>
      </c>
      <c r="E17" s="164"/>
      <c r="F17" s="164"/>
      <c r="G17" s="164"/>
      <c r="H17" s="164"/>
      <c r="I17" s="164"/>
      <c r="J17" s="164"/>
      <c r="K17" s="164"/>
      <c r="L17" s="164"/>
      <c r="M17" s="165"/>
    </row>
    <row r="18" spans="2:13" ht="20.149999999999999" customHeight="1">
      <c r="B18" s="163" t="s">
        <v>133</v>
      </c>
      <c r="C18" s="164" t="s">
        <v>113</v>
      </c>
      <c r="D18" s="164" t="s">
        <v>265</v>
      </c>
      <c r="E18" s="164"/>
      <c r="F18" s="164"/>
      <c r="G18" s="164"/>
      <c r="H18" s="164"/>
      <c r="I18" s="164"/>
      <c r="J18" s="164"/>
      <c r="K18" s="164"/>
      <c r="L18" s="164"/>
      <c r="M18" s="165">
        <f>K18-L18</f>
        <v>0</v>
      </c>
    </row>
    <row r="19" spans="2:13" ht="20.149999999999999" customHeight="1">
      <c r="B19" s="257" t="s">
        <v>288</v>
      </c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9"/>
    </row>
    <row r="20" spans="2:13" ht="20.149999999999999" customHeight="1">
      <c r="B20" s="153" t="s">
        <v>21</v>
      </c>
      <c r="C20" s="8" t="s">
        <v>56</v>
      </c>
      <c r="D20" s="1" t="s">
        <v>283</v>
      </c>
      <c r="E20" s="8"/>
      <c r="F20" s="8"/>
      <c r="G20" s="8"/>
      <c r="H20" s="8"/>
      <c r="I20" s="8"/>
      <c r="J20" s="8"/>
      <c r="K20" s="8"/>
      <c r="L20" s="8"/>
      <c r="M20" s="9">
        <f>K20-L20</f>
        <v>0</v>
      </c>
    </row>
    <row r="21" spans="2:13" ht="20.149999999999999" customHeight="1">
      <c r="D21" s="1" t="s">
        <v>283</v>
      </c>
    </row>
    <row r="22" spans="2:13" ht="20.149999999999999" customHeight="1"/>
    <row r="23" spans="2:13" ht="20.149999999999999" customHeight="1"/>
    <row r="24" spans="2:13" ht="20.149999999999999" customHeight="1"/>
    <row r="25" spans="2:13" ht="20.149999999999999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152C-D8F7-4462-9CE2-42DBA1287E35}">
  <dimension ref="B2:I15"/>
  <sheetViews>
    <sheetView workbookViewId="0">
      <selection activeCell="I12" sqref="I12"/>
    </sheetView>
  </sheetViews>
  <sheetFormatPr defaultColWidth="9" defaultRowHeight="13"/>
  <cols>
    <col min="1" max="1" width="1.33203125" style="2" customWidth="1"/>
    <col min="2" max="2" width="9" style="2"/>
    <col min="3" max="7" width="13.33203125" style="2" customWidth="1"/>
    <col min="8" max="16384" width="9" style="2"/>
  </cols>
  <sheetData>
    <row r="2" spans="2:9" ht="30" customHeight="1">
      <c r="B2" s="225" t="s">
        <v>177</v>
      </c>
      <c r="C2" s="225"/>
      <c r="D2" s="225"/>
      <c r="E2" s="225"/>
      <c r="F2" s="225"/>
      <c r="G2" s="225"/>
    </row>
    <row r="3" spans="2:9" ht="15" customHeight="1">
      <c r="B3" s="223"/>
      <c r="C3" s="224"/>
      <c r="D3" s="224"/>
      <c r="E3" s="224"/>
      <c r="F3" s="224"/>
      <c r="G3" s="224"/>
    </row>
    <row r="4" spans="2:9" ht="15.75" customHeight="1">
      <c r="B4" s="269" t="s">
        <v>91</v>
      </c>
      <c r="C4" s="270"/>
      <c r="D4" s="270"/>
      <c r="E4" s="270"/>
      <c r="F4" s="270"/>
      <c r="G4" s="271"/>
    </row>
    <row r="5" spans="2:9" ht="25" customHeight="1">
      <c r="B5" s="4" t="s">
        <v>39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87</v>
      </c>
    </row>
    <row r="6" spans="2:9" ht="2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86</v>
      </c>
      <c r="G6" s="6" t="s">
        <v>88</v>
      </c>
    </row>
    <row r="7" spans="2:9" ht="25" customHeight="1">
      <c r="B7" s="79" t="s">
        <v>81</v>
      </c>
      <c r="C7" s="80">
        <v>0.16600000000000001</v>
      </c>
      <c r="D7" s="80">
        <v>0.04</v>
      </c>
      <c r="E7" s="81">
        <f>C7/D7</f>
        <v>4.1500000000000004</v>
      </c>
      <c r="F7" s="80">
        <v>1.17</v>
      </c>
      <c r="G7" s="82" t="s">
        <v>89</v>
      </c>
    </row>
    <row r="8" spans="2:9" ht="25" customHeight="1">
      <c r="B8" s="77" t="s">
        <v>209</v>
      </c>
      <c r="C8" s="71"/>
      <c r="D8" s="71"/>
      <c r="E8" s="78"/>
      <c r="F8" s="71"/>
      <c r="G8" s="74"/>
    </row>
    <row r="9" spans="2:9" ht="25" customHeight="1">
      <c r="B9" s="77" t="s">
        <v>90</v>
      </c>
      <c r="C9" s="71" t="s">
        <v>289</v>
      </c>
      <c r="D9" s="71" t="s">
        <v>289</v>
      </c>
      <c r="E9" s="78"/>
      <c r="F9" s="71" t="s">
        <v>290</v>
      </c>
      <c r="G9" s="74" t="s">
        <v>291</v>
      </c>
      <c r="H9" s="2" t="s">
        <v>244</v>
      </c>
      <c r="I9" s="2" t="s">
        <v>266</v>
      </c>
    </row>
    <row r="10" spans="2:9" ht="15.75" customHeight="1">
      <c r="B10" s="272" t="s">
        <v>92</v>
      </c>
      <c r="C10" s="273"/>
      <c r="D10" s="273"/>
      <c r="E10" s="273"/>
      <c r="F10" s="273"/>
      <c r="G10" s="274"/>
    </row>
    <row r="11" spans="2:9" ht="25" customHeight="1">
      <c r="B11" s="4" t="s">
        <v>39</v>
      </c>
      <c r="C11" s="170" t="s">
        <v>21</v>
      </c>
      <c r="D11" s="5" t="s">
        <v>94</v>
      </c>
      <c r="E11" s="5" t="s">
        <v>93</v>
      </c>
      <c r="F11" s="54"/>
      <c r="G11" s="5"/>
    </row>
    <row r="12" spans="2:9" ht="25" customHeight="1">
      <c r="B12" s="4" t="s">
        <v>40</v>
      </c>
      <c r="C12" s="170" t="s">
        <v>56</v>
      </c>
      <c r="D12" s="5" t="s">
        <v>86</v>
      </c>
      <c r="E12" s="5" t="s">
        <v>86</v>
      </c>
      <c r="F12" s="54"/>
      <c r="G12" s="5"/>
    </row>
    <row r="13" spans="2:9" ht="25" customHeight="1">
      <c r="B13" s="4" t="s">
        <v>34</v>
      </c>
      <c r="C13" s="171"/>
      <c r="D13" s="172"/>
      <c r="E13" s="170"/>
      <c r="F13" s="170"/>
      <c r="G13" s="5"/>
    </row>
    <row r="14" spans="2:9" ht="25" customHeight="1">
      <c r="B14" s="7" t="s">
        <v>35</v>
      </c>
      <c r="C14" s="173"/>
      <c r="D14" s="169"/>
      <c r="E14" s="170"/>
      <c r="F14" s="170"/>
      <c r="G14" s="8"/>
    </row>
    <row r="15" spans="2:9" ht="25" customHeight="1">
      <c r="C15" s="268" t="s">
        <v>267</v>
      </c>
      <c r="D15" s="268"/>
      <c r="E15" s="268"/>
      <c r="F15" s="268"/>
      <c r="G15" s="268"/>
    </row>
  </sheetData>
  <mergeCells count="5">
    <mergeCell ref="C15:G15"/>
    <mergeCell ref="B2:G2"/>
    <mergeCell ref="B4:G4"/>
    <mergeCell ref="B10:G10"/>
    <mergeCell ref="B3:G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DA58-4F83-4F74-B5B9-DB0F33CC26DB}">
  <dimension ref="B2:E18"/>
  <sheetViews>
    <sheetView workbookViewId="0">
      <selection activeCell="E12" sqref="E12"/>
    </sheetView>
  </sheetViews>
  <sheetFormatPr defaultColWidth="9" defaultRowHeight="14"/>
  <cols>
    <col min="1" max="1" width="2.25" style="1" customWidth="1"/>
    <col min="2" max="5" width="19.58203125" style="1" customWidth="1"/>
    <col min="6" max="6" width="12.58203125" style="1" customWidth="1"/>
    <col min="7" max="16384" width="9" style="1"/>
  </cols>
  <sheetData>
    <row r="2" spans="2:5" ht="30" customHeight="1">
      <c r="B2" s="225" t="s">
        <v>166</v>
      </c>
      <c r="C2" s="225"/>
      <c r="D2" s="225"/>
      <c r="E2" s="225"/>
    </row>
    <row r="3" spans="2:5" ht="15" customHeight="1">
      <c r="B3" s="246"/>
      <c r="C3" s="246"/>
      <c r="D3" s="246"/>
      <c r="E3" s="246"/>
    </row>
    <row r="4" spans="2:5" ht="25" customHeight="1">
      <c r="B4" s="275" t="s">
        <v>109</v>
      </c>
      <c r="C4" s="34" t="s">
        <v>108</v>
      </c>
      <c r="D4" s="34" t="s">
        <v>110</v>
      </c>
      <c r="E4" s="276" t="s">
        <v>111</v>
      </c>
    </row>
    <row r="5" spans="2:5" ht="25" customHeight="1">
      <c r="B5" s="242"/>
      <c r="C5" s="53" t="s">
        <v>107</v>
      </c>
      <c r="D5" s="53" t="s">
        <v>12</v>
      </c>
      <c r="E5" s="277"/>
    </row>
    <row r="6" spans="2:5" ht="25" customHeight="1">
      <c r="B6" s="40" t="s">
        <v>105</v>
      </c>
      <c r="C6" s="53" t="s">
        <v>268</v>
      </c>
      <c r="D6" s="53" t="s">
        <v>269</v>
      </c>
      <c r="E6" s="54">
        <v>301</v>
      </c>
    </row>
    <row r="7" spans="2:5" ht="25" customHeight="1">
      <c r="B7" s="55" t="s">
        <v>106</v>
      </c>
      <c r="C7" s="56"/>
      <c r="D7" s="56"/>
      <c r="E7" s="57">
        <v>301</v>
      </c>
    </row>
    <row r="8" spans="2:5" ht="15" customHeight="1">
      <c r="B8" s="278"/>
      <c r="C8" s="279"/>
      <c r="D8" s="279"/>
      <c r="E8" s="280"/>
    </row>
    <row r="9" spans="2:5" ht="25" customHeight="1">
      <c r="B9" s="275" t="s">
        <v>101</v>
      </c>
      <c r="C9" s="34" t="s">
        <v>21</v>
      </c>
      <c r="D9" s="34" t="s">
        <v>94</v>
      </c>
      <c r="E9" s="52" t="s">
        <v>93</v>
      </c>
    </row>
    <row r="10" spans="2:5" ht="25" customHeight="1">
      <c r="B10" s="242"/>
      <c r="C10" s="53" t="s">
        <v>56</v>
      </c>
      <c r="D10" s="53" t="s">
        <v>86</v>
      </c>
      <c r="E10" s="54" t="s">
        <v>86</v>
      </c>
    </row>
    <row r="11" spans="2:5" ht="25" customHeight="1">
      <c r="B11" s="40" t="s">
        <v>102</v>
      </c>
      <c r="C11" s="89" t="s">
        <v>270</v>
      </c>
      <c r="D11" s="89" t="s">
        <v>272</v>
      </c>
      <c r="E11" s="90" t="s">
        <v>274</v>
      </c>
    </row>
    <row r="12" spans="2:5" ht="25" customHeight="1">
      <c r="B12" s="40" t="s">
        <v>103</v>
      </c>
      <c r="C12" s="53" t="s">
        <v>271</v>
      </c>
      <c r="D12" s="53" t="s">
        <v>273</v>
      </c>
      <c r="E12" s="90" t="s">
        <v>275</v>
      </c>
    </row>
    <row r="13" spans="2:5" ht="25" customHeight="1">
      <c r="B13" s="55" t="s">
        <v>104</v>
      </c>
      <c r="C13" s="56" t="e">
        <f>C11-C12</f>
        <v>#VALUE!</v>
      </c>
      <c r="D13" s="56" t="e">
        <f>D11-D12</f>
        <v>#VALUE!</v>
      </c>
      <c r="E13" s="57" t="e">
        <f t="shared" ref="E13" si="0">E11-E12</f>
        <v>#VALUE!</v>
      </c>
    </row>
    <row r="18" ht="14.15" customHeight="1"/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6614-9DD4-4B41-ADB1-C885FD017702}">
  <sheetPr>
    <tabColor rgb="FF00B050"/>
  </sheetPr>
  <dimension ref="B2:F11"/>
  <sheetViews>
    <sheetView workbookViewId="0">
      <selection activeCell="C5" sqref="C5:E5"/>
    </sheetView>
  </sheetViews>
  <sheetFormatPr defaultRowHeight="14"/>
  <cols>
    <col min="1" max="1" width="2.58203125" customWidth="1"/>
    <col min="2" max="2" width="20.25" customWidth="1"/>
    <col min="3" max="5" width="15.58203125" customWidth="1"/>
    <col min="6" max="6" width="12.9140625" bestFit="1" customWidth="1"/>
  </cols>
  <sheetData>
    <row r="2" spans="2:6" ht="30" customHeight="1">
      <c r="B2" s="225" t="s">
        <v>167</v>
      </c>
      <c r="C2" s="225"/>
      <c r="D2" s="225"/>
      <c r="E2" s="225"/>
    </row>
    <row r="3" spans="2:6" ht="15" customHeight="1">
      <c r="B3" s="281"/>
      <c r="C3" s="281"/>
      <c r="D3" s="281"/>
      <c r="E3" s="281"/>
    </row>
    <row r="4" spans="2:6" s="1" customFormat="1" ht="25" customHeight="1">
      <c r="B4" s="3" t="s">
        <v>98</v>
      </c>
      <c r="C4" s="282"/>
      <c r="D4" s="283"/>
      <c r="E4" s="284"/>
      <c r="F4" s="36" t="s">
        <v>56</v>
      </c>
    </row>
    <row r="5" spans="2:6" s="1" customFormat="1" ht="25" customHeight="1">
      <c r="B5" s="37" t="s">
        <v>99</v>
      </c>
      <c r="C5" s="285" t="s">
        <v>277</v>
      </c>
      <c r="D5" s="286"/>
      <c r="E5" s="287"/>
      <c r="F5" s="66" t="s">
        <v>100</v>
      </c>
    </row>
    <row r="6" spans="2:6" s="45" customFormat="1" ht="40.25" customHeight="1">
      <c r="B6" s="154" t="s">
        <v>276</v>
      </c>
      <c r="C6" s="155" t="s">
        <v>22</v>
      </c>
      <c r="D6" s="155" t="s">
        <v>96</v>
      </c>
      <c r="E6" s="155" t="s">
        <v>95</v>
      </c>
      <c r="F6" s="166" t="s">
        <v>97</v>
      </c>
    </row>
    <row r="7" spans="2:6" ht="40.25" customHeight="1">
      <c r="B7" s="91" t="s">
        <v>33</v>
      </c>
      <c r="C7" s="156">
        <v>1</v>
      </c>
      <c r="D7" s="156"/>
      <c r="E7" s="156">
        <v>1</v>
      </c>
      <c r="F7" s="167"/>
    </row>
    <row r="8" spans="2:6" ht="40.25" customHeight="1">
      <c r="B8" s="157" t="s">
        <v>34</v>
      </c>
      <c r="C8" s="156">
        <v>1</v>
      </c>
      <c r="D8" s="156"/>
      <c r="E8" s="156">
        <v>2</v>
      </c>
      <c r="F8" s="167"/>
    </row>
    <row r="9" spans="2:6" ht="40.25" customHeight="1">
      <c r="B9" s="157" t="s">
        <v>35</v>
      </c>
      <c r="C9" s="156"/>
      <c r="D9" s="156">
        <v>1</v>
      </c>
      <c r="E9" s="156"/>
      <c r="F9" s="167"/>
    </row>
    <row r="10" spans="2:6">
      <c r="B10" s="158" t="s">
        <v>278</v>
      </c>
      <c r="C10" s="288" t="s">
        <v>286</v>
      </c>
      <c r="D10" s="288"/>
      <c r="E10" s="288"/>
      <c r="F10" s="288"/>
    </row>
    <row r="11" spans="2:6">
      <c r="F11" t="s">
        <v>292</v>
      </c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01F1-14F4-4544-A36A-0BE8C70BEFC6}">
  <sheetPr>
    <tabColor rgb="FFFFFF00"/>
  </sheetPr>
  <dimension ref="B2:X23"/>
  <sheetViews>
    <sheetView zoomScale="85" zoomScaleNormal="85" workbookViewId="0">
      <selection activeCell="J7" sqref="J7"/>
    </sheetView>
  </sheetViews>
  <sheetFormatPr defaultRowHeight="14"/>
  <cols>
    <col min="1" max="1" width="2.33203125" customWidth="1"/>
    <col min="2" max="2" width="12.58203125" customWidth="1"/>
    <col min="3" max="10" width="10.58203125" customWidth="1"/>
  </cols>
  <sheetData>
    <row r="2" spans="2:24" ht="30" customHeight="1">
      <c r="B2" s="225" t="s">
        <v>168</v>
      </c>
      <c r="C2" s="225"/>
      <c r="D2" s="225"/>
      <c r="E2" s="225"/>
      <c r="F2" s="225"/>
      <c r="G2" s="225"/>
      <c r="H2" s="225"/>
      <c r="I2" s="225"/>
      <c r="J2" s="225"/>
    </row>
    <row r="3" spans="2:24" ht="25" customHeight="1">
      <c r="B3" s="312" t="s">
        <v>116</v>
      </c>
      <c r="C3" s="312"/>
      <c r="D3" s="312"/>
      <c r="E3" s="312"/>
      <c r="F3" s="312"/>
      <c r="G3" s="312"/>
      <c r="H3" s="312"/>
      <c r="I3" s="312"/>
      <c r="J3" s="312"/>
    </row>
    <row r="4" spans="2:24" ht="15" customHeight="1"/>
    <row r="5" spans="2:24" ht="30" customHeight="1">
      <c r="B5" s="310" t="s">
        <v>112</v>
      </c>
      <c r="C5" s="75" t="s">
        <v>146</v>
      </c>
      <c r="D5" s="75" t="s">
        <v>147</v>
      </c>
      <c r="E5" s="75" t="s">
        <v>148</v>
      </c>
      <c r="F5" s="75" t="s">
        <v>149</v>
      </c>
      <c r="G5" s="75" t="s">
        <v>150</v>
      </c>
      <c r="H5" s="75" t="s">
        <v>151</v>
      </c>
      <c r="I5" s="75" t="s">
        <v>153</v>
      </c>
      <c r="J5" s="76" t="s">
        <v>152</v>
      </c>
    </row>
    <row r="6" spans="2:24" ht="25" customHeight="1">
      <c r="B6" s="311"/>
      <c r="C6" s="5" t="s">
        <v>114</v>
      </c>
      <c r="D6" s="5" t="s">
        <v>114</v>
      </c>
      <c r="E6" s="5" t="s">
        <v>115</v>
      </c>
      <c r="F6" s="5" t="s">
        <v>115</v>
      </c>
      <c r="G6" s="5" t="s">
        <v>115</v>
      </c>
      <c r="H6" s="5" t="s">
        <v>115</v>
      </c>
      <c r="I6" s="5" t="s">
        <v>115</v>
      </c>
      <c r="J6" s="6" t="s">
        <v>115</v>
      </c>
    </row>
    <row r="7" spans="2:24" s="1" customFormat="1" ht="25" customHeight="1">
      <c r="B7" s="16" t="s">
        <v>47</v>
      </c>
      <c r="C7" s="18">
        <v>1.4630000000000001</v>
      </c>
      <c r="D7" s="18">
        <v>0.25</v>
      </c>
      <c r="E7" s="18">
        <v>0.1</v>
      </c>
      <c r="F7" s="18" t="s">
        <v>12</v>
      </c>
      <c r="G7" s="18" t="s">
        <v>12</v>
      </c>
      <c r="H7" s="18" t="s">
        <v>12</v>
      </c>
      <c r="I7" s="67">
        <v>3</v>
      </c>
      <c r="J7" s="68">
        <v>0.57499999999999996</v>
      </c>
    </row>
    <row r="8" spans="2:24" s="1" customFormat="1" ht="25" customHeight="1">
      <c r="B8" s="4" t="s">
        <v>33</v>
      </c>
      <c r="C8" s="5"/>
      <c r="D8" s="5"/>
      <c r="E8" s="5"/>
      <c r="F8" s="5"/>
      <c r="G8" s="5"/>
      <c r="H8" s="5"/>
      <c r="I8" s="53"/>
      <c r="J8" s="54"/>
    </row>
    <row r="9" spans="2:24" s="1" customFormat="1" ht="25" customHeight="1">
      <c r="B9" s="16" t="s">
        <v>105</v>
      </c>
      <c r="C9" s="17"/>
      <c r="D9" s="17"/>
      <c r="E9" s="17"/>
      <c r="F9" s="17"/>
      <c r="G9" s="17"/>
      <c r="H9" s="17"/>
      <c r="I9" s="69"/>
      <c r="J9" s="70"/>
    </row>
    <row r="10" spans="2:24" s="1" customFormat="1" ht="25" customHeight="1" thickBot="1">
      <c r="B10" s="7" t="s">
        <v>106</v>
      </c>
      <c r="C10" s="8"/>
      <c r="D10" s="8"/>
      <c r="E10" s="8"/>
      <c r="F10" s="8"/>
      <c r="G10" s="8"/>
      <c r="H10" s="8"/>
      <c r="I10" s="56"/>
      <c r="J10" s="57"/>
    </row>
    <row r="11" spans="2:24" s="1" customFormat="1" ht="25" customHeight="1" thickBot="1">
      <c r="B11" s="2"/>
      <c r="C11" s="2"/>
      <c r="D11" s="2"/>
      <c r="E11" s="2"/>
      <c r="F11" s="2"/>
      <c r="G11" s="2"/>
      <c r="H11" s="2"/>
    </row>
    <row r="12" spans="2:24" s="1" customFormat="1" ht="25" customHeight="1">
      <c r="B12" s="313">
        <v>2025</v>
      </c>
      <c r="C12" s="314"/>
      <c r="D12" s="112"/>
      <c r="E12" s="315" t="s">
        <v>210</v>
      </c>
      <c r="F12" s="315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6"/>
    </row>
    <row r="13" spans="2:24" s="1" customFormat="1" ht="25" customHeight="1">
      <c r="B13" s="306" t="s">
        <v>117</v>
      </c>
      <c r="C13" s="308" t="s">
        <v>135</v>
      </c>
      <c r="D13" s="308" t="s">
        <v>211</v>
      </c>
      <c r="E13" s="296" t="s">
        <v>131</v>
      </c>
      <c r="F13" s="297"/>
      <c r="G13" s="294" t="s">
        <v>212</v>
      </c>
      <c r="H13" s="295"/>
      <c r="I13" s="304" t="s">
        <v>213</v>
      </c>
      <c r="J13" s="305"/>
      <c r="K13" s="294" t="s">
        <v>214</v>
      </c>
      <c r="L13" s="295"/>
      <c r="M13" s="296" t="s">
        <v>215</v>
      </c>
      <c r="N13" s="297"/>
      <c r="O13" s="294" t="s">
        <v>216</v>
      </c>
      <c r="P13" s="295"/>
      <c r="Q13" s="296" t="s">
        <v>217</v>
      </c>
      <c r="R13" s="297"/>
      <c r="S13" s="294" t="s">
        <v>218</v>
      </c>
      <c r="T13" s="295"/>
      <c r="U13" s="296" t="s">
        <v>219</v>
      </c>
      <c r="V13" s="297"/>
      <c r="W13" s="295" t="s">
        <v>220</v>
      </c>
      <c r="X13" s="298"/>
    </row>
    <row r="14" spans="2:24" ht="25" customHeight="1">
      <c r="B14" s="307"/>
      <c r="C14" s="309"/>
      <c r="D14" s="309"/>
      <c r="E14" s="113" t="s">
        <v>221</v>
      </c>
      <c r="F14" s="113" t="s">
        <v>40</v>
      </c>
      <c r="G14" s="106" t="s">
        <v>221</v>
      </c>
      <c r="H14" s="106" t="s">
        <v>40</v>
      </c>
      <c r="I14" s="113" t="s">
        <v>221</v>
      </c>
      <c r="J14" s="113" t="s">
        <v>40</v>
      </c>
      <c r="K14" s="106" t="s">
        <v>222</v>
      </c>
      <c r="L14" s="106" t="s">
        <v>223</v>
      </c>
      <c r="M14" s="113" t="s">
        <v>222</v>
      </c>
      <c r="N14" s="113" t="s">
        <v>223</v>
      </c>
      <c r="O14" s="106" t="s">
        <v>222</v>
      </c>
      <c r="P14" s="106" t="s">
        <v>223</v>
      </c>
      <c r="Q14" s="113" t="s">
        <v>222</v>
      </c>
      <c r="R14" s="113" t="s">
        <v>223</v>
      </c>
      <c r="S14" s="106" t="s">
        <v>222</v>
      </c>
      <c r="T14" s="106" t="s">
        <v>223</v>
      </c>
      <c r="U14" s="113" t="s">
        <v>224</v>
      </c>
      <c r="V14" s="113" t="s">
        <v>40</v>
      </c>
      <c r="W14" s="106" t="s">
        <v>225</v>
      </c>
      <c r="X14" s="114" t="s">
        <v>223</v>
      </c>
    </row>
    <row r="15" spans="2:24">
      <c r="B15" s="299">
        <v>1201</v>
      </c>
      <c r="C15" s="255" t="s">
        <v>226</v>
      </c>
      <c r="D15" s="43" t="s">
        <v>12</v>
      </c>
      <c r="E15" s="115"/>
      <c r="F15" s="115" t="s">
        <v>113</v>
      </c>
      <c r="G15" s="116"/>
      <c r="H15" s="116" t="s">
        <v>113</v>
      </c>
      <c r="I15" s="115"/>
      <c r="J15" s="115" t="s">
        <v>100</v>
      </c>
      <c r="K15" s="117"/>
      <c r="L15" s="116" t="s">
        <v>113</v>
      </c>
      <c r="M15" s="115"/>
      <c r="N15" s="115" t="s">
        <v>113</v>
      </c>
      <c r="O15" s="116"/>
      <c r="P15" s="116" t="s">
        <v>113</v>
      </c>
      <c r="Q15" s="117"/>
      <c r="R15" s="115" t="s">
        <v>113</v>
      </c>
      <c r="S15" s="117"/>
      <c r="T15" s="116" t="s">
        <v>227</v>
      </c>
      <c r="U15" s="115"/>
      <c r="V15" s="115" t="s">
        <v>100</v>
      </c>
      <c r="W15" s="116">
        <v>1</v>
      </c>
      <c r="X15" s="118" t="s">
        <v>100</v>
      </c>
    </row>
    <row r="16" spans="2:24">
      <c r="B16" s="300"/>
      <c r="C16" s="302"/>
      <c r="D16" s="119" t="s">
        <v>228</v>
      </c>
      <c r="E16" s="120"/>
      <c r="F16" s="120" t="s">
        <v>113</v>
      </c>
      <c r="G16" s="64"/>
      <c r="H16" s="64" t="s">
        <v>113</v>
      </c>
      <c r="I16" s="120"/>
      <c r="J16" s="120" t="s">
        <v>113</v>
      </c>
      <c r="K16" s="64"/>
      <c r="L16" s="64" t="s">
        <v>113</v>
      </c>
      <c r="M16" s="120"/>
      <c r="N16" s="120" t="s">
        <v>113</v>
      </c>
      <c r="O16" s="64"/>
      <c r="P16" s="64" t="s">
        <v>113</v>
      </c>
      <c r="Q16" s="120"/>
      <c r="R16" s="120" t="s">
        <v>113</v>
      </c>
      <c r="S16" s="64"/>
      <c r="T16" s="64" t="s">
        <v>113</v>
      </c>
      <c r="U16" s="120"/>
      <c r="V16" s="120" t="s">
        <v>113</v>
      </c>
      <c r="W16" s="64"/>
      <c r="X16" s="121" t="s">
        <v>229</v>
      </c>
    </row>
    <row r="17" spans="2:24">
      <c r="B17" s="300"/>
      <c r="C17" s="302"/>
      <c r="D17" s="122" t="s">
        <v>230</v>
      </c>
      <c r="E17" s="120" t="e">
        <f>E15/E16</f>
        <v>#DIV/0!</v>
      </c>
      <c r="F17" s="120" t="s">
        <v>114</v>
      </c>
      <c r="G17" s="64" t="e">
        <f>G15/G16</f>
        <v>#DIV/0!</v>
      </c>
      <c r="H17" s="64" t="s">
        <v>114</v>
      </c>
      <c r="I17" s="120" t="e">
        <f>I15/I16</f>
        <v>#DIV/0!</v>
      </c>
      <c r="J17" s="120" t="s">
        <v>115</v>
      </c>
      <c r="K17" s="64" t="e">
        <f>K15/K16</f>
        <v>#DIV/0!</v>
      </c>
      <c r="L17" s="64" t="s">
        <v>114</v>
      </c>
      <c r="M17" s="120" t="e">
        <f>M15/M16</f>
        <v>#DIV/0!</v>
      </c>
      <c r="N17" s="120" t="s">
        <v>114</v>
      </c>
      <c r="O17" s="64" t="e">
        <f>O15/O16</f>
        <v>#DIV/0!</v>
      </c>
      <c r="P17" s="64" t="s">
        <v>114</v>
      </c>
      <c r="Q17" s="120" t="e">
        <f>Q15/Q16</f>
        <v>#DIV/0!</v>
      </c>
      <c r="R17" s="120" t="s">
        <v>114</v>
      </c>
      <c r="S17" s="64" t="e">
        <f>S15/S16</f>
        <v>#DIV/0!</v>
      </c>
      <c r="T17" s="64" t="s">
        <v>231</v>
      </c>
      <c r="U17" s="120" t="e">
        <f>U15/U16</f>
        <v>#DIV/0!</v>
      </c>
      <c r="V17" s="120" t="s">
        <v>232</v>
      </c>
      <c r="W17" s="64" t="e">
        <f>W15/W16</f>
        <v>#DIV/0!</v>
      </c>
      <c r="X17" s="121" t="s">
        <v>115</v>
      </c>
    </row>
    <row r="18" spans="2:24">
      <c r="B18" s="300"/>
      <c r="C18" s="302" t="s">
        <v>233</v>
      </c>
      <c r="D18" s="119" t="s">
        <v>12</v>
      </c>
      <c r="E18" s="120"/>
      <c r="F18" s="120" t="s">
        <v>113</v>
      </c>
      <c r="G18" s="64"/>
      <c r="H18" s="64" t="s">
        <v>113</v>
      </c>
      <c r="I18" s="120"/>
      <c r="J18" s="120" t="s">
        <v>100</v>
      </c>
      <c r="K18" s="123"/>
      <c r="L18" s="64" t="s">
        <v>113</v>
      </c>
      <c r="M18" s="120"/>
      <c r="N18" s="120" t="s">
        <v>113</v>
      </c>
      <c r="O18" s="64"/>
      <c r="P18" s="64" t="s">
        <v>113</v>
      </c>
      <c r="Q18" s="123"/>
      <c r="R18" s="120" t="s">
        <v>113</v>
      </c>
      <c r="S18" s="123"/>
      <c r="T18" s="64" t="s">
        <v>227</v>
      </c>
      <c r="U18" s="120"/>
      <c r="V18" s="120" t="s">
        <v>100</v>
      </c>
      <c r="W18" s="64"/>
      <c r="X18" s="121" t="s">
        <v>100</v>
      </c>
    </row>
    <row r="19" spans="2:24">
      <c r="B19" s="300"/>
      <c r="C19" s="302"/>
      <c r="D19" s="119" t="s">
        <v>228</v>
      </c>
      <c r="E19" s="120"/>
      <c r="F19" s="120" t="s">
        <v>113</v>
      </c>
      <c r="G19" s="64"/>
      <c r="H19" s="64" t="s">
        <v>113</v>
      </c>
      <c r="I19" s="120"/>
      <c r="J19" s="120" t="s">
        <v>113</v>
      </c>
      <c r="K19" s="64"/>
      <c r="L19" s="64" t="s">
        <v>113</v>
      </c>
      <c r="M19" s="120"/>
      <c r="N19" s="120" t="s">
        <v>113</v>
      </c>
      <c r="O19" s="64"/>
      <c r="P19" s="64" t="s">
        <v>113</v>
      </c>
      <c r="Q19" s="120"/>
      <c r="R19" s="120" t="s">
        <v>113</v>
      </c>
      <c r="S19" s="64"/>
      <c r="T19" s="64" t="s">
        <v>113</v>
      </c>
      <c r="U19" s="120"/>
      <c r="V19" s="120" t="s">
        <v>113</v>
      </c>
      <c r="W19" s="64"/>
      <c r="X19" s="121" t="s">
        <v>229</v>
      </c>
    </row>
    <row r="20" spans="2:24">
      <c r="B20" s="301"/>
      <c r="C20" s="303"/>
      <c r="D20" s="124" t="s">
        <v>230</v>
      </c>
      <c r="E20" s="125" t="e">
        <f>E18/E19</f>
        <v>#DIV/0!</v>
      </c>
      <c r="F20" s="125" t="s">
        <v>114</v>
      </c>
      <c r="G20" s="65" t="e">
        <f>G18/G19</f>
        <v>#DIV/0!</v>
      </c>
      <c r="H20" s="65" t="s">
        <v>114</v>
      </c>
      <c r="I20" s="125" t="e">
        <f>I18/I19</f>
        <v>#DIV/0!</v>
      </c>
      <c r="J20" s="125" t="s">
        <v>115</v>
      </c>
      <c r="K20" s="65" t="e">
        <f>K18/K19</f>
        <v>#DIV/0!</v>
      </c>
      <c r="L20" s="65" t="s">
        <v>114</v>
      </c>
      <c r="M20" s="125" t="e">
        <f>M18/M19</f>
        <v>#DIV/0!</v>
      </c>
      <c r="N20" s="125" t="s">
        <v>114</v>
      </c>
      <c r="O20" s="65" t="e">
        <f>O18/O19</f>
        <v>#DIV/0!</v>
      </c>
      <c r="P20" s="65" t="s">
        <v>114</v>
      </c>
      <c r="Q20" s="125" t="e">
        <f>Q18/Q19</f>
        <v>#DIV/0!</v>
      </c>
      <c r="R20" s="125" t="s">
        <v>114</v>
      </c>
      <c r="S20" s="65" t="e">
        <f>S18/S19</f>
        <v>#DIV/0!</v>
      </c>
      <c r="T20" s="65" t="s">
        <v>231</v>
      </c>
      <c r="U20" s="125" t="e">
        <f>U18/U19</f>
        <v>#DIV/0!</v>
      </c>
      <c r="V20" s="125" t="s">
        <v>115</v>
      </c>
      <c r="W20" s="65" t="e">
        <f>W18/W19</f>
        <v>#DIV/0!</v>
      </c>
      <c r="X20" s="126" t="s">
        <v>115</v>
      </c>
    </row>
    <row r="21" spans="2:24">
      <c r="B21" s="289" t="s">
        <v>234</v>
      </c>
      <c r="C21" s="290"/>
      <c r="D21" s="290"/>
      <c r="E21" s="127"/>
      <c r="F21" s="128" t="s">
        <v>229</v>
      </c>
      <c r="G21" s="129">
        <f>G15+G18</f>
        <v>0</v>
      </c>
      <c r="H21" s="94" t="s">
        <v>229</v>
      </c>
      <c r="I21" s="127">
        <f>I15+I18</f>
        <v>0</v>
      </c>
      <c r="J21" s="128" t="s">
        <v>235</v>
      </c>
      <c r="K21" s="129">
        <f>K15+K18</f>
        <v>0</v>
      </c>
      <c r="L21" s="94" t="s">
        <v>229</v>
      </c>
      <c r="M21" s="127">
        <f>M15+M18</f>
        <v>0</v>
      </c>
      <c r="N21" s="128" t="s">
        <v>229</v>
      </c>
      <c r="O21" s="129">
        <f>O15+O18</f>
        <v>0</v>
      </c>
      <c r="P21" s="94" t="s">
        <v>229</v>
      </c>
      <c r="Q21" s="127">
        <f>Q15+Q18</f>
        <v>0</v>
      </c>
      <c r="R21" s="128" t="s">
        <v>229</v>
      </c>
      <c r="S21" s="129">
        <f>S15+S18</f>
        <v>0</v>
      </c>
      <c r="T21" s="94" t="s">
        <v>236</v>
      </c>
      <c r="U21" s="127">
        <f>U15+U18</f>
        <v>0</v>
      </c>
      <c r="V21" s="128" t="s">
        <v>235</v>
      </c>
      <c r="W21" s="129">
        <f>W15+W18</f>
        <v>1</v>
      </c>
      <c r="X21" s="130" t="s">
        <v>235</v>
      </c>
    </row>
    <row r="22" spans="2:24">
      <c r="B22" s="291" t="s">
        <v>237</v>
      </c>
      <c r="C22" s="265"/>
      <c r="D22" s="265"/>
      <c r="E22" s="131"/>
      <c r="F22" s="89" t="s">
        <v>229</v>
      </c>
      <c r="G22" s="132">
        <f>G16+G19</f>
        <v>0</v>
      </c>
      <c r="H22" s="53" t="s">
        <v>229</v>
      </c>
      <c r="I22" s="131">
        <f>I16+I19</f>
        <v>0</v>
      </c>
      <c r="J22" s="89" t="s">
        <v>229</v>
      </c>
      <c r="K22" s="132">
        <f>K16+K19</f>
        <v>0</v>
      </c>
      <c r="L22" s="53" t="s">
        <v>229</v>
      </c>
      <c r="M22" s="131">
        <f>M16+M19</f>
        <v>0</v>
      </c>
      <c r="N22" s="89" t="s">
        <v>229</v>
      </c>
      <c r="O22" s="132">
        <f>O16+O19</f>
        <v>0</v>
      </c>
      <c r="P22" s="53" t="s">
        <v>229</v>
      </c>
      <c r="Q22" s="131">
        <f>Q16+Q19</f>
        <v>0</v>
      </c>
      <c r="R22" s="89" t="s">
        <v>229</v>
      </c>
      <c r="S22" s="132">
        <f>S16+S19</f>
        <v>0</v>
      </c>
      <c r="T22" s="53" t="s">
        <v>229</v>
      </c>
      <c r="U22" s="131">
        <f>U16+U19</f>
        <v>0</v>
      </c>
      <c r="V22" s="89" t="s">
        <v>229</v>
      </c>
      <c r="W22" s="132">
        <f>W16+W19</f>
        <v>0</v>
      </c>
      <c r="X22" s="133" t="s">
        <v>229</v>
      </c>
    </row>
    <row r="23" spans="2:24" ht="14.5" thickBot="1">
      <c r="B23" s="292" t="s">
        <v>238</v>
      </c>
      <c r="C23" s="293"/>
      <c r="D23" s="293"/>
      <c r="E23" s="134" t="e">
        <f>E21/E22</f>
        <v>#DIV/0!</v>
      </c>
      <c r="F23" s="134" t="s">
        <v>239</v>
      </c>
      <c r="G23" s="135" t="e">
        <f>G21/G22</f>
        <v>#DIV/0!</v>
      </c>
      <c r="H23" s="135" t="s">
        <v>239</v>
      </c>
      <c r="I23" s="134" t="e">
        <f>I21/I22</f>
        <v>#DIV/0!</v>
      </c>
      <c r="J23" s="134" t="s">
        <v>232</v>
      </c>
      <c r="K23" s="135" t="e">
        <f>K21/K22</f>
        <v>#DIV/0!</v>
      </c>
      <c r="L23" s="135" t="s">
        <v>239</v>
      </c>
      <c r="M23" s="134" t="e">
        <f>M21/M22</f>
        <v>#DIV/0!</v>
      </c>
      <c r="N23" s="134" t="s">
        <v>239</v>
      </c>
      <c r="O23" s="135" t="e">
        <f>O21/O22</f>
        <v>#DIV/0!</v>
      </c>
      <c r="P23" s="135" t="s">
        <v>239</v>
      </c>
      <c r="Q23" s="134" t="e">
        <f>Q21/Q22</f>
        <v>#DIV/0!</v>
      </c>
      <c r="R23" s="134" t="s">
        <v>239</v>
      </c>
      <c r="S23" s="135" t="e">
        <f>S21/S22</f>
        <v>#DIV/0!</v>
      </c>
      <c r="T23" s="135" t="s">
        <v>240</v>
      </c>
      <c r="U23" s="134" t="e">
        <f>U21/U22</f>
        <v>#DIV/0!</v>
      </c>
      <c r="V23" s="134" t="s">
        <v>232</v>
      </c>
      <c r="W23" s="135" t="e">
        <f>W21/W22</f>
        <v>#DIV/0!</v>
      </c>
      <c r="X23" s="136" t="s">
        <v>232</v>
      </c>
    </row>
  </sheetData>
  <mergeCells count="24">
    <mergeCell ref="B5:B6"/>
    <mergeCell ref="B3:J3"/>
    <mergeCell ref="B2:J2"/>
    <mergeCell ref="B12:C12"/>
    <mergeCell ref="E12:X12"/>
    <mergeCell ref="W13:X13"/>
    <mergeCell ref="B15:B20"/>
    <mergeCell ref="C15:C17"/>
    <mergeCell ref="C18:C20"/>
    <mergeCell ref="I13:J13"/>
    <mergeCell ref="K13:L13"/>
    <mergeCell ref="M13:N13"/>
    <mergeCell ref="O13:P13"/>
    <mergeCell ref="Q13:R13"/>
    <mergeCell ref="B13:B14"/>
    <mergeCell ref="C13:C14"/>
    <mergeCell ref="D13:D14"/>
    <mergeCell ref="E13:F13"/>
    <mergeCell ref="G13:H13"/>
    <mergeCell ref="B21:D21"/>
    <mergeCell ref="B22:D22"/>
    <mergeCell ref="B23:D23"/>
    <mergeCell ref="S13:T13"/>
    <mergeCell ref="U13:V13"/>
  </mergeCells>
  <phoneticPr fontId="1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C7F2-2724-49D2-A6C0-9BC7BDCF2E1B}">
  <sheetPr>
    <tabColor rgb="FF00B050"/>
  </sheetPr>
  <dimension ref="B2:L30"/>
  <sheetViews>
    <sheetView workbookViewId="0">
      <selection activeCell="A8" sqref="A8:XFD8"/>
    </sheetView>
  </sheetViews>
  <sheetFormatPr defaultColWidth="9" defaultRowHeight="13"/>
  <cols>
    <col min="1" max="1" width="2.25" style="2" customWidth="1"/>
    <col min="2" max="2" width="10.9140625" style="2" customWidth="1"/>
    <col min="3" max="12" width="13.25" style="2" customWidth="1"/>
    <col min="13" max="16384" width="9" style="2"/>
  </cols>
  <sheetData>
    <row r="2" spans="2:12" ht="30" customHeight="1">
      <c r="B2" s="225" t="s">
        <v>169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2:12" ht="30" customHeight="1">
      <c r="B3" s="327" t="s">
        <v>145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</row>
    <row r="4" spans="2:12" ht="10" customHeight="1">
      <c r="B4" s="325"/>
      <c r="C4" s="326"/>
      <c r="D4" s="326"/>
      <c r="E4" s="326"/>
      <c r="F4" s="326"/>
      <c r="G4" s="326"/>
      <c r="H4" s="326"/>
      <c r="I4" s="326"/>
      <c r="J4" s="326"/>
      <c r="K4" s="326"/>
      <c r="L4" s="326"/>
    </row>
    <row r="5" spans="2:12" ht="15.65" customHeight="1">
      <c r="B5" s="320" t="s">
        <v>117</v>
      </c>
      <c r="C5" s="330" t="s">
        <v>135</v>
      </c>
      <c r="D5" s="332" t="s">
        <v>158</v>
      </c>
      <c r="E5" s="332" t="s">
        <v>159</v>
      </c>
      <c r="F5" s="332" t="s">
        <v>160</v>
      </c>
      <c r="G5" s="332" t="s">
        <v>161</v>
      </c>
      <c r="H5" s="336" t="s">
        <v>162</v>
      </c>
      <c r="I5" s="339" t="s">
        <v>163</v>
      </c>
      <c r="J5" s="340" t="s">
        <v>133</v>
      </c>
      <c r="K5" s="340" t="s">
        <v>165</v>
      </c>
      <c r="L5" s="341" t="s">
        <v>62</v>
      </c>
    </row>
    <row r="6" spans="2:12" ht="15.65" customHeight="1">
      <c r="B6" s="321"/>
      <c r="C6" s="331"/>
      <c r="D6" s="333"/>
      <c r="E6" s="333"/>
      <c r="F6" s="333"/>
      <c r="G6" s="333"/>
      <c r="H6" s="337"/>
      <c r="I6" s="290"/>
      <c r="J6" s="333"/>
      <c r="K6" s="333"/>
      <c r="L6" s="244"/>
    </row>
    <row r="7" spans="2:12" ht="12.65" customHeight="1">
      <c r="B7" s="322"/>
      <c r="C7" s="309"/>
      <c r="D7" s="169" t="s">
        <v>154</v>
      </c>
      <c r="E7" s="169" t="s">
        <v>155</v>
      </c>
      <c r="F7" s="169" t="s">
        <v>156</v>
      </c>
      <c r="G7" s="169" t="s">
        <v>157</v>
      </c>
      <c r="H7" s="338"/>
      <c r="I7" s="71" t="s">
        <v>164</v>
      </c>
      <c r="J7" s="169" t="s">
        <v>164</v>
      </c>
      <c r="K7" s="169" t="s">
        <v>56</v>
      </c>
      <c r="L7" s="342"/>
    </row>
    <row r="8" spans="2:12" ht="15.65" customHeight="1">
      <c r="B8" s="317" t="s">
        <v>136</v>
      </c>
      <c r="C8" s="72" t="s">
        <v>143</v>
      </c>
      <c r="D8" s="72"/>
      <c r="E8" s="72"/>
      <c r="F8" s="72"/>
      <c r="G8" s="72"/>
      <c r="H8" s="334" t="s">
        <v>284</v>
      </c>
      <c r="I8" s="168"/>
      <c r="J8" s="168"/>
      <c r="K8" s="168"/>
      <c r="L8" s="328"/>
    </row>
    <row r="9" spans="2:12" ht="15.65" customHeight="1">
      <c r="B9" s="318"/>
      <c r="C9" s="73" t="s">
        <v>144</v>
      </c>
      <c r="D9" s="73"/>
      <c r="E9" s="73"/>
      <c r="F9" s="73"/>
      <c r="G9" s="73"/>
      <c r="H9" s="335"/>
      <c r="I9" s="137"/>
      <c r="J9" s="137"/>
      <c r="K9" s="137"/>
      <c r="L9" s="329"/>
    </row>
    <row r="10" spans="2:12" ht="15.65" customHeight="1">
      <c r="B10" s="260" t="s">
        <v>137</v>
      </c>
      <c r="C10" s="35" t="s">
        <v>143</v>
      </c>
      <c r="D10" s="35"/>
      <c r="E10" s="35"/>
      <c r="F10" s="35"/>
      <c r="G10" s="35"/>
      <c r="H10" s="339"/>
      <c r="I10" s="168"/>
      <c r="J10" s="168"/>
      <c r="K10" s="168"/>
      <c r="L10" s="343"/>
    </row>
    <row r="11" spans="2:12" ht="15.65" customHeight="1">
      <c r="B11" s="319"/>
      <c r="C11" s="8" t="s">
        <v>144</v>
      </c>
      <c r="D11" s="8"/>
      <c r="E11" s="8"/>
      <c r="F11" s="8"/>
      <c r="G11" s="8"/>
      <c r="H11" s="345"/>
      <c r="I11" s="137"/>
      <c r="J11" s="137"/>
      <c r="K11" s="137"/>
      <c r="L11" s="344"/>
    </row>
    <row r="12" spans="2:12" ht="15.65" customHeight="1">
      <c r="B12" s="317" t="s">
        <v>138</v>
      </c>
      <c r="C12" s="72" t="s">
        <v>143</v>
      </c>
      <c r="D12" s="72"/>
      <c r="E12" s="72"/>
      <c r="F12" s="72"/>
      <c r="G12" s="72"/>
      <c r="H12" s="334"/>
      <c r="I12" s="168"/>
      <c r="J12" s="168"/>
      <c r="K12" s="168"/>
      <c r="L12" s="343"/>
    </row>
    <row r="13" spans="2:12" ht="15.65" customHeight="1">
      <c r="B13" s="318"/>
      <c r="C13" s="73" t="s">
        <v>144</v>
      </c>
      <c r="D13" s="73"/>
      <c r="E13" s="73"/>
      <c r="F13" s="73"/>
      <c r="G13" s="73"/>
      <c r="H13" s="335"/>
      <c r="I13" s="137"/>
      <c r="J13" s="137"/>
      <c r="K13" s="137"/>
      <c r="L13" s="344"/>
    </row>
    <row r="14" spans="2:12" ht="15.65" customHeight="1">
      <c r="B14" s="323" t="s">
        <v>139</v>
      </c>
      <c r="C14" s="11" t="s">
        <v>143</v>
      </c>
      <c r="D14" s="11"/>
      <c r="E14" s="11"/>
      <c r="F14" s="11"/>
      <c r="G14" s="11"/>
      <c r="H14" s="339"/>
      <c r="I14" s="138"/>
      <c r="J14" s="138"/>
      <c r="K14" s="138"/>
      <c r="L14" s="343"/>
    </row>
    <row r="15" spans="2:12" ht="15.65" customHeight="1">
      <c r="B15" s="324"/>
      <c r="C15" s="71" t="s">
        <v>144</v>
      </c>
      <c r="D15" s="71"/>
      <c r="E15" s="71"/>
      <c r="F15" s="71"/>
      <c r="G15" s="71"/>
      <c r="H15" s="345"/>
      <c r="I15" s="139"/>
      <c r="J15" s="139"/>
      <c r="K15" s="139"/>
      <c r="L15" s="346"/>
    </row>
    <row r="16" spans="2:12" ht="15.65" customHeight="1">
      <c r="B16" s="317" t="s">
        <v>140</v>
      </c>
      <c r="C16" s="72" t="s">
        <v>143</v>
      </c>
      <c r="D16" s="72"/>
      <c r="E16" s="72"/>
      <c r="F16" s="72"/>
      <c r="G16" s="72"/>
      <c r="H16" s="334"/>
      <c r="I16" s="168"/>
      <c r="J16" s="168"/>
      <c r="K16" s="168"/>
      <c r="L16" s="328"/>
    </row>
    <row r="17" spans="2:12" ht="15.65" customHeight="1">
      <c r="B17" s="318"/>
      <c r="C17" s="73" t="s">
        <v>144</v>
      </c>
      <c r="D17" s="73"/>
      <c r="E17" s="73"/>
      <c r="F17" s="73"/>
      <c r="G17" s="73"/>
      <c r="H17" s="335"/>
      <c r="I17" s="137"/>
      <c r="J17" s="137"/>
      <c r="K17" s="137"/>
      <c r="L17" s="329"/>
    </row>
    <row r="18" spans="2:12" ht="15.65" customHeight="1">
      <c r="B18" s="323" t="s">
        <v>141</v>
      </c>
      <c r="C18" s="11" t="s">
        <v>143</v>
      </c>
      <c r="D18" s="11"/>
      <c r="E18" s="11"/>
      <c r="F18" s="11"/>
      <c r="G18" s="11"/>
      <c r="H18" s="339"/>
      <c r="I18" s="138"/>
      <c r="J18" s="138"/>
      <c r="K18" s="138"/>
      <c r="L18" s="347"/>
    </row>
    <row r="19" spans="2:12" ht="15.65" customHeight="1">
      <c r="B19" s="324"/>
      <c r="C19" s="71" t="s">
        <v>144</v>
      </c>
      <c r="D19" s="71"/>
      <c r="E19" s="71"/>
      <c r="F19" s="71"/>
      <c r="G19" s="71"/>
      <c r="H19" s="345"/>
      <c r="I19" s="139"/>
      <c r="J19" s="139"/>
      <c r="K19" s="139"/>
      <c r="L19" s="346"/>
    </row>
    <row r="20" spans="2:12" ht="15.65" customHeight="1">
      <c r="B20" s="317" t="s">
        <v>142</v>
      </c>
      <c r="C20" s="72" t="s">
        <v>143</v>
      </c>
      <c r="D20" s="72"/>
      <c r="E20" s="72"/>
      <c r="F20" s="72"/>
      <c r="G20" s="72"/>
      <c r="H20" s="334"/>
      <c r="I20" s="168"/>
      <c r="J20" s="168"/>
      <c r="K20" s="168"/>
      <c r="L20" s="328"/>
    </row>
    <row r="21" spans="2:12" ht="15.65" customHeight="1">
      <c r="B21" s="318"/>
      <c r="C21" s="73" t="s">
        <v>144</v>
      </c>
      <c r="D21" s="73"/>
      <c r="E21" s="73"/>
      <c r="F21" s="73"/>
      <c r="G21" s="73"/>
      <c r="H21" s="335"/>
      <c r="I21" s="137"/>
      <c r="J21" s="137"/>
      <c r="K21" s="137"/>
      <c r="L21" s="329"/>
    </row>
    <row r="22" spans="2:12" ht="15.65" customHeight="1">
      <c r="I22" s="140"/>
      <c r="J22" s="140"/>
      <c r="K22" s="140"/>
      <c r="L22" s="140"/>
    </row>
    <row r="23" spans="2:12" ht="15.65" customHeight="1">
      <c r="I23" s="348" t="s">
        <v>285</v>
      </c>
      <c r="J23" s="348"/>
      <c r="K23" s="348"/>
    </row>
    <row r="24" spans="2:12" ht="15.65" customHeight="1">
      <c r="H24" s="140"/>
      <c r="I24" s="140"/>
      <c r="J24" s="140"/>
      <c r="K24" s="140"/>
    </row>
    <row r="25" spans="2:12" ht="15.65" customHeight="1"/>
    <row r="26" spans="2:12" ht="15.65" customHeight="1"/>
    <row r="27" spans="2:12" ht="15.65" customHeight="1"/>
    <row r="28" spans="2:12" ht="15.65" customHeight="1"/>
    <row r="29" spans="2:12" ht="15.65" customHeight="1"/>
    <row r="30" spans="2:12" ht="15.65" customHeight="1"/>
  </sheetData>
  <mergeCells count="36">
    <mergeCell ref="I23:K23"/>
    <mergeCell ref="H14:H15"/>
    <mergeCell ref="H16:H17"/>
    <mergeCell ref="H18:H19"/>
    <mergeCell ref="H20:H21"/>
    <mergeCell ref="H10:H11"/>
    <mergeCell ref="H12:H13"/>
    <mergeCell ref="L14:L15"/>
    <mergeCell ref="L16:L17"/>
    <mergeCell ref="L18:L19"/>
    <mergeCell ref="L20:L21"/>
    <mergeCell ref="I5:I6"/>
    <mergeCell ref="J5:J6"/>
    <mergeCell ref="K5:K6"/>
    <mergeCell ref="L5:L7"/>
    <mergeCell ref="L10:L11"/>
    <mergeCell ref="L12:L13"/>
    <mergeCell ref="B4:L4"/>
    <mergeCell ref="B3:L3"/>
    <mergeCell ref="B2:L2"/>
    <mergeCell ref="L8:L9"/>
    <mergeCell ref="C5:C7"/>
    <mergeCell ref="D5:D6"/>
    <mergeCell ref="H8:H9"/>
    <mergeCell ref="G5:G6"/>
    <mergeCell ref="H5:H7"/>
    <mergeCell ref="E5:E6"/>
    <mergeCell ref="F5:F6"/>
    <mergeCell ref="B20:B21"/>
    <mergeCell ref="B8:B9"/>
    <mergeCell ref="B10:B11"/>
    <mergeCell ref="B12:B13"/>
    <mergeCell ref="B5:B7"/>
    <mergeCell ref="B14:B15"/>
    <mergeCell ref="B16:B17"/>
    <mergeCell ref="B18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熊茂盛</dc:creator>
  <cp:lastModifiedBy>平 曹</cp:lastModifiedBy>
  <dcterms:created xsi:type="dcterms:W3CDTF">2015-06-05T18:19:34Z</dcterms:created>
  <dcterms:modified xsi:type="dcterms:W3CDTF">2026-05-11T08:09:41Z</dcterms:modified>
</cp:coreProperties>
</file>