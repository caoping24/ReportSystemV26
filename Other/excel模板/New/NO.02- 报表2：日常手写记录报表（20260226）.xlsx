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\3_项目\25、四川乐山-和邦生物\报表\熊工发的模板\NO.01- 报表初稿\2026年2月27日定稿\"/>
    </mc:Choice>
  </mc:AlternateContent>
  <xr:revisionPtr revIDLastSave="0" documentId="13_ncr:1_{B652BE2C-8502-45C9-9E9E-EFDE17E36AFD}" xr6:coauthVersionLast="47" xr6:coauthVersionMax="47" xr10:uidLastSave="{00000000-0000-0000-0000-000000000000}"/>
  <bookViews>
    <workbookView xWindow="-120" yWindow="-16320" windowWidth="29040" windowHeight="15720" tabRatio="739" activeTab="5" xr2:uid="{00000000-000D-0000-FFFF-FFFF00000000}"/>
  </bookViews>
  <sheets>
    <sheet name="表1- 闪发器冷凝液检测数据表" sheetId="1" r:id="rId1"/>
    <sheet name="表2- 反应液检测数据表" sheetId="2" r:id="rId2"/>
    <sheet name="表3- 结晶检测数据表" sheetId="3" r:id="rId3"/>
    <sheet name="表4- 一次母液检测数据表" sheetId="4" r:id="rId4"/>
    <sheet name="表5- 母液脱色检测数据表" sheetId="5" r:id="rId5"/>
    <sheet name="表6- 日常消耗数据表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7" l="1"/>
  <c r="E14" i="7" l="1"/>
  <c r="AB30" i="3" l="1"/>
  <c r="AC30" i="3" s="1"/>
  <c r="AA30" i="3"/>
  <c r="AB29" i="3"/>
  <c r="AB28" i="3"/>
  <c r="W34" i="3"/>
  <c r="X33" i="3"/>
  <c r="X32" i="3"/>
  <c r="X31" i="3"/>
  <c r="X30" i="3"/>
  <c r="X29" i="3"/>
  <c r="X34" i="3" s="1"/>
  <c r="Q34" i="3"/>
  <c r="X13" i="3"/>
  <c r="V13" i="3" s="1"/>
  <c r="X14" i="3"/>
  <c r="V14" i="3" s="1"/>
  <c r="X15" i="3"/>
  <c r="V15" i="3" s="1"/>
  <c r="X16" i="3"/>
  <c r="V16" i="3" s="1"/>
  <c r="X5" i="3"/>
  <c r="V5" i="3" s="1"/>
  <c r="K6" i="3"/>
  <c r="K7" i="3"/>
  <c r="K8" i="3"/>
  <c r="K9" i="3"/>
  <c r="Y34" i="3" l="1"/>
  <c r="S5" i="3"/>
  <c r="U5" i="3"/>
  <c r="K5" i="3"/>
  <c r="R10" i="5" l="1"/>
  <c r="R16" i="5"/>
  <c r="K12" i="3"/>
  <c r="W15" i="3"/>
  <c r="W16" i="3"/>
  <c r="U12" i="3"/>
  <c r="W5" i="3"/>
  <c r="Q18" i="3"/>
  <c r="N17" i="3" s="1"/>
  <c r="J18" i="3"/>
  <c r="W19" i="7"/>
  <c r="W18" i="7"/>
  <c r="U19" i="7"/>
  <c r="U18" i="7"/>
  <c r="U20" i="7" s="1"/>
  <c r="S19" i="7"/>
  <c r="S18" i="7"/>
  <c r="Q19" i="7"/>
  <c r="Q18" i="7"/>
  <c r="O19" i="7"/>
  <c r="O18" i="7"/>
  <c r="M19" i="7"/>
  <c r="M18" i="7"/>
  <c r="K19" i="7"/>
  <c r="K18" i="7"/>
  <c r="I19" i="7"/>
  <c r="I18" i="7"/>
  <c r="G19" i="7"/>
  <c r="G18" i="7"/>
  <c r="E19" i="7"/>
  <c r="E20" i="7" s="1"/>
  <c r="W17" i="7"/>
  <c r="U17" i="7"/>
  <c r="S17" i="7"/>
  <c r="Q17" i="7"/>
  <c r="O17" i="7"/>
  <c r="M17" i="7"/>
  <c r="K17" i="7"/>
  <c r="I17" i="7"/>
  <c r="G17" i="7"/>
  <c r="E17" i="7"/>
  <c r="W14" i="7"/>
  <c r="U14" i="7"/>
  <c r="S14" i="7"/>
  <c r="Q14" i="7"/>
  <c r="O14" i="7"/>
  <c r="M14" i="7"/>
  <c r="K14" i="7"/>
  <c r="I14" i="7"/>
  <c r="G14" i="7"/>
  <c r="R13" i="3"/>
  <c r="R14" i="3"/>
  <c r="R15" i="3"/>
  <c r="R16" i="3"/>
  <c r="K13" i="3"/>
  <c r="K14" i="3"/>
  <c r="K15" i="3"/>
  <c r="K16" i="3"/>
  <c r="R6" i="3"/>
  <c r="R7" i="3"/>
  <c r="R8" i="3"/>
  <c r="R9" i="3"/>
  <c r="Y9" i="3" s="1"/>
  <c r="R12" i="3"/>
  <c r="X6" i="3"/>
  <c r="S6" i="3" s="1"/>
  <c r="X7" i="3"/>
  <c r="V7" i="3" s="1"/>
  <c r="X8" i="3"/>
  <c r="X9" i="3"/>
  <c r="X12" i="3"/>
  <c r="R5" i="3"/>
  <c r="Q11" i="3"/>
  <c r="J11" i="3"/>
  <c r="E10" i="3" s="1"/>
  <c r="G20" i="7" l="1"/>
  <c r="Q20" i="7"/>
  <c r="E17" i="3"/>
  <c r="X18" i="3"/>
  <c r="T12" i="3"/>
  <c r="V12" i="3"/>
  <c r="V17" i="3" s="1"/>
  <c r="Q20" i="3"/>
  <c r="O17" i="3"/>
  <c r="Y16" i="3"/>
  <c r="R18" i="3"/>
  <c r="L17" i="3"/>
  <c r="M17" i="3"/>
  <c r="P17" i="3"/>
  <c r="S12" i="3"/>
  <c r="Y14" i="3"/>
  <c r="Y13" i="3"/>
  <c r="Y15" i="3"/>
  <c r="F17" i="3"/>
  <c r="G17" i="3"/>
  <c r="I17" i="3"/>
  <c r="K18" i="3"/>
  <c r="H17" i="3"/>
  <c r="Y12" i="3"/>
  <c r="R11" i="3"/>
  <c r="Q19" i="3"/>
  <c r="S20" i="7"/>
  <c r="M20" i="7"/>
  <c r="O20" i="7"/>
  <c r="I20" i="7"/>
  <c r="K20" i="7"/>
  <c r="W20" i="7"/>
  <c r="V9" i="3"/>
  <c r="W9" i="3"/>
  <c r="U9" i="3"/>
  <c r="V8" i="3"/>
  <c r="W8" i="3"/>
  <c r="U8" i="3"/>
  <c r="T8" i="3"/>
  <c r="S8" i="3"/>
  <c r="W7" i="3"/>
  <c r="U7" i="3"/>
  <c r="T7" i="3"/>
  <c r="S7" i="3"/>
  <c r="V6" i="3"/>
  <c r="W6" i="3"/>
  <c r="U6" i="3"/>
  <c r="T6" i="3"/>
  <c r="J20" i="3"/>
  <c r="J19" i="3"/>
  <c r="Y7" i="3"/>
  <c r="K11" i="3"/>
  <c r="S13" i="3"/>
  <c r="T13" i="3"/>
  <c r="U13" i="3"/>
  <c r="S14" i="3"/>
  <c r="T14" i="3"/>
  <c r="U14" i="3"/>
  <c r="S15" i="3"/>
  <c r="T15" i="3"/>
  <c r="U15" i="3"/>
  <c r="S16" i="3"/>
  <c r="T16" i="3"/>
  <c r="U16" i="3"/>
  <c r="X11" i="3"/>
  <c r="T5" i="3"/>
  <c r="S9" i="3"/>
  <c r="T9" i="3"/>
  <c r="Y6" i="3"/>
  <c r="P10" i="3"/>
  <c r="O10" i="3"/>
  <c r="N10" i="3"/>
  <c r="M10" i="3"/>
  <c r="L10" i="3"/>
  <c r="I10" i="3"/>
  <c r="G10" i="3"/>
  <c r="F10" i="3"/>
  <c r="H10" i="3"/>
  <c r="Y8" i="3"/>
  <c r="Y5" i="3"/>
  <c r="N19" i="3" l="1"/>
  <c r="S17" i="3"/>
  <c r="Y18" i="3"/>
  <c r="P19" i="3"/>
  <c r="S10" i="3"/>
  <c r="V10" i="3"/>
  <c r="O19" i="3"/>
  <c r="R19" i="3"/>
  <c r="M19" i="3"/>
  <c r="L19" i="3"/>
  <c r="W12" i="3"/>
  <c r="U17" i="3"/>
  <c r="T17" i="3"/>
  <c r="R20" i="3"/>
  <c r="X19" i="3"/>
  <c r="Z20" i="3" s="1"/>
  <c r="G19" i="3"/>
  <c r="I19" i="3"/>
  <c r="F19" i="3"/>
  <c r="E19" i="3"/>
  <c r="H19" i="3"/>
  <c r="Y11" i="3"/>
  <c r="W10" i="3"/>
  <c r="U10" i="3"/>
  <c r="X20" i="3"/>
  <c r="T10" i="3"/>
  <c r="K19" i="3"/>
  <c r="K20" i="3"/>
  <c r="V19" i="3" l="1"/>
  <c r="S19" i="3"/>
  <c r="U19" i="3"/>
  <c r="Z11" i="3"/>
  <c r="T19" i="3"/>
  <c r="W14" i="3"/>
  <c r="W13" i="3"/>
  <c r="Y19" i="3"/>
  <c r="Y20" i="3"/>
  <c r="W17" i="3" l="1"/>
  <c r="W19" i="3" s="1"/>
  <c r="R32" i="3"/>
  <c r="R33" i="3"/>
  <c r="R31" i="3"/>
  <c r="R30" i="3"/>
  <c r="R29" i="3"/>
  <c r="R34" i="3" l="1"/>
  <c r="S3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3" authorId="0" shapeId="0" xr:uid="{5FE095A1-DC21-4262-A1DE-0FAA7709001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G3" authorId="0" shapeId="0" xr:uid="{71BC3FEB-C77F-4159-B132-6970C53713C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H3" authorId="0" shapeId="0" xr:uid="{EFF8BC31-E8F9-4E29-8EEB-BCA822D2E0D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I3" authorId="0" shapeId="0" xr:uid="{B317F845-2CAC-4559-9485-4A25F0BDA70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J3" authorId="0" shapeId="0" xr:uid="{68860AFD-FD49-43AB-8E75-95E5DD25B40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K3" authorId="0" shapeId="0" xr:uid="{A46132F1-2074-4DFB-BDE2-8B15A46FD44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L3" authorId="0" shapeId="0" xr:uid="{22CECDF0-38ED-4218-BA36-E97FECC6082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O3" authorId="0" shapeId="0" xr:uid="{AD3042AF-F6DC-40E5-87CA-745E53BC08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P3" authorId="0" shapeId="0" xr:uid="{A20C8964-A3D0-4344-8879-E837FB7AE14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Q3" authorId="0" shapeId="0" xr:uid="{7AD507FE-DA37-462E-BBEC-0AFB48A04BB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R3" authorId="0" shapeId="0" xr:uid="{F4C71B00-2A6D-4D86-9F0D-1A38512F983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3" authorId="0" shapeId="0" xr:uid="{10950780-29C2-4BF7-9419-B4F8F87823B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3" authorId="0" shapeId="0" xr:uid="{E23861B0-ADC7-41FE-80A8-3F0F94A92E3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3" authorId="0" shapeId="0" xr:uid="{F9496D92-AD73-4306-BB74-E4606E0A9B4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W3" authorId="0" shapeId="0" xr:uid="{54FB89A1-4A9D-430F-BF8A-1D974CFA470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X3" authorId="0" shapeId="0" xr:uid="{D698895A-B748-4D9A-94AD-7AC186B3D59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Y3" authorId="0" shapeId="0" xr:uid="{84D3090F-5FD3-44B5-80AB-E813B7F8624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4" authorId="0" shapeId="0" xr:uid="{BCB3EE2D-1650-4CBB-8C64-61B48A72030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F4" authorId="0" shapeId="0" xr:uid="{3355433A-2DEE-47FD-A4B4-29CED986DD3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G4" authorId="0" shapeId="0" xr:uid="{2D882FCC-4187-45AC-A461-2E6B938E852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4" authorId="0" shapeId="0" xr:uid="{02CF0719-F0B2-4811-BA94-1C6B7F90AED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N4" authorId="0" shapeId="0" xr:uid="{2FB0A389-3637-4E14-A48C-ED158267B8E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O4" authorId="0" shapeId="0" xr:uid="{2BF4909E-6EAE-4DCA-BDB2-B91CE291911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E12" authorId="0" shapeId="0" xr:uid="{6BF7ABC3-2787-461F-8B74-F22744E374E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2" authorId="0" shapeId="0" xr:uid="{C73FA47F-71B1-45EB-A411-A6E2BDD3A1D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2" authorId="0" shapeId="0" xr:uid="{2DF82B21-1FA0-45F3-BA8B-31969847411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2" authorId="0" shapeId="0" xr:uid="{19CE8129-B43A-4E88-8019-19095A37944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2" authorId="0" shapeId="0" xr:uid="{E7F0CEB0-652D-4094-BBB8-A4F764E211A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2" authorId="0" shapeId="0" xr:uid="{0DBECE75-97C3-40CF-896F-3C51C245928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2" authorId="0" shapeId="0" xr:uid="{0CB0B189-B665-47EE-B502-A37D0F07E3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2" authorId="0" shapeId="0" xr:uid="{18CA9560-E717-4B80-BDA5-8A0EEBA98F8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2" authorId="0" shapeId="0" xr:uid="{3403D6E5-0FD5-4010-BBC0-F81AD63578C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2" authorId="0" shapeId="0" xr:uid="{EE762935-8450-4E5D-B0C8-35AEDD13369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3" authorId="0" shapeId="0" xr:uid="{60C7FEF0-A24E-4556-87E6-F09D4B4A5D69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  <comment ref="E15" authorId="0" shapeId="0" xr:uid="{0F79A4DE-C9B1-437D-9A54-66F427FDD69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 shapeId="0" xr:uid="{F3F07135-DBCE-4C95-B932-4990231590F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 shapeId="0" xr:uid="{3B5F79E7-4420-4ED5-A35E-6F78546BED6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 shapeId="0" xr:uid="{D88AD5A2-786C-4F6D-890C-56603504A25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 shapeId="0" xr:uid="{7BBB71BF-398F-4274-8436-10DC8F3E357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 shapeId="0" xr:uid="{318D3DD0-5421-42B1-B8CE-4EC410B28B5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 shapeId="0" xr:uid="{03BB1B00-9D85-43C2-8D99-621303E2085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 shapeId="0" xr:uid="{7DC01BA2-C83F-458F-9546-6463FDABACF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 shapeId="0" xr:uid="{F7E9923E-9A6F-481A-947E-9AB0798CFBE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 shapeId="0" xr:uid="{AA25676F-21EE-45D3-AB6B-F55AF7E77E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 shapeId="0" xr:uid="{EE283656-7918-4C50-B609-1DCD9E1F99FB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<sst xmlns="http://schemas.openxmlformats.org/spreadsheetml/2006/main" count="422" uniqueCount="112">
  <si>
    <t>COD</t>
    <phoneticPr fontId="1" type="noConversion"/>
  </si>
  <si>
    <t>mg/L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</si>
  <si>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</si>
  <si>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</si>
  <si>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</si>
  <si>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</si>
  <si>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/</t>
    <phoneticPr fontId="1" type="noConversion"/>
  </si>
  <si>
    <t>二乙腈含量</t>
    <phoneticPr fontId="1" type="noConversion"/>
  </si>
  <si>
    <t>羟基乙腈残余</t>
    <phoneticPr fontId="1" type="noConversion"/>
  </si>
  <si>
    <t>%</t>
    <phoneticPr fontId="1" type="noConversion"/>
  </si>
  <si>
    <t>g/L</t>
    <phoneticPr fontId="1" type="noConversion"/>
  </si>
  <si>
    <t>化分
（%）</t>
    <phoneticPr fontId="1" type="noConversion"/>
  </si>
  <si>
    <t>色谱
（%）</t>
    <phoneticPr fontId="1" type="noConversion"/>
  </si>
  <si>
    <t>化分
%</t>
    <phoneticPr fontId="1" type="noConversion"/>
  </si>
  <si>
    <t>色谱
%</t>
    <phoneticPr fontId="1" type="noConversion"/>
  </si>
  <si>
    <t>白班</t>
    <phoneticPr fontId="1" type="noConversion"/>
  </si>
  <si>
    <t>日期</t>
    <phoneticPr fontId="1" type="noConversion"/>
  </si>
  <si>
    <t>班次</t>
    <phoneticPr fontId="1" type="noConversion"/>
  </si>
  <si>
    <t>序号</t>
    <phoneticPr fontId="1" type="noConversion"/>
  </si>
  <si>
    <t>夜班</t>
    <phoneticPr fontId="1" type="noConversion"/>
  </si>
  <si>
    <t>kg</t>
    <phoneticPr fontId="1" type="noConversion"/>
  </si>
  <si>
    <t>一次结晶物/一次产品</t>
    <phoneticPr fontId="1" type="noConversion"/>
  </si>
  <si>
    <t>二次结晶物/二次产品</t>
    <phoneticPr fontId="1" type="noConversion"/>
  </si>
  <si>
    <t>二乙腈
含量</t>
    <phoneticPr fontId="1" type="noConversion"/>
  </si>
  <si>
    <t>水分
含量</t>
    <phoneticPr fontId="1" type="noConversion"/>
  </si>
  <si>
    <t>未知物
含量</t>
    <phoneticPr fontId="1" type="noConversion"/>
  </si>
  <si>
    <t>二乙腈+水</t>
  </si>
  <si>
    <t>二乙腈+水</t>
    <phoneticPr fontId="1" type="noConversion"/>
  </si>
  <si>
    <t>产量</t>
    <phoneticPr fontId="1" type="noConversion"/>
  </si>
  <si>
    <t>甘氨腈</t>
    <phoneticPr fontId="1" type="noConversion"/>
  </si>
  <si>
    <t>g/L</t>
  </si>
  <si>
    <t>三乙腈</t>
    <phoneticPr fontId="1" type="noConversion"/>
  </si>
  <si>
    <t>硫铵</t>
  </si>
  <si>
    <t>硫铵</t>
    <phoneticPr fontId="1" type="noConversion"/>
  </si>
  <si>
    <t>透光率</t>
    <phoneticPr fontId="1" type="noConversion"/>
  </si>
  <si>
    <t>闪发器冷凝液检测数据记录表</t>
    <phoneticPr fontId="1" type="noConversion"/>
  </si>
  <si>
    <t>反应液检测数据记录表</t>
    <phoneticPr fontId="1" type="noConversion"/>
  </si>
  <si>
    <t>一次母液检测数据记录表</t>
    <phoneticPr fontId="1" type="noConversion"/>
  </si>
  <si>
    <t>母液脱色前检测数据记录表</t>
    <phoneticPr fontId="1" type="noConversion"/>
  </si>
  <si>
    <t>母液脱色后检测数据记录表</t>
    <phoneticPr fontId="1" type="noConversion"/>
  </si>
  <si>
    <t>产量</t>
  </si>
  <si>
    <t>%</t>
  </si>
  <si>
    <t>kg</t>
  </si>
  <si>
    <t>折百
产量</t>
    <phoneticPr fontId="1" type="noConversion"/>
  </si>
  <si>
    <t>单耗</t>
    <phoneticPr fontId="1" type="noConversion"/>
  </si>
  <si>
    <t>羟基乙腈</t>
    <phoneticPr fontId="1" type="noConversion"/>
  </si>
  <si>
    <t>主要原料消耗/单耗</t>
    <phoneticPr fontId="1" type="noConversion"/>
  </si>
  <si>
    <t>用量</t>
  </si>
  <si>
    <t>用量</t>
    <phoneticPr fontId="1" type="noConversion"/>
  </si>
  <si>
    <t>液氨</t>
    <phoneticPr fontId="1" type="noConversion"/>
  </si>
  <si>
    <t>稀硫酸</t>
    <phoneticPr fontId="1" type="noConversion"/>
  </si>
  <si>
    <t>蒸汽
总消耗</t>
    <phoneticPr fontId="1" type="noConversion"/>
  </si>
  <si>
    <t>反应蒸汽
消耗</t>
    <phoneticPr fontId="1" type="noConversion"/>
  </si>
  <si>
    <t>低蒸蒸汽
消耗</t>
    <phoneticPr fontId="1" type="noConversion"/>
  </si>
  <si>
    <t>脱盐水
消耗</t>
    <phoneticPr fontId="1" type="noConversion"/>
  </si>
  <si>
    <t>电
消耗</t>
    <phoneticPr fontId="1" type="noConversion"/>
  </si>
  <si>
    <t>废水
排放</t>
    <phoneticPr fontId="1" type="noConversion"/>
  </si>
  <si>
    <t>废液
排放</t>
    <phoneticPr fontId="1" type="noConversion"/>
  </si>
  <si>
    <t>单位</t>
  </si>
  <si>
    <t>单位</t>
    <phoneticPr fontId="1" type="noConversion"/>
  </si>
  <si>
    <t>折百产量(t)</t>
    <phoneticPr fontId="1" type="noConversion"/>
  </si>
  <si>
    <t>t</t>
  </si>
  <si>
    <t>t</t>
    <phoneticPr fontId="1" type="noConversion"/>
  </si>
  <si>
    <t>m3</t>
  </si>
  <si>
    <t>m3</t>
    <phoneticPr fontId="1" type="noConversion"/>
  </si>
  <si>
    <t>KWh</t>
  </si>
  <si>
    <t>KWh</t>
    <phoneticPr fontId="1" type="noConversion"/>
  </si>
  <si>
    <t>t/t</t>
  </si>
  <si>
    <t>t/t</t>
    <phoneticPr fontId="1" type="noConversion"/>
  </si>
  <si>
    <t>m3/t</t>
  </si>
  <si>
    <t>m3/t</t>
    <phoneticPr fontId="1" type="noConversion"/>
  </si>
  <si>
    <t>KWh/t</t>
  </si>
  <si>
    <t>KWh/t</t>
    <phoneticPr fontId="1" type="noConversion"/>
  </si>
  <si>
    <t xml:space="preserve"> 排放量</t>
  </si>
  <si>
    <t xml:space="preserve"> 排放量</t>
    <phoneticPr fontId="1" type="noConversion"/>
  </si>
  <si>
    <t>日消耗/排放汇总</t>
    <phoneticPr fontId="1" type="noConversion"/>
  </si>
  <si>
    <t>日折百产量汇总</t>
    <phoneticPr fontId="1" type="noConversion"/>
  </si>
  <si>
    <t>日平均单耗/排放</t>
    <phoneticPr fontId="1" type="noConversion"/>
  </si>
  <si>
    <t>平均</t>
    <phoneticPr fontId="1" type="noConversion"/>
  </si>
  <si>
    <t>汇总</t>
    <phoneticPr fontId="1" type="noConversion"/>
  </si>
  <si>
    <t>班合计（一次产品+二次产品）</t>
    <phoneticPr fontId="1" type="noConversion"/>
  </si>
  <si>
    <t>当日数据</t>
    <phoneticPr fontId="1" type="noConversion"/>
  </si>
  <si>
    <t>班汇总</t>
    <phoneticPr fontId="1" type="noConversion"/>
  </si>
  <si>
    <t>填写说明：非红色底色格子内，需要各班填写自己班内的检测数据，其余的红色格子内公式自动计算。</t>
    <phoneticPr fontId="1" type="noConversion"/>
  </si>
  <si>
    <t>活性炭消耗汇总</t>
    <phoneticPr fontId="1" type="noConversion"/>
  </si>
  <si>
    <t>活性炭消耗</t>
    <phoneticPr fontId="1" type="noConversion"/>
  </si>
  <si>
    <t>班产
与日平均产量的差额</t>
    <phoneticPr fontId="1" type="noConversion"/>
  </si>
  <si>
    <t>反应液比重</t>
    <phoneticPr fontId="1" type="noConversion"/>
  </si>
  <si>
    <t>kg/m3</t>
    <phoneticPr fontId="1" type="noConversion"/>
  </si>
  <si>
    <t xml:space="preserve">电消耗
</t>
    <phoneticPr fontId="1" type="noConversion"/>
  </si>
  <si>
    <t>抄表(t)</t>
    <phoneticPr fontId="1" type="noConversion"/>
  </si>
  <si>
    <t>抄表(KWh)</t>
    <phoneticPr fontId="1" type="noConversion"/>
  </si>
  <si>
    <t>公用工程消耗</t>
    <phoneticPr fontId="1" type="noConversion"/>
  </si>
  <si>
    <t>活性炭消耗</t>
  </si>
  <si>
    <t>operatorInputData</t>
  </si>
  <si>
    <t>Cell11</t>
    <phoneticPr fontId="1" type="noConversion"/>
  </si>
  <si>
    <t>Cell12</t>
  </si>
  <si>
    <t>Cell13</t>
  </si>
  <si>
    <t>Cell14</t>
  </si>
  <si>
    <t>Cell15</t>
  </si>
  <si>
    <t>Cell16</t>
  </si>
  <si>
    <t>Cell17</t>
  </si>
  <si>
    <t>Cell18</t>
  </si>
  <si>
    <t>废液中二乙睛含量</t>
    <phoneticPr fontId="1" type="noConversion"/>
  </si>
  <si>
    <t>%</t>
    <phoneticPr fontId="1" type="noConversion"/>
  </si>
  <si>
    <t>新增</t>
    <phoneticPr fontId="1" type="noConversion"/>
  </si>
  <si>
    <t>低压蒸汽
消耗</t>
    <phoneticPr fontId="1" type="noConversion"/>
  </si>
  <si>
    <t>中压蒸汽
消耗</t>
    <phoneticPr fontId="1" type="noConversion"/>
  </si>
  <si>
    <t>蒸汽总消耗改为低压和中压相加</t>
    <phoneticPr fontId="1" type="noConversion"/>
  </si>
  <si>
    <t>脱盐水改为自动获取plc数据</t>
    <phoneticPr fontId="1" type="noConversion"/>
  </si>
  <si>
    <t>此列已弃用</t>
    <phoneticPr fontId="1" type="noConversion"/>
  </si>
  <si>
    <t>用量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</si>
</sst>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;[Red]0.00"/>
    <numFmt numFmtId="177" formatCode="0.0000_);[Red]\(0.0000\)"/>
    <numFmt numFmtId="178" formatCode="0.0000;[Red]0.0000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color rgb="FFFF0000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 style="thin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176" fontId="5" fillId="4" borderId="18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5" xfId="0" applyNumberFormat="1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6" fontId="5" fillId="5" borderId="15" xfId="0" applyNumberFormat="1" applyFont="1" applyFill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5" fillId="5" borderId="35" xfId="0" applyNumberFormat="1" applyFont="1" applyFill="1" applyBorder="1" applyAlignment="1">
      <alignment horizontal="center" vertical="center"/>
    </xf>
    <xf numFmtId="176" fontId="5" fillId="5" borderId="25" xfId="0" applyNumberFormat="1" applyFont="1" applyFill="1" applyBorder="1" applyAlignment="1">
      <alignment horizontal="center" vertical="center"/>
    </xf>
    <xf numFmtId="176" fontId="5" fillId="5" borderId="31" xfId="0" applyNumberFormat="1" applyFont="1" applyFill="1" applyBorder="1" applyAlignment="1">
      <alignment horizontal="center" vertical="center"/>
    </xf>
    <xf numFmtId="176" fontId="5" fillId="5" borderId="21" xfId="0" applyNumberFormat="1" applyFont="1" applyFill="1" applyBorder="1" applyAlignment="1">
      <alignment horizontal="center" vertical="center"/>
    </xf>
    <xf numFmtId="176" fontId="5" fillId="5" borderId="16" xfId="0" applyNumberFormat="1" applyFont="1" applyFill="1" applyBorder="1" applyAlignment="1">
      <alignment horizontal="center" vertical="center"/>
    </xf>
    <xf numFmtId="176" fontId="5" fillId="5" borderId="36" xfId="0" applyNumberFormat="1" applyFont="1" applyFill="1" applyBorder="1" applyAlignment="1">
      <alignment horizontal="center" vertical="center"/>
    </xf>
    <xf numFmtId="176" fontId="5" fillId="5" borderId="20" xfId="0" applyNumberFormat="1" applyFont="1" applyFill="1" applyBorder="1" applyAlignment="1">
      <alignment horizontal="center" vertical="center"/>
    </xf>
    <xf numFmtId="176" fontId="5" fillId="5" borderId="18" xfId="0" applyNumberFormat="1" applyFont="1" applyFill="1" applyBorder="1" applyAlignment="1">
      <alignment horizontal="center" vertical="center"/>
    </xf>
    <xf numFmtId="176" fontId="5" fillId="5" borderId="22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176" fontId="5" fillId="5" borderId="45" xfId="0" applyNumberFormat="1" applyFont="1" applyFill="1" applyBorder="1" applyAlignment="1">
      <alignment horizontal="center" vertical="center"/>
    </xf>
    <xf numFmtId="176" fontId="5" fillId="5" borderId="46" xfId="0" applyNumberFormat="1" applyFont="1" applyFill="1" applyBorder="1" applyAlignment="1">
      <alignment horizontal="center" vertical="center"/>
    </xf>
    <xf numFmtId="176" fontId="5" fillId="5" borderId="43" xfId="0" applyNumberFormat="1" applyFont="1" applyFill="1" applyBorder="1" applyAlignment="1">
      <alignment horizontal="center" vertical="center"/>
    </xf>
    <xf numFmtId="176" fontId="5" fillId="5" borderId="23" xfId="0" applyNumberFormat="1" applyFont="1" applyFill="1" applyBorder="1" applyAlignment="1">
      <alignment horizontal="center" vertical="center"/>
    </xf>
    <xf numFmtId="176" fontId="5" fillId="5" borderId="52" xfId="0" applyNumberFormat="1" applyFont="1" applyFill="1" applyBorder="1" applyAlignment="1">
      <alignment horizontal="center" vertical="center"/>
    </xf>
    <xf numFmtId="176" fontId="5" fillId="5" borderId="8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176" fontId="5" fillId="5" borderId="44" xfId="0" applyNumberFormat="1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76" fontId="5" fillId="5" borderId="19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76" fontId="5" fillId="5" borderId="12" xfId="0" applyNumberFormat="1" applyFont="1" applyFill="1" applyBorder="1" applyAlignment="1">
      <alignment horizontal="center" vertical="center"/>
    </xf>
    <xf numFmtId="176" fontId="5" fillId="5" borderId="17" xfId="0" applyNumberFormat="1" applyFont="1" applyFill="1" applyBorder="1" applyAlignment="1">
      <alignment horizontal="center" vertical="center"/>
    </xf>
    <xf numFmtId="176" fontId="5" fillId="5" borderId="53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76" fontId="5" fillId="0" borderId="60" xfId="0" applyNumberFormat="1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76" fontId="5" fillId="0" borderId="6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8" fillId="6" borderId="18" xfId="0" applyNumberFormat="1" applyFont="1" applyFill="1" applyBorder="1" applyAlignment="1">
      <alignment horizontal="center" vertical="center"/>
    </xf>
    <xf numFmtId="176" fontId="8" fillId="6" borderId="22" xfId="0" applyNumberFormat="1" applyFont="1" applyFill="1" applyBorder="1" applyAlignment="1">
      <alignment horizontal="center" vertical="center"/>
    </xf>
    <xf numFmtId="0" fontId="9" fillId="6" borderId="59" xfId="0" applyFont="1" applyFill="1" applyBorder="1" applyAlignment="1">
      <alignment horizontal="center" vertical="center"/>
    </xf>
    <xf numFmtId="176" fontId="9" fillId="6" borderId="59" xfId="0" applyNumberFormat="1" applyFont="1" applyFill="1" applyBorder="1" applyAlignment="1">
      <alignment horizontal="center" vertical="center"/>
    </xf>
    <xf numFmtId="176" fontId="9" fillId="6" borderId="66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176" fontId="0" fillId="7" borderId="31" xfId="0" applyNumberFormat="1" applyFill="1" applyBorder="1" applyAlignment="1">
      <alignment horizontal="center" vertical="center"/>
    </xf>
    <xf numFmtId="176" fontId="0" fillId="7" borderId="32" xfId="0" applyNumberForma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176" fontId="0" fillId="7" borderId="24" xfId="0" applyNumberFormat="1" applyFill="1" applyBorder="1" applyAlignment="1">
      <alignment horizontal="center" vertical="center"/>
    </xf>
    <xf numFmtId="176" fontId="5" fillId="4" borderId="9" xfId="0" applyNumberFormat="1" applyFont="1" applyFill="1" applyBorder="1" applyAlignment="1">
      <alignment horizontal="center" vertical="center"/>
    </xf>
    <xf numFmtId="176" fontId="5" fillId="4" borderId="51" xfId="0" applyNumberFormat="1" applyFon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176" fontId="5" fillId="4" borderId="8" xfId="0" applyNumberFormat="1" applyFont="1" applyFill="1" applyBorder="1" applyAlignment="1">
      <alignment horizontal="center" vertical="center"/>
    </xf>
    <xf numFmtId="176" fontId="5" fillId="4" borderId="28" xfId="0" applyNumberFormat="1" applyFont="1" applyFill="1" applyBorder="1" applyAlignment="1">
      <alignment horizontal="center" vertical="center"/>
    </xf>
    <xf numFmtId="176" fontId="5" fillId="4" borderId="38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176" fontId="5" fillId="0" borderId="28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0" fillId="4" borderId="30" xfId="0" applyNumberFormat="1" applyFill="1" applyBorder="1" applyAlignment="1">
      <alignment horizontal="center" vertical="center"/>
    </xf>
    <xf numFmtId="176" fontId="0" fillId="4" borderId="6" xfId="0" applyNumberFormat="1" applyFill="1" applyBorder="1" applyAlignment="1">
      <alignment horizontal="center" vertical="center"/>
    </xf>
    <xf numFmtId="176" fontId="0" fillId="4" borderId="18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177" fontId="5" fillId="2" borderId="18" xfId="0" applyNumberFormat="1" applyFont="1" applyFill="1" applyBorder="1" applyAlignment="1">
      <alignment horizontal="center" vertical="center"/>
    </xf>
    <xf numFmtId="178" fontId="5" fillId="5" borderId="5" xfId="0" applyNumberFormat="1" applyFont="1" applyFill="1" applyBorder="1" applyAlignment="1">
      <alignment horizontal="center" vertical="center"/>
    </xf>
    <xf numFmtId="178" fontId="5" fillId="5" borderId="11" xfId="0" applyNumberFormat="1" applyFont="1" applyFill="1" applyBorder="1" applyAlignment="1">
      <alignment horizontal="center" vertical="center"/>
    </xf>
    <xf numFmtId="178" fontId="5" fillId="5" borderId="15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1"/>
  <sheetViews>
    <sheetView workbookViewId="0">
      <selection activeCell="F15" sqref="F15"/>
    </sheetView>
  </sheetViews>
  <sheetFormatPr defaultColWidth="9" defaultRowHeight="14" x14ac:dyDescent="0.3"/>
  <cols>
    <col min="1" max="1" width="3.25" style="1" customWidth="1"/>
    <col min="2" max="4" width="9" style="1"/>
    <col min="5" max="5" width="8.58203125" style="1" customWidth="1"/>
    <col min="6" max="9" width="12.58203125" style="1" customWidth="1"/>
    <col min="10" max="10" width="16.08203125" style="1" customWidth="1"/>
    <col min="11" max="16384" width="9" style="1"/>
  </cols>
  <sheetData>
    <row r="1" spans="2:13" ht="18" customHeight="1" thickBot="1" x14ac:dyDescent="0.35"/>
    <row r="2" spans="2:13" s="12" customFormat="1" ht="30" customHeight="1" x14ac:dyDescent="0.3">
      <c r="B2" s="9">
        <v>2025</v>
      </c>
      <c r="C2" s="144" t="s">
        <v>35</v>
      </c>
      <c r="D2" s="144"/>
      <c r="E2" s="144"/>
      <c r="F2" s="144"/>
      <c r="G2" s="144"/>
      <c r="H2" s="144"/>
      <c r="I2" s="145"/>
    </row>
    <row r="3" spans="2:13" ht="25" customHeight="1" x14ac:dyDescent="0.3">
      <c r="B3" s="142" t="s">
        <v>16</v>
      </c>
      <c r="C3" s="146" t="s">
        <v>17</v>
      </c>
      <c r="D3" s="146" t="s">
        <v>18</v>
      </c>
      <c r="E3" s="2" t="s">
        <v>0</v>
      </c>
      <c r="F3" s="2" t="s">
        <v>2</v>
      </c>
      <c r="G3" s="2" t="s">
        <v>3</v>
      </c>
      <c r="H3" s="2" t="s">
        <v>4</v>
      </c>
      <c r="I3" s="3" t="s">
        <v>5</v>
      </c>
      <c r="L3" s="12"/>
      <c r="M3" s="12"/>
    </row>
    <row r="4" spans="2:13" ht="25" customHeight="1" x14ac:dyDescent="0.3">
      <c r="B4" s="143"/>
      <c r="C4" s="147"/>
      <c r="D4" s="147"/>
      <c r="E4" s="6" t="s">
        <v>1</v>
      </c>
      <c r="F4" s="6" t="s">
        <v>1</v>
      </c>
      <c r="G4" s="6" t="s">
        <v>1</v>
      </c>
      <c r="H4" s="6" t="s">
        <v>1</v>
      </c>
      <c r="I4" s="7" t="s">
        <v>6</v>
      </c>
    </row>
    <row r="5" spans="2:13" ht="25" customHeight="1" x14ac:dyDescent="0.3">
      <c r="B5" s="149">
        <v>1201</v>
      </c>
      <c r="C5" s="148" t="s">
        <v>15</v>
      </c>
      <c r="D5" s="76">
        <v>1</v>
      </c>
      <c r="E5" s="129">
        <v>11</v>
      </c>
      <c r="F5" s="129">
        <v>12</v>
      </c>
      <c r="G5" s="129">
        <v>13</v>
      </c>
      <c r="H5" s="129">
        <v>14</v>
      </c>
      <c r="I5" s="130">
        <v>5</v>
      </c>
    </row>
    <row r="6" spans="2:13" ht="25" customHeight="1" x14ac:dyDescent="0.3">
      <c r="B6" s="150"/>
      <c r="C6" s="146"/>
      <c r="D6" s="2">
        <v>2</v>
      </c>
    </row>
    <row r="7" spans="2:13" ht="25" customHeight="1" x14ac:dyDescent="0.3">
      <c r="B7" s="150"/>
      <c r="C7" s="146"/>
      <c r="D7" s="5">
        <v>3</v>
      </c>
      <c r="E7" s="29"/>
      <c r="F7" s="29"/>
      <c r="G7" s="29"/>
      <c r="H7" s="29"/>
      <c r="I7" s="30"/>
    </row>
    <row r="8" spans="2:13" ht="25" customHeight="1" x14ac:dyDescent="0.3">
      <c r="B8" s="150"/>
      <c r="C8" s="146"/>
      <c r="D8" s="2">
        <v>4</v>
      </c>
      <c r="E8" s="27"/>
      <c r="F8" s="27"/>
      <c r="G8" s="27"/>
      <c r="H8" s="27"/>
      <c r="I8" s="28"/>
    </row>
    <row r="9" spans="2:13" x14ac:dyDescent="0.3">
      <c r="B9" s="150"/>
      <c r="C9" s="146"/>
      <c r="D9" s="2" t="s">
        <v>78</v>
      </c>
      <c r="E9" s="27"/>
      <c r="F9" s="27"/>
      <c r="G9" s="27"/>
      <c r="H9" s="27"/>
      <c r="I9" s="28"/>
    </row>
    <row r="10" spans="2:13" ht="25" customHeight="1" x14ac:dyDescent="0.3">
      <c r="B10" s="150"/>
      <c r="C10" s="152" t="s">
        <v>19</v>
      </c>
      <c r="D10" s="5">
        <v>1</v>
      </c>
      <c r="E10" s="129"/>
      <c r="F10" s="129"/>
      <c r="G10" s="129"/>
      <c r="H10" s="129"/>
      <c r="I10" s="130"/>
    </row>
    <row r="11" spans="2:13" ht="25" customHeight="1" x14ac:dyDescent="0.3">
      <c r="B11" s="150"/>
      <c r="C11" s="153"/>
      <c r="D11" s="2">
        <v>2</v>
      </c>
      <c r="E11" s="27"/>
      <c r="F11" s="27"/>
      <c r="G11" s="27"/>
      <c r="H11" s="27"/>
      <c r="I11" s="28"/>
    </row>
    <row r="12" spans="2:13" ht="25" customHeight="1" x14ac:dyDescent="0.3">
      <c r="B12" s="150"/>
      <c r="C12" s="153"/>
      <c r="D12" s="5">
        <v>3</v>
      </c>
      <c r="E12" s="29"/>
      <c r="F12" s="29"/>
      <c r="G12" s="29"/>
      <c r="H12" s="29"/>
      <c r="I12" s="30"/>
    </row>
    <row r="13" spans="2:13" ht="25" customHeight="1" x14ac:dyDescent="0.3">
      <c r="B13" s="150"/>
      <c r="C13" s="153"/>
      <c r="D13" s="2">
        <v>4</v>
      </c>
      <c r="E13" s="27"/>
      <c r="F13" s="27"/>
      <c r="G13" s="27"/>
      <c r="H13" s="27"/>
      <c r="I13" s="28"/>
    </row>
    <row r="14" spans="2:13" ht="25" customHeight="1" thickBot="1" x14ac:dyDescent="0.35">
      <c r="B14" s="151"/>
      <c r="C14" s="154"/>
      <c r="D14" s="4" t="s">
        <v>78</v>
      </c>
      <c r="E14" s="4"/>
      <c r="F14" s="4"/>
      <c r="G14" s="4"/>
      <c r="H14" s="4"/>
      <c r="I14" s="77"/>
    </row>
    <row r="15" spans="2:13" ht="25" customHeight="1" x14ac:dyDescent="0.3"/>
    <row r="16" spans="2:13" ht="25" customHeight="1" x14ac:dyDescent="0.3">
      <c r="D16" s="1" t="s">
        <v>94</v>
      </c>
      <c r="E16" s="1">
        <v>1</v>
      </c>
      <c r="F16" s="1">
        <v>2</v>
      </c>
      <c r="G16" s="1">
        <v>3</v>
      </c>
      <c r="H16" s="1">
        <v>4</v>
      </c>
      <c r="I16" s="1">
        <v>5</v>
      </c>
    </row>
    <row r="17" ht="25" customHeight="1" x14ac:dyDescent="0.3"/>
    <row r="18" ht="25" customHeight="1" x14ac:dyDescent="0.3"/>
    <row r="19" ht="25" customHeight="1" x14ac:dyDescent="0.3"/>
    <row r="20" ht="25" customHeight="1" x14ac:dyDescent="0.3"/>
    <row r="21" ht="25" customHeight="1" x14ac:dyDescent="0.3"/>
  </sheetData>
  <mergeCells count="7">
    <mergeCell ref="B3:B4"/>
    <mergeCell ref="C2:I2"/>
    <mergeCell ref="D3:D4"/>
    <mergeCell ref="C3:C4"/>
    <mergeCell ref="C5:C9"/>
    <mergeCell ref="B5:B14"/>
    <mergeCell ref="C10:C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1513-CAA0-45A5-A920-B84DC4A4E0E2}">
  <dimension ref="B1:M16"/>
  <sheetViews>
    <sheetView workbookViewId="0">
      <selection activeCell="K1" sqref="K1:K1048576"/>
    </sheetView>
  </sheetViews>
  <sheetFormatPr defaultColWidth="9" defaultRowHeight="14" x14ac:dyDescent="0.3"/>
  <cols>
    <col min="1" max="1" width="2.58203125" style="1" customWidth="1"/>
    <col min="2" max="10" width="9" style="1"/>
    <col min="11" max="11" width="15.58203125" style="1" customWidth="1"/>
    <col min="12" max="12" width="10.33203125" style="1" customWidth="1"/>
    <col min="13" max="13" width="13.83203125" style="1" customWidth="1"/>
    <col min="14" max="16384" width="9" style="1"/>
  </cols>
  <sheetData>
    <row r="1" spans="2:13" ht="14.5" thickBot="1" x14ac:dyDescent="0.35"/>
    <row r="2" spans="2:13" s="13" customFormat="1" ht="30" customHeight="1" x14ac:dyDescent="0.3">
      <c r="B2" s="14">
        <v>2025</v>
      </c>
      <c r="C2" s="157" t="s">
        <v>36</v>
      </c>
      <c r="D2" s="158"/>
      <c r="E2" s="158"/>
      <c r="F2" s="158"/>
      <c r="G2" s="158"/>
      <c r="H2" s="158"/>
      <c r="I2" s="158"/>
      <c r="J2" s="158"/>
      <c r="K2" s="158"/>
      <c r="L2" s="159"/>
    </row>
    <row r="3" spans="2:13" ht="25" customHeight="1" x14ac:dyDescent="0.3">
      <c r="B3" s="142" t="s">
        <v>16</v>
      </c>
      <c r="C3" s="146" t="s">
        <v>17</v>
      </c>
      <c r="D3" s="146" t="s">
        <v>18</v>
      </c>
      <c r="E3" s="146" t="s">
        <v>7</v>
      </c>
      <c r="F3" s="146"/>
      <c r="G3" s="146" t="s">
        <v>8</v>
      </c>
      <c r="H3" s="146"/>
      <c r="I3" s="2" t="s">
        <v>29</v>
      </c>
      <c r="J3" s="2" t="s">
        <v>31</v>
      </c>
      <c r="K3" s="2" t="s">
        <v>5</v>
      </c>
      <c r="L3" s="140" t="s">
        <v>87</v>
      </c>
      <c r="M3" s="1" t="s">
        <v>110</v>
      </c>
    </row>
    <row r="4" spans="2:13" ht="30.75" customHeight="1" x14ac:dyDescent="0.3">
      <c r="B4" s="142"/>
      <c r="C4" s="146"/>
      <c r="D4" s="146"/>
      <c r="E4" s="90" t="s">
        <v>11</v>
      </c>
      <c r="F4" s="90" t="s">
        <v>12</v>
      </c>
      <c r="G4" s="2" t="s">
        <v>9</v>
      </c>
      <c r="H4" s="2" t="s">
        <v>10</v>
      </c>
      <c r="I4" s="2" t="s">
        <v>30</v>
      </c>
      <c r="J4" s="2" t="s">
        <v>30</v>
      </c>
      <c r="K4" s="2" t="s">
        <v>6</v>
      </c>
      <c r="L4" s="140" t="s">
        <v>88</v>
      </c>
    </row>
    <row r="5" spans="2:13" ht="25" customHeight="1" x14ac:dyDescent="0.3">
      <c r="B5" s="142">
        <v>1201</v>
      </c>
      <c r="C5" s="146" t="s">
        <v>15</v>
      </c>
      <c r="D5" s="5">
        <v>1</v>
      </c>
      <c r="E5" s="29">
        <v>0.9</v>
      </c>
      <c r="F5" s="29">
        <v>0.91</v>
      </c>
      <c r="G5" s="29">
        <v>0.1</v>
      </c>
      <c r="H5" s="29">
        <v>14</v>
      </c>
      <c r="I5" s="29">
        <v>15</v>
      </c>
      <c r="J5" s="29">
        <v>16</v>
      </c>
      <c r="K5" s="29">
        <v>7</v>
      </c>
      <c r="L5" s="140">
        <v>800</v>
      </c>
    </row>
    <row r="6" spans="2:13" ht="25" customHeight="1" x14ac:dyDescent="0.3">
      <c r="B6" s="142"/>
      <c r="C6" s="146"/>
      <c r="D6" s="2">
        <v>2</v>
      </c>
      <c r="E6" s="27"/>
      <c r="F6" s="27"/>
      <c r="G6" s="27"/>
      <c r="H6" s="27"/>
      <c r="I6" s="27"/>
      <c r="J6" s="27"/>
      <c r="K6" s="27"/>
      <c r="L6" s="140"/>
    </row>
    <row r="7" spans="2:13" ht="25" customHeight="1" x14ac:dyDescent="0.3">
      <c r="B7" s="142"/>
      <c r="C7" s="146"/>
      <c r="D7" s="5">
        <v>3</v>
      </c>
      <c r="E7" s="29"/>
      <c r="F7" s="29"/>
      <c r="G7" s="29"/>
      <c r="H7" s="29"/>
      <c r="I7" s="29"/>
      <c r="J7" s="29"/>
      <c r="K7" s="29"/>
      <c r="L7" s="140"/>
    </row>
    <row r="8" spans="2:13" ht="25" customHeight="1" x14ac:dyDescent="0.3">
      <c r="B8" s="142"/>
      <c r="C8" s="146"/>
      <c r="D8" s="2">
        <v>4</v>
      </c>
      <c r="E8" s="27"/>
      <c r="F8" s="27"/>
      <c r="G8" s="27"/>
      <c r="H8" s="27"/>
      <c r="I8" s="27"/>
      <c r="J8" s="27"/>
      <c r="K8" s="27"/>
      <c r="L8" s="140"/>
    </row>
    <row r="9" spans="2:13" ht="25" customHeight="1" x14ac:dyDescent="0.3">
      <c r="B9" s="142"/>
      <c r="C9" s="146"/>
      <c r="D9" s="5" t="s">
        <v>78</v>
      </c>
      <c r="E9" s="29"/>
      <c r="F9" s="29"/>
      <c r="G9" s="29"/>
      <c r="H9" s="29"/>
      <c r="I9" s="29"/>
      <c r="J9" s="29"/>
      <c r="K9" s="29"/>
      <c r="L9" s="140"/>
    </row>
    <row r="10" spans="2:13" ht="25" customHeight="1" x14ac:dyDescent="0.3">
      <c r="B10" s="142"/>
      <c r="C10" s="146" t="s">
        <v>19</v>
      </c>
      <c r="D10" s="2">
        <v>1</v>
      </c>
      <c r="E10" s="27"/>
      <c r="F10" s="27"/>
      <c r="G10" s="27"/>
      <c r="H10" s="27"/>
      <c r="I10" s="27"/>
      <c r="J10" s="27"/>
      <c r="K10" s="27"/>
      <c r="L10" s="140"/>
    </row>
    <row r="11" spans="2:13" ht="25" customHeight="1" x14ac:dyDescent="0.3">
      <c r="B11" s="142"/>
      <c r="C11" s="146"/>
      <c r="D11" s="5">
        <v>2</v>
      </c>
      <c r="E11" s="29"/>
      <c r="F11" s="29"/>
      <c r="G11" s="29"/>
      <c r="H11" s="29"/>
      <c r="I11" s="29"/>
      <c r="J11" s="29"/>
      <c r="K11" s="29"/>
      <c r="L11" s="140"/>
    </row>
    <row r="12" spans="2:13" ht="25" customHeight="1" x14ac:dyDescent="0.3">
      <c r="B12" s="142"/>
      <c r="C12" s="146"/>
      <c r="D12" s="2">
        <v>3</v>
      </c>
      <c r="E12" s="27"/>
      <c r="F12" s="27"/>
      <c r="G12" s="27"/>
      <c r="H12" s="27"/>
      <c r="I12" s="27"/>
      <c r="J12" s="27"/>
      <c r="K12" s="27"/>
      <c r="L12" s="140"/>
    </row>
    <row r="13" spans="2:13" ht="25" customHeight="1" x14ac:dyDescent="0.3">
      <c r="B13" s="142"/>
      <c r="C13" s="146"/>
      <c r="D13" s="5">
        <v>4</v>
      </c>
      <c r="E13" s="29"/>
      <c r="F13" s="29"/>
      <c r="G13" s="29"/>
      <c r="H13" s="29"/>
      <c r="I13" s="29"/>
      <c r="J13" s="29"/>
      <c r="K13" s="29"/>
      <c r="L13" s="140"/>
    </row>
    <row r="14" spans="2:13" ht="25" customHeight="1" thickBot="1" x14ac:dyDescent="0.35">
      <c r="B14" s="155"/>
      <c r="C14" s="156"/>
      <c r="D14" s="4" t="s">
        <v>78</v>
      </c>
      <c r="E14" s="4"/>
      <c r="F14" s="4"/>
      <c r="G14" s="4"/>
      <c r="H14" s="4"/>
      <c r="I14" s="4"/>
      <c r="J14" s="4"/>
      <c r="K14" s="4"/>
      <c r="L14" s="141"/>
    </row>
    <row r="15" spans="2:13" ht="25" customHeight="1" x14ac:dyDescent="0.3"/>
    <row r="16" spans="2:13" ht="25" customHeight="1" x14ac:dyDescent="0.3">
      <c r="D16" s="1" t="s">
        <v>94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 t="s">
        <v>100</v>
      </c>
      <c r="K16" s="1" t="s">
        <v>101</v>
      </c>
      <c r="L16" s="1" t="s">
        <v>102</v>
      </c>
    </row>
  </sheetData>
  <mergeCells count="9">
    <mergeCell ref="C5:C9"/>
    <mergeCell ref="B5:B14"/>
    <mergeCell ref="C10:C14"/>
    <mergeCell ref="C2:L2"/>
    <mergeCell ref="B3:B4"/>
    <mergeCell ref="E3:F3"/>
    <mergeCell ref="G3:H3"/>
    <mergeCell ref="D3:D4"/>
    <mergeCell ref="C3:C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C9B9-8B3A-481E-868C-56929214469D}">
  <dimension ref="B1:AC34"/>
  <sheetViews>
    <sheetView zoomScale="85" zoomScaleNormal="85" workbookViewId="0">
      <selection activeCell="U23" sqref="U23"/>
    </sheetView>
  </sheetViews>
  <sheetFormatPr defaultColWidth="9" defaultRowHeight="14" x14ac:dyDescent="0.3"/>
  <cols>
    <col min="1" max="1" width="0.83203125" style="1" customWidth="1"/>
    <col min="2" max="2" width="6.58203125" style="1" customWidth="1"/>
    <col min="3" max="3" width="5.58203125" style="1" customWidth="1"/>
    <col min="4" max="4" width="6.75" style="1" customWidth="1"/>
    <col min="5" max="7" width="7.08203125" style="1" customWidth="1"/>
    <col min="8" max="11" width="9.08203125" style="1" customWidth="1"/>
    <col min="12" max="14" width="7.08203125" style="1" customWidth="1"/>
    <col min="15" max="18" width="9.08203125" style="1" customWidth="1"/>
    <col min="19" max="19" width="11.08203125" style="1" customWidth="1"/>
    <col min="20" max="23" width="9" style="1"/>
    <col min="24" max="24" width="9.08203125" style="1" customWidth="1"/>
    <col min="25" max="25" width="9" style="1"/>
    <col min="26" max="26" width="25.5" style="1" customWidth="1"/>
    <col min="27" max="16384" width="9" style="1"/>
  </cols>
  <sheetData>
    <row r="1" spans="2:26" ht="6.75" customHeight="1" thickBot="1" x14ac:dyDescent="0.35"/>
    <row r="2" spans="2:26" s="12" customFormat="1" ht="30" customHeight="1" x14ac:dyDescent="0.3">
      <c r="B2" s="9">
        <v>2025</v>
      </c>
      <c r="C2" s="10"/>
      <c r="D2" s="11"/>
      <c r="E2" s="170" t="s">
        <v>21</v>
      </c>
      <c r="F2" s="144"/>
      <c r="G2" s="144"/>
      <c r="H2" s="144"/>
      <c r="I2" s="144"/>
      <c r="J2" s="144"/>
      <c r="K2" s="171"/>
      <c r="L2" s="170" t="s">
        <v>22</v>
      </c>
      <c r="M2" s="144"/>
      <c r="N2" s="144"/>
      <c r="O2" s="144"/>
      <c r="P2" s="144"/>
      <c r="Q2" s="144"/>
      <c r="R2" s="171"/>
      <c r="S2" s="170" t="s">
        <v>80</v>
      </c>
      <c r="T2" s="180"/>
      <c r="U2" s="180"/>
      <c r="V2" s="180"/>
      <c r="W2" s="180"/>
      <c r="X2" s="180"/>
      <c r="Y2" s="181"/>
      <c r="Z2" s="160" t="s">
        <v>86</v>
      </c>
    </row>
    <row r="3" spans="2:26" s="20" customFormat="1" ht="33.75" customHeight="1" x14ac:dyDescent="0.3">
      <c r="B3" s="168" t="s">
        <v>16</v>
      </c>
      <c r="C3" s="173" t="s">
        <v>17</v>
      </c>
      <c r="D3" s="176" t="s">
        <v>18</v>
      </c>
      <c r="E3" s="172" t="s">
        <v>23</v>
      </c>
      <c r="F3" s="173"/>
      <c r="G3" s="17" t="s">
        <v>24</v>
      </c>
      <c r="H3" s="17" t="s">
        <v>27</v>
      </c>
      <c r="I3" s="17" t="s">
        <v>25</v>
      </c>
      <c r="J3" s="17" t="s">
        <v>28</v>
      </c>
      <c r="K3" s="18" t="s">
        <v>43</v>
      </c>
      <c r="L3" s="172" t="s">
        <v>23</v>
      </c>
      <c r="M3" s="173"/>
      <c r="N3" s="17" t="s">
        <v>24</v>
      </c>
      <c r="O3" s="17" t="s">
        <v>26</v>
      </c>
      <c r="P3" s="17" t="s">
        <v>25</v>
      </c>
      <c r="Q3" s="17" t="s">
        <v>28</v>
      </c>
      <c r="R3" s="18" t="s">
        <v>43</v>
      </c>
      <c r="S3" s="172" t="s">
        <v>23</v>
      </c>
      <c r="T3" s="146"/>
      <c r="U3" s="17" t="s">
        <v>24</v>
      </c>
      <c r="V3" s="16" t="s">
        <v>26</v>
      </c>
      <c r="W3" s="17" t="s">
        <v>25</v>
      </c>
      <c r="X3" s="16" t="s">
        <v>40</v>
      </c>
      <c r="Y3" s="19" t="s">
        <v>43</v>
      </c>
      <c r="Z3" s="161"/>
    </row>
    <row r="4" spans="2:26" s="20" customFormat="1" ht="27" customHeight="1" x14ac:dyDescent="0.3">
      <c r="B4" s="174"/>
      <c r="C4" s="175"/>
      <c r="D4" s="177"/>
      <c r="E4" s="46" t="s">
        <v>13</v>
      </c>
      <c r="F4" s="34" t="s">
        <v>14</v>
      </c>
      <c r="G4" s="44" t="s">
        <v>9</v>
      </c>
      <c r="H4" s="44" t="s">
        <v>9</v>
      </c>
      <c r="I4" s="44" t="s">
        <v>9</v>
      </c>
      <c r="J4" s="44" t="s">
        <v>20</v>
      </c>
      <c r="K4" s="47" t="s">
        <v>20</v>
      </c>
      <c r="L4" s="46" t="s">
        <v>13</v>
      </c>
      <c r="M4" s="34" t="s">
        <v>14</v>
      </c>
      <c r="N4" s="44" t="s">
        <v>9</v>
      </c>
      <c r="O4" s="44" t="s">
        <v>9</v>
      </c>
      <c r="P4" s="44" t="s">
        <v>9</v>
      </c>
      <c r="Q4" s="44" t="s">
        <v>20</v>
      </c>
      <c r="R4" s="47" t="s">
        <v>20</v>
      </c>
      <c r="S4" s="46" t="s">
        <v>13</v>
      </c>
      <c r="T4" s="34" t="s">
        <v>14</v>
      </c>
      <c r="U4" s="44" t="s">
        <v>41</v>
      </c>
      <c r="V4" s="44" t="s">
        <v>41</v>
      </c>
      <c r="W4" s="44" t="s">
        <v>41</v>
      </c>
      <c r="X4" s="44" t="s">
        <v>42</v>
      </c>
      <c r="Y4" s="48" t="s">
        <v>42</v>
      </c>
      <c r="Z4" s="86" t="s">
        <v>20</v>
      </c>
    </row>
    <row r="5" spans="2:26" s="20" customFormat="1" ht="22" customHeight="1" x14ac:dyDescent="0.3">
      <c r="B5" s="167">
        <v>1201</v>
      </c>
      <c r="C5" s="178" t="s">
        <v>15</v>
      </c>
      <c r="D5" s="25">
        <v>1</v>
      </c>
      <c r="E5" s="134">
        <v>0.95</v>
      </c>
      <c r="F5" s="134">
        <v>0.92</v>
      </c>
      <c r="G5" s="134">
        <v>0.01</v>
      </c>
      <c r="H5" s="134">
        <v>0.02</v>
      </c>
      <c r="I5" s="134">
        <v>0.03</v>
      </c>
      <c r="J5" s="135">
        <v>100</v>
      </c>
      <c r="K5" s="54">
        <f>E5*J5/100</f>
        <v>0.95</v>
      </c>
      <c r="L5" s="134">
        <v>0.97</v>
      </c>
      <c r="M5" s="134">
        <v>0.96</v>
      </c>
      <c r="N5" s="134">
        <v>0.02</v>
      </c>
      <c r="O5" s="134">
        <v>0.03</v>
      </c>
      <c r="P5" s="134">
        <v>0.04</v>
      </c>
      <c r="Q5" s="135">
        <v>50</v>
      </c>
      <c r="R5" s="54">
        <f>L5*Q5/100</f>
        <v>0.48499999999999999</v>
      </c>
      <c r="S5" s="49">
        <f>(E5*J5+L5*Q5)/X5</f>
        <v>0.95666666666666667</v>
      </c>
      <c r="T5" s="58">
        <f>(F5*J5+M5*Q5)/X5</f>
        <v>0.93333333333333335</v>
      </c>
      <c r="U5" s="58">
        <f>(G5*J5+N5*Q5)/X5</f>
        <v>1.3333333333333334E-2</v>
      </c>
      <c r="V5" s="58">
        <f>(H5*J5+O5*Q5)/X5</f>
        <v>2.3333333333333334E-2</v>
      </c>
      <c r="W5" s="58">
        <f>(I5*J5+P5*Q5)/X5</f>
        <v>3.3333333333333333E-2</v>
      </c>
      <c r="X5" s="58">
        <f>J5+Q5</f>
        <v>150</v>
      </c>
      <c r="Y5" s="59">
        <f>K5+R5</f>
        <v>1.4350000000000001</v>
      </c>
      <c r="Z5" s="86"/>
    </row>
    <row r="6" spans="2:26" s="20" customFormat="1" ht="22" customHeight="1" x14ac:dyDescent="0.3">
      <c r="B6" s="168"/>
      <c r="C6" s="173"/>
      <c r="D6" s="24">
        <v>2</v>
      </c>
      <c r="E6" s="134">
        <v>0.9</v>
      </c>
      <c r="F6" s="134">
        <v>0.9</v>
      </c>
      <c r="G6" s="134">
        <v>0.9</v>
      </c>
      <c r="H6" s="134">
        <v>0.9</v>
      </c>
      <c r="I6" s="134">
        <v>0.9</v>
      </c>
      <c r="J6" s="135">
        <v>101</v>
      </c>
      <c r="K6" s="55">
        <f t="shared" ref="K6:K9" si="0">E6*J6/100</f>
        <v>0.90900000000000003</v>
      </c>
      <c r="L6" s="134">
        <v>0.97</v>
      </c>
      <c r="M6" s="134">
        <v>0.96</v>
      </c>
      <c r="N6" s="134">
        <v>0.02</v>
      </c>
      <c r="O6" s="134">
        <v>0.03</v>
      </c>
      <c r="P6" s="134">
        <v>0.04</v>
      </c>
      <c r="Q6" s="135">
        <v>51</v>
      </c>
      <c r="R6" s="55">
        <f t="shared" ref="R6:R9" si="1">L6*Q6/100</f>
        <v>0.49469999999999997</v>
      </c>
      <c r="S6" s="49">
        <f>(E6*J6+L6*Q6)/X6</f>
        <v>0.92348684210526322</v>
      </c>
      <c r="T6" s="50">
        <f t="shared" ref="T6:T9" si="2">(F6*J6+M6*Q6)/X6</f>
        <v>0.92013157894736852</v>
      </c>
      <c r="U6" s="50">
        <f>(G6*J6+N6*Q6)/X6</f>
        <v>0.60473684210526313</v>
      </c>
      <c r="V6" s="50">
        <f>(H6*J6+O6*Q6)/X6</f>
        <v>0.60809210526315793</v>
      </c>
      <c r="W6" s="50">
        <f>(I6*J6+P6*Q6)/X6</f>
        <v>0.61144736842105274</v>
      </c>
      <c r="X6" s="50">
        <f t="shared" ref="X6:X12" si="3">J6+Q6</f>
        <v>152</v>
      </c>
      <c r="Y6" s="60">
        <f t="shared" ref="Y6:Y18" si="4">K6+R6</f>
        <v>1.4036999999999999</v>
      </c>
      <c r="Z6" s="86"/>
    </row>
    <row r="7" spans="2:26" s="20" customFormat="1" ht="22" customHeight="1" x14ac:dyDescent="0.3">
      <c r="B7" s="168"/>
      <c r="C7" s="173"/>
      <c r="D7" s="21">
        <v>3</v>
      </c>
      <c r="E7" s="134">
        <v>0.9</v>
      </c>
      <c r="F7" s="134">
        <v>0.9</v>
      </c>
      <c r="G7" s="134">
        <v>0.9</v>
      </c>
      <c r="H7" s="134">
        <v>0.9</v>
      </c>
      <c r="I7" s="134">
        <v>0.9</v>
      </c>
      <c r="J7" s="135">
        <v>102</v>
      </c>
      <c r="K7" s="55">
        <f t="shared" si="0"/>
        <v>0.91799999999999993</v>
      </c>
      <c r="L7" s="134">
        <v>0.97</v>
      </c>
      <c r="M7" s="134">
        <v>0.96</v>
      </c>
      <c r="N7" s="134">
        <v>0.02</v>
      </c>
      <c r="O7" s="134">
        <v>0.03</v>
      </c>
      <c r="P7" s="134">
        <v>0.04</v>
      </c>
      <c r="Q7" s="135">
        <v>52</v>
      </c>
      <c r="R7" s="55">
        <f t="shared" si="1"/>
        <v>0.50439999999999996</v>
      </c>
      <c r="S7" s="49">
        <f>(E7*J7+L7*Q7)/X7</f>
        <v>0.9236363636363637</v>
      </c>
      <c r="T7" s="50">
        <f>(F7*J7+M7*Q7)/X7</f>
        <v>0.92025974025974022</v>
      </c>
      <c r="U7" s="50">
        <f>(G7*J7+N7*Q7)/X7</f>
        <v>0.60285714285714287</v>
      </c>
      <c r="V7" s="50">
        <f>(H7*J7+O7*Q7)/X7</f>
        <v>0.60623376623376624</v>
      </c>
      <c r="W7" s="50">
        <f>(I7*J7+P7*Q7)/X7</f>
        <v>0.6096103896103896</v>
      </c>
      <c r="X7" s="50">
        <f t="shared" si="3"/>
        <v>154</v>
      </c>
      <c r="Y7" s="60">
        <f t="shared" si="4"/>
        <v>1.4223999999999999</v>
      </c>
      <c r="Z7" s="86"/>
    </row>
    <row r="8" spans="2:26" s="20" customFormat="1" ht="22" customHeight="1" x14ac:dyDescent="0.3">
      <c r="B8" s="168"/>
      <c r="C8" s="173"/>
      <c r="D8" s="24">
        <v>4</v>
      </c>
      <c r="E8" s="134">
        <v>0.9</v>
      </c>
      <c r="F8" s="134">
        <v>0.9</v>
      </c>
      <c r="G8" s="134">
        <v>0.9</v>
      </c>
      <c r="H8" s="134">
        <v>0.9</v>
      </c>
      <c r="I8" s="134">
        <v>0.9</v>
      </c>
      <c r="J8" s="135">
        <v>103</v>
      </c>
      <c r="K8" s="55">
        <f t="shared" si="0"/>
        <v>0.92700000000000005</v>
      </c>
      <c r="L8" s="134">
        <v>0.97</v>
      </c>
      <c r="M8" s="134">
        <v>0.96</v>
      </c>
      <c r="N8" s="134">
        <v>0.02</v>
      </c>
      <c r="O8" s="134">
        <v>0.03</v>
      </c>
      <c r="P8" s="134">
        <v>0.04</v>
      </c>
      <c r="Q8" s="135">
        <v>53</v>
      </c>
      <c r="R8" s="55">
        <f t="shared" si="1"/>
        <v>0.5141</v>
      </c>
      <c r="S8" s="49">
        <f>(E8*J8+L8*Q8)/X8</f>
        <v>0.92378205128205138</v>
      </c>
      <c r="T8" s="50">
        <f>(F8*J8+M8*Q8)/X8</f>
        <v>0.92038461538461525</v>
      </c>
      <c r="U8" s="50">
        <f>(G8*J8+N8*Q8)/X8</f>
        <v>0.60102564102564104</v>
      </c>
      <c r="V8" s="50">
        <f>(H8*J8+O8*Q8)/X8</f>
        <v>0.60442307692307695</v>
      </c>
      <c r="W8" s="50">
        <f>(I8*J8+P8*Q8)/X8</f>
        <v>0.60782051282051286</v>
      </c>
      <c r="X8" s="50">
        <f t="shared" si="3"/>
        <v>156</v>
      </c>
      <c r="Y8" s="60">
        <f t="shared" si="4"/>
        <v>1.4411</v>
      </c>
      <c r="Z8" s="86"/>
    </row>
    <row r="9" spans="2:26" s="20" customFormat="1" ht="22" customHeight="1" x14ac:dyDescent="0.3">
      <c r="B9" s="168"/>
      <c r="C9" s="179"/>
      <c r="D9" s="22">
        <v>5</v>
      </c>
      <c r="E9" s="134">
        <v>0.9</v>
      </c>
      <c r="F9" s="134">
        <v>0.9</v>
      </c>
      <c r="G9" s="134">
        <v>0.9</v>
      </c>
      <c r="H9" s="134">
        <v>0.9</v>
      </c>
      <c r="I9" s="134">
        <v>0.9</v>
      </c>
      <c r="J9" s="135">
        <v>104</v>
      </c>
      <c r="K9" s="55">
        <f t="shared" si="0"/>
        <v>0.93600000000000005</v>
      </c>
      <c r="L9" s="134"/>
      <c r="M9" s="134"/>
      <c r="N9" s="134"/>
      <c r="O9" s="134"/>
      <c r="P9" s="134"/>
      <c r="Q9" s="135"/>
      <c r="R9" s="55">
        <f t="shared" si="1"/>
        <v>0</v>
      </c>
      <c r="S9" s="49">
        <f t="shared" ref="S9" si="5">(E9*J9+L9*Q9)/X9</f>
        <v>0.90000000000000013</v>
      </c>
      <c r="T9" s="50">
        <f t="shared" si="2"/>
        <v>0.90000000000000013</v>
      </c>
      <c r="U9" s="50">
        <f>(G9*J9+N9*Q9)/X9</f>
        <v>0.90000000000000013</v>
      </c>
      <c r="V9" s="50">
        <f>(H9*J9+O9*Q9)/X9</f>
        <v>0.90000000000000013</v>
      </c>
      <c r="W9" s="50">
        <f>(I9*J9+P9*Q9)/X9</f>
        <v>0.90000000000000013</v>
      </c>
      <c r="X9" s="50">
        <f t="shared" si="3"/>
        <v>104</v>
      </c>
      <c r="Y9" s="60">
        <f t="shared" si="4"/>
        <v>0.93600000000000005</v>
      </c>
      <c r="Z9" s="86"/>
    </row>
    <row r="10" spans="2:26" s="20" customFormat="1" ht="22" customHeight="1" x14ac:dyDescent="0.3">
      <c r="B10" s="168"/>
      <c r="C10" s="179"/>
      <c r="D10" s="67" t="s">
        <v>78</v>
      </c>
      <c r="E10" s="136">
        <f>(E5*J5+E6*J6+E7*J7+E8*J8+E9*J9)/J11</f>
        <v>0.90980392156862744</v>
      </c>
      <c r="F10" s="136">
        <f>(F5*J5+F6*J6+F7*J7+F8*J8+F9*J9)/J11</f>
        <v>0.90392156862745099</v>
      </c>
      <c r="G10" s="136">
        <f>(G5*J5+G6*J6+G7*J7+G8*J8+G9*J9)/J11</f>
        <v>0.72549019607843135</v>
      </c>
      <c r="H10" s="136">
        <f>(H5*J5+H6*J6+H7*J7+H8*J8+H9*J9)/J11</f>
        <v>0.72745098039215683</v>
      </c>
      <c r="I10" s="136">
        <f>(I5*J5+I6*J6+I7*J7+I8*J8+I9*J9)/J11</f>
        <v>0.72941176470588232</v>
      </c>
      <c r="J10" s="136" t="s">
        <v>6</v>
      </c>
      <c r="K10" s="137" t="s">
        <v>6</v>
      </c>
      <c r="L10" s="138">
        <f>(L5*Q5+L6*Q6+L7*Q7+L8*Q8+L9*Q9)/Q11</f>
        <v>0.97</v>
      </c>
      <c r="M10" s="136">
        <f>(M5*Q5+M6*Q6+M7*Q7+M8*Q8+M9*Q9)/Q11</f>
        <v>0.96</v>
      </c>
      <c r="N10" s="136">
        <f>(N5*Q5+N6*Q6+N7*Q7+N8*Q8+N9*Q9)/Q11</f>
        <v>0.02</v>
      </c>
      <c r="O10" s="136">
        <f>(O5*Q5+O6*Q6+O7*Q7+O8*Q8+O9*Q9)/Q11</f>
        <v>0.03</v>
      </c>
      <c r="P10" s="136">
        <f>(P5*Q5+P6*Q6+P7*Q7+P8*Q8+P9*Q9)/Q11</f>
        <v>0.04</v>
      </c>
      <c r="Q10" s="136" t="s">
        <v>6</v>
      </c>
      <c r="R10" s="55" t="s">
        <v>6</v>
      </c>
      <c r="S10" s="61">
        <f>(S5*X5+S6*X6+S7*X7+S8*X8+S9*X9)/X11</f>
        <v>0.92712290502793304</v>
      </c>
      <c r="T10" s="50">
        <f>(T5*X5+T6*X6+T7*X7+T8*X8+T9*X9)/X11</f>
        <v>0.9200558659217879</v>
      </c>
      <c r="U10" s="50">
        <f>(U5*X5+U6*X6+U7*X7+U8*X8+U9*X9)/X11</f>
        <v>0.5225139664804469</v>
      </c>
      <c r="V10" s="50">
        <f>(V5*X5+V6*X6+V7*X7+V8*X8+V9*X9)/X11</f>
        <v>0.52678770949720677</v>
      </c>
      <c r="W10" s="50">
        <f>(W5*X5+W6*X6+W7*X7+W8*X8+W9*X9)/X11</f>
        <v>0.53106145251396653</v>
      </c>
      <c r="X10" s="50" t="s">
        <v>6</v>
      </c>
      <c r="Y10" s="60" t="s">
        <v>6</v>
      </c>
      <c r="Z10" s="86"/>
    </row>
    <row r="11" spans="2:26" s="20" customFormat="1" ht="22" customHeight="1" x14ac:dyDescent="0.3">
      <c r="B11" s="168"/>
      <c r="C11" s="179"/>
      <c r="D11" s="67" t="s">
        <v>82</v>
      </c>
      <c r="E11" s="51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52">
        <f>SUM(J5:J9)</f>
        <v>510</v>
      </c>
      <c r="K11" s="53">
        <f>SUM(K5:K9)</f>
        <v>4.6400000000000006</v>
      </c>
      <c r="L11" s="51" t="s">
        <v>6</v>
      </c>
      <c r="M11" s="52" t="s">
        <v>6</v>
      </c>
      <c r="N11" s="52" t="s">
        <v>6</v>
      </c>
      <c r="O11" s="52" t="s">
        <v>6</v>
      </c>
      <c r="P11" s="52" t="s">
        <v>6</v>
      </c>
      <c r="Q11" s="52">
        <f>SUM(Q5:Q9)</f>
        <v>206</v>
      </c>
      <c r="R11" s="56">
        <f>SUM(R5:R9)</f>
        <v>1.9982</v>
      </c>
      <c r="S11" s="62" t="s">
        <v>6</v>
      </c>
      <c r="T11" s="52" t="s">
        <v>6</v>
      </c>
      <c r="U11" s="52" t="s">
        <v>6</v>
      </c>
      <c r="V11" s="52" t="s">
        <v>6</v>
      </c>
      <c r="W11" s="52" t="s">
        <v>6</v>
      </c>
      <c r="X11" s="40">
        <f>SUM(X5:X9)</f>
        <v>716</v>
      </c>
      <c r="Y11" s="113">
        <f>SUM(Y5:Y9)</f>
        <v>6.6381999999999994</v>
      </c>
      <c r="Z11" s="89">
        <f>X11-X19</f>
        <v>52</v>
      </c>
    </row>
    <row r="12" spans="2:26" s="20" customFormat="1" ht="22" customHeight="1" x14ac:dyDescent="0.3">
      <c r="B12" s="168"/>
      <c r="C12" s="182" t="s">
        <v>19</v>
      </c>
      <c r="D12" s="23">
        <v>1</v>
      </c>
      <c r="E12" s="134">
        <v>0.97</v>
      </c>
      <c r="F12" s="134">
        <v>0.96</v>
      </c>
      <c r="G12" s="134">
        <v>0.02</v>
      </c>
      <c r="H12" s="134">
        <v>0.03</v>
      </c>
      <c r="I12" s="134">
        <v>0.04</v>
      </c>
      <c r="J12" s="135">
        <v>50</v>
      </c>
      <c r="K12" s="54">
        <f>E12*J12/100</f>
        <v>0.48499999999999999</v>
      </c>
      <c r="L12" s="134">
        <v>0.95</v>
      </c>
      <c r="M12" s="134">
        <v>0.92</v>
      </c>
      <c r="N12" s="134">
        <v>0.01</v>
      </c>
      <c r="O12" s="134">
        <v>0.02</v>
      </c>
      <c r="P12" s="134">
        <v>0.03</v>
      </c>
      <c r="Q12" s="135">
        <v>100</v>
      </c>
      <c r="R12" s="54">
        <f>L12*Q12/100</f>
        <v>0.95</v>
      </c>
      <c r="S12" s="57">
        <f>(E12*J12+L12*Q12)/X12</f>
        <v>0.95666666666666667</v>
      </c>
      <c r="T12" s="58">
        <f>(F12*J12+M12*Q12)/X12</f>
        <v>0.93333333333333335</v>
      </c>
      <c r="U12" s="58">
        <f>(G12*J12+N12*Q12)/X12</f>
        <v>1.3333333333333334E-2</v>
      </c>
      <c r="V12" s="58">
        <f>(H12*J12+O12*Q12)/X12</f>
        <v>2.3333333333333334E-2</v>
      </c>
      <c r="W12" s="58">
        <f>(I12*J12+P12*Q12)/X18</f>
        <v>8.1699346405228763E-3</v>
      </c>
      <c r="X12" s="58">
        <f t="shared" si="3"/>
        <v>150</v>
      </c>
      <c r="Y12" s="59">
        <f t="shared" si="4"/>
        <v>1.4350000000000001</v>
      </c>
      <c r="Z12" s="88"/>
    </row>
    <row r="13" spans="2:26" s="20" customFormat="1" ht="22" customHeight="1" x14ac:dyDescent="0.3">
      <c r="B13" s="168"/>
      <c r="C13" s="173"/>
      <c r="D13" s="24">
        <v>2</v>
      </c>
      <c r="E13" s="134">
        <v>0.97</v>
      </c>
      <c r="F13" s="134">
        <v>0.96</v>
      </c>
      <c r="G13" s="134">
        <v>0.02</v>
      </c>
      <c r="H13" s="134">
        <v>0.03</v>
      </c>
      <c r="I13" s="134">
        <v>0.04</v>
      </c>
      <c r="J13" s="135">
        <v>51</v>
      </c>
      <c r="K13" s="55">
        <f t="shared" ref="K13:K16" si="6">E13*J13/100</f>
        <v>0.49469999999999997</v>
      </c>
      <c r="L13" s="134">
        <v>0.95</v>
      </c>
      <c r="M13" s="134">
        <v>0.92</v>
      </c>
      <c r="N13" s="134">
        <v>0.01</v>
      </c>
      <c r="O13" s="134">
        <v>0.02</v>
      </c>
      <c r="P13" s="134">
        <v>0.03</v>
      </c>
      <c r="Q13" s="135">
        <v>101</v>
      </c>
      <c r="R13" s="55">
        <f t="shared" ref="R13:R16" si="7">L13*Q13/100</f>
        <v>0.95949999999999991</v>
      </c>
      <c r="S13" s="49">
        <f t="shared" ref="S13:S16" si="8">(E13*J13+L13*Q13)/X13</f>
        <v>0.95671052631578934</v>
      </c>
      <c r="T13" s="50">
        <f t="shared" ref="T13:T16" si="9">(F13*J13+M13*Q13)/X13</f>
        <v>0.93342105263157893</v>
      </c>
      <c r="U13" s="50">
        <f t="shared" ref="U13:U16" si="10">(G13*J13+N13*Q13)/X13</f>
        <v>1.3355263157894738E-2</v>
      </c>
      <c r="V13" s="58">
        <f t="shared" ref="V13:V16" si="11">(H13*J13+O13*Q13)/X13</f>
        <v>2.3355263157894737E-2</v>
      </c>
      <c r="W13" s="50">
        <f t="shared" ref="W13:W15" si="12">(I13*J13+P13*Q13)/X19</f>
        <v>7.6355421686746996E-3</v>
      </c>
      <c r="X13" s="50">
        <f t="shared" ref="X13:X16" si="13">J13+Q13</f>
        <v>152</v>
      </c>
      <c r="Y13" s="60">
        <f t="shared" ref="Y13:Y16" si="14">K13+R13</f>
        <v>1.4541999999999999</v>
      </c>
      <c r="Z13" s="86"/>
    </row>
    <row r="14" spans="2:26" s="20" customFormat="1" ht="22" customHeight="1" x14ac:dyDescent="0.3">
      <c r="B14" s="168"/>
      <c r="C14" s="173"/>
      <c r="D14" s="21">
        <v>3</v>
      </c>
      <c r="E14" s="134">
        <v>0.97</v>
      </c>
      <c r="F14" s="134">
        <v>0.96</v>
      </c>
      <c r="G14" s="134">
        <v>0.02</v>
      </c>
      <c r="H14" s="134">
        <v>0.03</v>
      </c>
      <c r="I14" s="134">
        <v>0.04</v>
      </c>
      <c r="J14" s="135">
        <v>52</v>
      </c>
      <c r="K14" s="55">
        <f t="shared" si="6"/>
        <v>0.50439999999999996</v>
      </c>
      <c r="L14" s="134">
        <v>0.95</v>
      </c>
      <c r="M14" s="134">
        <v>0.92</v>
      </c>
      <c r="N14" s="134">
        <v>0.01</v>
      </c>
      <c r="O14" s="134">
        <v>0.02</v>
      </c>
      <c r="P14" s="134">
        <v>0.03</v>
      </c>
      <c r="Q14" s="135">
        <v>102</v>
      </c>
      <c r="R14" s="55">
        <f t="shared" si="7"/>
        <v>0.96899999999999986</v>
      </c>
      <c r="S14" s="49">
        <f t="shared" si="8"/>
        <v>0.95675324675324658</v>
      </c>
      <c r="T14" s="50">
        <f t="shared" si="9"/>
        <v>0.9335064935064934</v>
      </c>
      <c r="U14" s="50">
        <f t="shared" si="10"/>
        <v>1.3376623376623377E-2</v>
      </c>
      <c r="V14" s="58">
        <f t="shared" si="11"/>
        <v>2.3376623376623377E-2</v>
      </c>
      <c r="W14" s="50">
        <f t="shared" si="12"/>
        <v>3.8704819277108437E-3</v>
      </c>
      <c r="X14" s="50">
        <f t="shared" si="13"/>
        <v>154</v>
      </c>
      <c r="Y14" s="60">
        <f t="shared" si="14"/>
        <v>1.4733999999999998</v>
      </c>
      <c r="Z14" s="86"/>
    </row>
    <row r="15" spans="2:26" s="20" customFormat="1" ht="22" customHeight="1" x14ac:dyDescent="0.3">
      <c r="B15" s="168"/>
      <c r="C15" s="173"/>
      <c r="D15" s="24">
        <v>4</v>
      </c>
      <c r="E15" s="134">
        <v>0.97</v>
      </c>
      <c r="F15" s="134">
        <v>0.96</v>
      </c>
      <c r="G15" s="134">
        <v>0.02</v>
      </c>
      <c r="H15" s="134">
        <v>0.03</v>
      </c>
      <c r="I15" s="134">
        <v>0.04</v>
      </c>
      <c r="J15" s="135">
        <v>53</v>
      </c>
      <c r="K15" s="55">
        <f t="shared" si="6"/>
        <v>0.5141</v>
      </c>
      <c r="L15" s="134">
        <v>0.95</v>
      </c>
      <c r="M15" s="134">
        <v>0.92</v>
      </c>
      <c r="N15" s="134">
        <v>0.01</v>
      </c>
      <c r="O15" s="134">
        <v>0.02</v>
      </c>
      <c r="P15" s="134">
        <v>0.03</v>
      </c>
      <c r="Q15" s="135">
        <v>103</v>
      </c>
      <c r="R15" s="55">
        <f t="shared" si="7"/>
        <v>0.97849999999999993</v>
      </c>
      <c r="S15" s="49">
        <f t="shared" si="8"/>
        <v>0.95679487179487177</v>
      </c>
      <c r="T15" s="50">
        <f t="shared" si="9"/>
        <v>0.93358974358974345</v>
      </c>
      <c r="U15" s="50">
        <f t="shared" si="10"/>
        <v>1.3397435897435897E-2</v>
      </c>
      <c r="V15" s="58">
        <f t="shared" si="11"/>
        <v>2.3397435897435898E-2</v>
      </c>
      <c r="W15" s="50" t="e">
        <f t="shared" si="12"/>
        <v>#DIV/0!</v>
      </c>
      <c r="X15" s="50">
        <f t="shared" si="13"/>
        <v>156</v>
      </c>
      <c r="Y15" s="60">
        <f t="shared" si="14"/>
        <v>1.4925999999999999</v>
      </c>
      <c r="Z15" s="86"/>
    </row>
    <row r="16" spans="2:26" s="20" customFormat="1" ht="22" customHeight="1" x14ac:dyDescent="0.3">
      <c r="B16" s="168"/>
      <c r="C16" s="173"/>
      <c r="D16" s="21">
        <v>5</v>
      </c>
      <c r="E16" s="134"/>
      <c r="F16" s="134"/>
      <c r="G16" s="134"/>
      <c r="H16" s="134"/>
      <c r="I16" s="134"/>
      <c r="J16" s="135"/>
      <c r="K16" s="55">
        <f t="shared" si="6"/>
        <v>0</v>
      </c>
      <c r="L16" s="134"/>
      <c r="M16" s="134"/>
      <c r="N16" s="134"/>
      <c r="O16" s="134"/>
      <c r="P16" s="134"/>
      <c r="Q16" s="135"/>
      <c r="R16" s="55">
        <f t="shared" si="7"/>
        <v>0</v>
      </c>
      <c r="S16" s="49" t="e">
        <f t="shared" si="8"/>
        <v>#DIV/0!</v>
      </c>
      <c r="T16" s="50" t="e">
        <f t="shared" si="9"/>
        <v>#DIV/0!</v>
      </c>
      <c r="U16" s="50" t="e">
        <f t="shared" si="10"/>
        <v>#DIV/0!</v>
      </c>
      <c r="V16" s="58" t="e">
        <f t="shared" si="11"/>
        <v>#DIV/0!</v>
      </c>
      <c r="W16" s="50" t="e">
        <f>(I16*J16+P16*Q16)/Z22</f>
        <v>#DIV/0!</v>
      </c>
      <c r="X16" s="50">
        <f t="shared" si="13"/>
        <v>0</v>
      </c>
      <c r="Y16" s="60">
        <f t="shared" si="14"/>
        <v>0</v>
      </c>
      <c r="Z16" s="86"/>
    </row>
    <row r="17" spans="2:29" s="20" customFormat="1" ht="22" customHeight="1" x14ac:dyDescent="0.3">
      <c r="B17" s="168"/>
      <c r="C17" s="173"/>
      <c r="D17" s="68" t="s">
        <v>78</v>
      </c>
      <c r="E17" s="49">
        <f>(E12*J12+E13*J13+E14*J14+E15*J15+E16*J16)/J18</f>
        <v>0.97</v>
      </c>
      <c r="F17" s="50">
        <f>(F12*J12+F13*J13+F14*J14+F15*J15+F16*J16)/J18</f>
        <v>0.96</v>
      </c>
      <c r="G17" s="50">
        <f>(G12*J12+G13*J13+G14*J14+G15*J15+G16*J16)/J18</f>
        <v>0.02</v>
      </c>
      <c r="H17" s="50">
        <f>(H12*J12+H13*J13+H14*J14+H15*J15+H16*J16)/J18</f>
        <v>0.03</v>
      </c>
      <c r="I17" s="50">
        <f>(I12*J12+I13*J13+I14*J14+I15*J15+I16*J16)/J18</f>
        <v>0.04</v>
      </c>
      <c r="J17" s="50" t="s">
        <v>6</v>
      </c>
      <c r="K17" s="55" t="s">
        <v>6</v>
      </c>
      <c r="L17" s="49">
        <f>(L12*Q12+L13*Q13+L14*Q14+L15*Q15+L16*Q16)/Q18</f>
        <v>0.94999999999999984</v>
      </c>
      <c r="M17" s="50">
        <f>(M12*Q12+M13*Q13+M14*Q14+M15*Q15+M16*Q16)/Q18</f>
        <v>0.91999999999999993</v>
      </c>
      <c r="N17" s="50">
        <f>(N12*Q12+N13*Q13+N14*Q14+N15*Q15+N16*Q16)/Q18</f>
        <v>9.9999999999999985E-3</v>
      </c>
      <c r="O17" s="50">
        <f>(O12*Q12+O13*Q13+O14*Q14+O15*Q15+O16*Q16)/Q18</f>
        <v>1.9999999999999997E-2</v>
      </c>
      <c r="P17" s="50">
        <f>(P12*Q12+P13*Q13+P14*Q14+P15*Q15+P16*Q16)/Q18</f>
        <v>0.03</v>
      </c>
      <c r="Q17" s="50" t="s">
        <v>6</v>
      </c>
      <c r="R17" s="55" t="s">
        <v>6</v>
      </c>
      <c r="S17" s="49" t="e">
        <f>(S12*X12+S13*X13+S14*X14+S15*X15+S16*X16)/X18</f>
        <v>#DIV/0!</v>
      </c>
      <c r="T17" s="50" t="e">
        <f>(T12*X12+T13*X13+T14*X14+T15*X15+T16*X16)/X18</f>
        <v>#DIV/0!</v>
      </c>
      <c r="U17" s="50" t="e">
        <f>(U12*X12+U13*X13+U14*X14+U15*X15+U16*X16)/X18</f>
        <v>#DIV/0!</v>
      </c>
      <c r="V17" s="50" t="e">
        <f>(V12*X12+V13*X13+V14*X14+V15*X15+V16*X16)/X18</f>
        <v>#DIV/0!</v>
      </c>
      <c r="W17" s="50" t="e">
        <f>(W12*X12+W13*X13+W14*X14+W15*X15+W16*X16)/X18</f>
        <v>#DIV/0!</v>
      </c>
      <c r="X17" s="50" t="s">
        <v>6</v>
      </c>
      <c r="Y17" s="60" t="s">
        <v>6</v>
      </c>
      <c r="Z17" s="86"/>
    </row>
    <row r="18" spans="2:29" s="20" customFormat="1" ht="22" customHeight="1" x14ac:dyDescent="0.3">
      <c r="B18" s="169"/>
      <c r="C18" s="179"/>
      <c r="D18" s="67" t="s">
        <v>82</v>
      </c>
      <c r="E18" s="63" t="s">
        <v>6</v>
      </c>
      <c r="F18" s="64" t="s">
        <v>6</v>
      </c>
      <c r="G18" s="64" t="s">
        <v>6</v>
      </c>
      <c r="H18" s="64" t="s">
        <v>6</v>
      </c>
      <c r="I18" s="64" t="s">
        <v>6</v>
      </c>
      <c r="J18" s="64">
        <f>SUM(J12:J16)</f>
        <v>206</v>
      </c>
      <c r="K18" s="69">
        <f>SUM(K12:K16)</f>
        <v>1.9982</v>
      </c>
      <c r="L18" s="63" t="s">
        <v>6</v>
      </c>
      <c r="M18" s="64" t="s">
        <v>6</v>
      </c>
      <c r="N18" s="64" t="s">
        <v>6</v>
      </c>
      <c r="O18" s="64" t="s">
        <v>6</v>
      </c>
      <c r="P18" s="64" t="s">
        <v>6</v>
      </c>
      <c r="Q18" s="64">
        <f>SUM(Q12:Q16)</f>
        <v>406</v>
      </c>
      <c r="R18" s="69">
        <f>SUM(R12:R16)</f>
        <v>3.8569999999999998</v>
      </c>
      <c r="S18" s="63" t="s">
        <v>6</v>
      </c>
      <c r="T18" s="64" t="s">
        <v>6</v>
      </c>
      <c r="U18" s="64" t="s">
        <v>6</v>
      </c>
      <c r="V18" s="64" t="s">
        <v>6</v>
      </c>
      <c r="W18" s="64" t="s">
        <v>6</v>
      </c>
      <c r="X18" s="111">
        <f>J18+Q18</f>
        <v>612</v>
      </c>
      <c r="Y18" s="114">
        <f t="shared" si="4"/>
        <v>5.8552</v>
      </c>
      <c r="Z18" s="86"/>
    </row>
    <row r="19" spans="2:29" s="20" customFormat="1" ht="22" customHeight="1" x14ac:dyDescent="0.3">
      <c r="B19" s="162" t="s">
        <v>81</v>
      </c>
      <c r="C19" s="163"/>
      <c r="D19" s="70" t="s">
        <v>78</v>
      </c>
      <c r="E19" s="58">
        <f>(E10*J11+E17*J18)/J20</f>
        <v>0.92712290502793282</v>
      </c>
      <c r="F19" s="58">
        <f>(F10*J11+F17*J18)/J20</f>
        <v>0.92005586592178767</v>
      </c>
      <c r="G19" s="58">
        <f>(G10*J11+G17*J18)/J20</f>
        <v>0.5225139664804469</v>
      </c>
      <c r="H19" s="58">
        <f>(H10*J11+H17*J18)/J20</f>
        <v>0.52678770949720677</v>
      </c>
      <c r="I19" s="58">
        <f>(I10*J11+I17*J18)/J20</f>
        <v>0.53106145251396653</v>
      </c>
      <c r="J19" s="58">
        <f>(J11+J18)/2</f>
        <v>358</v>
      </c>
      <c r="K19" s="71">
        <f>(K11+K18)/2</f>
        <v>3.3191000000000002</v>
      </c>
      <c r="L19" s="57">
        <f>(L10*Q11+L17*Q18)/Q20</f>
        <v>0.95673202614379083</v>
      </c>
      <c r="M19" s="58">
        <f>(M10*Q11+M17*Q18)/Q20</f>
        <v>0.93346405228758167</v>
      </c>
      <c r="N19" s="58">
        <f>(N10*Q11+N17*Q18)/Q20</f>
        <v>1.3366013071895425E-2</v>
      </c>
      <c r="O19" s="58">
        <f>(O10*Q11+O17*Q18)/Q20</f>
        <v>2.3366013071895422E-2</v>
      </c>
      <c r="P19" s="58">
        <f>(P10*Q11+P17*Q18)/Q20</f>
        <v>3.3366013071895427E-2</v>
      </c>
      <c r="Q19" s="58">
        <f>(Q11+Q18)/2</f>
        <v>306</v>
      </c>
      <c r="R19" s="54">
        <f>(R11+R18)/2</f>
        <v>2.9276</v>
      </c>
      <c r="S19" s="110" t="e">
        <f>(S10*X11+S17*X18)/X20</f>
        <v>#DIV/0!</v>
      </c>
      <c r="T19" s="58" t="e">
        <f>(T10*X11+T17*X18)/X20</f>
        <v>#DIV/0!</v>
      </c>
      <c r="U19" s="58" t="e">
        <f>(U10*X11+U17*X18)/X20</f>
        <v>#DIV/0!</v>
      </c>
      <c r="V19" s="38" t="e">
        <f>(V10*X11+V17*X18)/X20</f>
        <v>#DIV/0!</v>
      </c>
      <c r="W19" s="58" t="e">
        <f>(W10*X11+W17*X18)/X20</f>
        <v>#DIV/0!</v>
      </c>
      <c r="X19" s="58">
        <f>(X11+X18)/2</f>
        <v>664</v>
      </c>
      <c r="Y19" s="59">
        <f>(Y11+Y18)/2</f>
        <v>6.2466999999999997</v>
      </c>
      <c r="Z19" s="86"/>
    </row>
    <row r="20" spans="2:29" s="20" customFormat="1" ht="22" customHeight="1" thickBot="1" x14ac:dyDescent="0.35">
      <c r="B20" s="164"/>
      <c r="C20" s="165"/>
      <c r="D20" s="72" t="s">
        <v>79</v>
      </c>
      <c r="E20" s="66" t="s">
        <v>6</v>
      </c>
      <c r="F20" s="66" t="s">
        <v>6</v>
      </c>
      <c r="G20" s="66" t="s">
        <v>6</v>
      </c>
      <c r="H20" s="66" t="s">
        <v>6</v>
      </c>
      <c r="I20" s="66" t="s">
        <v>6</v>
      </c>
      <c r="J20" s="66">
        <f>J11+J18</f>
        <v>716</v>
      </c>
      <c r="K20" s="73">
        <f>K11+K18</f>
        <v>6.6382000000000003</v>
      </c>
      <c r="L20" s="74" t="s">
        <v>6</v>
      </c>
      <c r="M20" s="66" t="s">
        <v>6</v>
      </c>
      <c r="N20" s="66" t="s">
        <v>6</v>
      </c>
      <c r="O20" s="66" t="s">
        <v>6</v>
      </c>
      <c r="P20" s="66" t="s">
        <v>6</v>
      </c>
      <c r="Q20" s="66">
        <f>Q11+Q18</f>
        <v>612</v>
      </c>
      <c r="R20" s="75">
        <f>R11+R18</f>
        <v>5.8552</v>
      </c>
      <c r="S20" s="65" t="s">
        <v>6</v>
      </c>
      <c r="T20" s="66" t="s">
        <v>6</v>
      </c>
      <c r="U20" s="66" t="s">
        <v>6</v>
      </c>
      <c r="V20" s="66" t="s">
        <v>6</v>
      </c>
      <c r="W20" s="66" t="s">
        <v>6</v>
      </c>
      <c r="X20" s="112">
        <f>X11+X18</f>
        <v>1328</v>
      </c>
      <c r="Y20" s="109">
        <f>Y11+Y18</f>
        <v>12.493399999999999</v>
      </c>
      <c r="Z20" s="87">
        <f>X18-X19</f>
        <v>-52</v>
      </c>
    </row>
    <row r="21" spans="2:29" ht="23.25" customHeight="1" x14ac:dyDescent="0.3">
      <c r="B21" s="166" t="s">
        <v>83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</row>
    <row r="22" spans="2:29" x14ac:dyDescent="0.3">
      <c r="E22" s="1">
        <v>21</v>
      </c>
      <c r="F22" s="1">
        <v>22</v>
      </c>
      <c r="G22" s="1">
        <v>23</v>
      </c>
      <c r="H22" s="1">
        <v>24</v>
      </c>
      <c r="I22" s="1">
        <v>25</v>
      </c>
      <c r="J22" s="1">
        <v>26</v>
      </c>
      <c r="K22" s="1">
        <v>27</v>
      </c>
      <c r="L22" s="1">
        <v>31</v>
      </c>
      <c r="M22" s="1">
        <v>32</v>
      </c>
      <c r="N22" s="1">
        <v>33</v>
      </c>
      <c r="O22" s="1">
        <v>34</v>
      </c>
      <c r="P22" s="1">
        <v>35</v>
      </c>
      <c r="Q22" s="1">
        <v>36</v>
      </c>
      <c r="R22" s="1">
        <v>37</v>
      </c>
    </row>
    <row r="23" spans="2:29" x14ac:dyDescent="0.3">
      <c r="S23" s="1">
        <v>41</v>
      </c>
      <c r="T23" s="1">
        <v>42</v>
      </c>
      <c r="U23" s="1">
        <v>43</v>
      </c>
      <c r="V23" s="1">
        <v>44</v>
      </c>
      <c r="W23" s="1">
        <v>45</v>
      </c>
      <c r="X23" s="1">
        <v>46</v>
      </c>
      <c r="Y23" s="1">
        <v>47</v>
      </c>
    </row>
    <row r="24" spans="2:29" x14ac:dyDescent="0.3">
      <c r="E24" s="1">
        <v>1</v>
      </c>
      <c r="F24" s="1">
        <v>2</v>
      </c>
      <c r="G24" s="1">
        <v>3</v>
      </c>
      <c r="H24" s="1">
        <v>4</v>
      </c>
      <c r="I24" s="1">
        <v>5</v>
      </c>
      <c r="J24" s="1">
        <v>6</v>
      </c>
      <c r="K24" s="1">
        <v>7</v>
      </c>
      <c r="L24" s="1">
        <v>8</v>
      </c>
      <c r="M24" s="1">
        <v>9</v>
      </c>
      <c r="N24" s="1">
        <v>10</v>
      </c>
      <c r="O24" s="1">
        <v>11</v>
      </c>
      <c r="P24" s="1">
        <v>12</v>
      </c>
      <c r="Q24" s="1">
        <v>13</v>
      </c>
      <c r="R24" s="1">
        <v>14</v>
      </c>
      <c r="S24" s="1">
        <v>15</v>
      </c>
      <c r="T24" s="1">
        <v>16</v>
      </c>
      <c r="U24" s="1">
        <v>17</v>
      </c>
      <c r="V24" s="1">
        <v>18</v>
      </c>
      <c r="W24" s="1">
        <v>19</v>
      </c>
      <c r="X24" s="1">
        <v>20</v>
      </c>
      <c r="Y24" s="1">
        <v>21</v>
      </c>
      <c r="Z24" s="1">
        <v>22</v>
      </c>
    </row>
    <row r="28" spans="2:29" x14ac:dyDescent="0.3">
      <c r="Z28" s="115">
        <v>3.0758620689655172</v>
      </c>
      <c r="AA28" s="115">
        <v>1450</v>
      </c>
      <c r="AB28" s="1">
        <f>AA28*Z28</f>
        <v>4460</v>
      </c>
    </row>
    <row r="29" spans="2:29" x14ac:dyDescent="0.3">
      <c r="P29" s="57">
        <v>73.030303030303031</v>
      </c>
      <c r="Q29" s="115">
        <v>330</v>
      </c>
      <c r="R29" s="1">
        <f>Q29*P29</f>
        <v>24100</v>
      </c>
      <c r="V29" s="57">
        <v>1</v>
      </c>
      <c r="W29" s="115">
        <v>330</v>
      </c>
      <c r="X29" s="1">
        <f>W29*V29</f>
        <v>330</v>
      </c>
      <c r="Z29" s="115">
        <v>2.5374639769452449</v>
      </c>
      <c r="AA29" s="115">
        <v>1388</v>
      </c>
      <c r="AB29" s="1">
        <f>AA29*Z29</f>
        <v>3522</v>
      </c>
    </row>
    <row r="30" spans="2:29" x14ac:dyDescent="0.3">
      <c r="P30" s="49">
        <v>74.37243401759531</v>
      </c>
      <c r="Q30" s="115">
        <v>341</v>
      </c>
      <c r="R30" s="1">
        <f t="shared" ref="R30:R33" si="15">Q30*P30</f>
        <v>25361</v>
      </c>
      <c r="V30" s="49">
        <v>2</v>
      </c>
      <c r="W30" s="115">
        <v>341</v>
      </c>
      <c r="X30" s="1">
        <f t="shared" ref="X30:X33" si="16">W30*V30</f>
        <v>682</v>
      </c>
      <c r="AA30" s="115">
        <f>SUM(AA28:AA29)</f>
        <v>2838</v>
      </c>
      <c r="AB30" s="1">
        <f>SUM(AB28:AB29)</f>
        <v>7982</v>
      </c>
      <c r="AC30" s="1">
        <f>AB30/AA30</f>
        <v>2.8125440451021846</v>
      </c>
    </row>
    <row r="31" spans="2:29" x14ac:dyDescent="0.3">
      <c r="P31" s="49">
        <v>75.693181818181813</v>
      </c>
      <c r="Q31" s="115">
        <v>352</v>
      </c>
      <c r="R31" s="1">
        <f t="shared" si="15"/>
        <v>26644</v>
      </c>
      <c r="V31" s="49">
        <v>3</v>
      </c>
      <c r="W31" s="115">
        <v>352</v>
      </c>
      <c r="X31" s="1">
        <f t="shared" si="16"/>
        <v>1056</v>
      </c>
    </row>
    <row r="32" spans="2:29" x14ac:dyDescent="0.3">
      <c r="P32" s="49">
        <v>76.994490358126725</v>
      </c>
      <c r="Q32" s="115">
        <v>363</v>
      </c>
      <c r="R32" s="1">
        <f t="shared" si="15"/>
        <v>27949</v>
      </c>
      <c r="V32" s="49">
        <v>4</v>
      </c>
      <c r="W32" s="115">
        <v>363</v>
      </c>
      <c r="X32" s="1">
        <f t="shared" si="16"/>
        <v>1452</v>
      </c>
    </row>
    <row r="33" spans="16:25" x14ac:dyDescent="0.3">
      <c r="P33" s="49">
        <v>1</v>
      </c>
      <c r="Q33" s="115">
        <v>2</v>
      </c>
      <c r="R33" s="1">
        <f t="shared" si="15"/>
        <v>2</v>
      </c>
      <c r="V33" s="49">
        <v>1</v>
      </c>
      <c r="W33" s="115">
        <v>2</v>
      </c>
      <c r="X33" s="1">
        <f t="shared" si="16"/>
        <v>2</v>
      </c>
    </row>
    <row r="34" spans="16:25" x14ac:dyDescent="0.3">
      <c r="Q34" s="115">
        <f>SUM(Q29:Q33)</f>
        <v>1388</v>
      </c>
      <c r="R34" s="1">
        <f>SUM(R29:R33)</f>
        <v>104056</v>
      </c>
      <c r="S34" s="1">
        <f>R34/Q34</f>
        <v>74.968299711815561</v>
      </c>
      <c r="W34" s="115">
        <f>SUM(W29:W33)</f>
        <v>1388</v>
      </c>
      <c r="X34" s="1">
        <f>SUM(X29:X33)</f>
        <v>3522</v>
      </c>
      <c r="Y34" s="1">
        <f>X34/W34</f>
        <v>2.5374639769452449</v>
      </c>
    </row>
  </sheetData>
  <mergeCells count="15">
    <mergeCell ref="Z2:Z3"/>
    <mergeCell ref="B19:C20"/>
    <mergeCell ref="B21:Y21"/>
    <mergeCell ref="B5:B18"/>
    <mergeCell ref="E2:K2"/>
    <mergeCell ref="E3:F3"/>
    <mergeCell ref="B3:B4"/>
    <mergeCell ref="C3:C4"/>
    <mergeCell ref="D3:D4"/>
    <mergeCell ref="C5:C11"/>
    <mergeCell ref="S3:T3"/>
    <mergeCell ref="S2:Y2"/>
    <mergeCell ref="L2:R2"/>
    <mergeCell ref="L3:M3"/>
    <mergeCell ref="C12:C1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A46F-A699-47EB-B7B0-409145BFFF0B}">
  <dimension ref="B1:I15"/>
  <sheetViews>
    <sheetView workbookViewId="0">
      <selection activeCell="E9" sqref="E9:I9"/>
    </sheetView>
  </sheetViews>
  <sheetFormatPr defaultColWidth="9" defaultRowHeight="14" x14ac:dyDescent="0.3"/>
  <cols>
    <col min="1" max="1" width="2.58203125" style="1" customWidth="1"/>
    <col min="2" max="10" width="9" style="1"/>
    <col min="11" max="11" width="93.08203125" style="1" customWidth="1"/>
    <col min="12" max="16384" width="9" style="1"/>
  </cols>
  <sheetData>
    <row r="1" spans="2:9" ht="14.5" thickBot="1" x14ac:dyDescent="0.35"/>
    <row r="2" spans="2:9" s="13" customFormat="1" ht="30" customHeight="1" x14ac:dyDescent="0.3">
      <c r="B2" s="14">
        <v>2025</v>
      </c>
      <c r="C2" s="185" t="s">
        <v>37</v>
      </c>
      <c r="D2" s="185"/>
      <c r="E2" s="185"/>
      <c r="F2" s="185"/>
      <c r="G2" s="185"/>
      <c r="H2" s="185"/>
      <c r="I2" s="186"/>
    </row>
    <row r="3" spans="2:9" ht="25" customHeight="1" x14ac:dyDescent="0.3">
      <c r="B3" s="142" t="s">
        <v>16</v>
      </c>
      <c r="C3" s="146" t="s">
        <v>17</v>
      </c>
      <c r="D3" s="146" t="s">
        <v>18</v>
      </c>
      <c r="E3" s="146" t="s">
        <v>7</v>
      </c>
      <c r="F3" s="146"/>
      <c r="G3" s="146" t="s">
        <v>8</v>
      </c>
      <c r="H3" s="146"/>
      <c r="I3" s="3" t="s">
        <v>33</v>
      </c>
    </row>
    <row r="4" spans="2:9" ht="30.75" customHeight="1" x14ac:dyDescent="0.3">
      <c r="B4" s="143"/>
      <c r="C4" s="147"/>
      <c r="D4" s="147"/>
      <c r="E4" s="15" t="s">
        <v>11</v>
      </c>
      <c r="F4" s="15" t="s">
        <v>12</v>
      </c>
      <c r="G4" s="6" t="s">
        <v>9</v>
      </c>
      <c r="H4" s="6" t="s">
        <v>10</v>
      </c>
      <c r="I4" s="7" t="s">
        <v>30</v>
      </c>
    </row>
    <row r="5" spans="2:9" ht="25" customHeight="1" x14ac:dyDescent="0.3">
      <c r="B5" s="183">
        <v>1201</v>
      </c>
      <c r="C5" s="184" t="s">
        <v>15</v>
      </c>
      <c r="D5" s="8">
        <v>1</v>
      </c>
      <c r="E5" s="41">
        <v>0.94</v>
      </c>
      <c r="F5" s="41">
        <v>0.92</v>
      </c>
      <c r="G5" s="41">
        <v>0.91</v>
      </c>
      <c r="H5" s="41">
        <v>15</v>
      </c>
      <c r="I5" s="127">
        <v>18</v>
      </c>
    </row>
    <row r="6" spans="2:9" ht="25" customHeight="1" x14ac:dyDescent="0.3">
      <c r="B6" s="142"/>
      <c r="C6" s="146"/>
      <c r="D6" s="2">
        <v>2</v>
      </c>
      <c r="E6" s="27"/>
      <c r="F6" s="27"/>
      <c r="G6" s="27"/>
      <c r="H6" s="27"/>
      <c r="I6" s="28"/>
    </row>
    <row r="7" spans="2:9" ht="25" customHeight="1" x14ac:dyDescent="0.3">
      <c r="B7" s="142"/>
      <c r="C7" s="146"/>
      <c r="D7" s="5">
        <v>3</v>
      </c>
      <c r="E7" s="29"/>
      <c r="F7" s="29"/>
      <c r="G7" s="29"/>
      <c r="H7" s="29"/>
      <c r="I7" s="30"/>
    </row>
    <row r="8" spans="2:9" ht="25" customHeight="1" x14ac:dyDescent="0.3">
      <c r="B8" s="142"/>
      <c r="C8" s="146"/>
      <c r="D8" s="2">
        <v>4</v>
      </c>
      <c r="E8" s="27"/>
      <c r="F8" s="27"/>
      <c r="G8" s="27"/>
      <c r="H8" s="27"/>
      <c r="I8" s="28"/>
    </row>
    <row r="9" spans="2:9" ht="25" customHeight="1" x14ac:dyDescent="0.3">
      <c r="B9" s="142"/>
      <c r="C9" s="146" t="s">
        <v>19</v>
      </c>
      <c r="D9" s="5">
        <v>1</v>
      </c>
      <c r="E9" s="42">
        <v>0.95</v>
      </c>
      <c r="F9" s="42">
        <v>0.93</v>
      </c>
      <c r="G9" s="42">
        <v>0.91</v>
      </c>
      <c r="H9" s="42">
        <v>15</v>
      </c>
      <c r="I9" s="128">
        <v>18</v>
      </c>
    </row>
    <row r="10" spans="2:9" ht="25" customHeight="1" x14ac:dyDescent="0.3">
      <c r="B10" s="142"/>
      <c r="C10" s="146"/>
      <c r="D10" s="2">
        <v>2</v>
      </c>
      <c r="E10" s="27"/>
      <c r="F10" s="27"/>
      <c r="G10" s="27"/>
      <c r="H10" s="27"/>
      <c r="I10" s="28"/>
    </row>
    <row r="11" spans="2:9" ht="25" customHeight="1" x14ac:dyDescent="0.3">
      <c r="B11" s="142"/>
      <c r="C11" s="146"/>
      <c r="D11" s="5">
        <v>3</v>
      </c>
      <c r="E11" s="29"/>
      <c r="F11" s="29"/>
      <c r="G11" s="29"/>
      <c r="H11" s="29"/>
      <c r="I11" s="30"/>
    </row>
    <row r="12" spans="2:9" ht="25" customHeight="1" thickBot="1" x14ac:dyDescent="0.35">
      <c r="B12" s="155"/>
      <c r="C12" s="156"/>
      <c r="D12" s="4">
        <v>4</v>
      </c>
      <c r="E12" s="31"/>
      <c r="F12" s="31"/>
      <c r="G12" s="31"/>
      <c r="H12" s="31"/>
      <c r="I12" s="32"/>
    </row>
    <row r="13" spans="2:9" ht="25" customHeight="1" x14ac:dyDescent="0.3">
      <c r="E13" s="1">
        <v>41</v>
      </c>
      <c r="F13" s="1">
        <v>42</v>
      </c>
      <c r="G13" s="1">
        <v>43</v>
      </c>
      <c r="H13" s="1">
        <v>44</v>
      </c>
      <c r="I13" s="1">
        <v>45</v>
      </c>
    </row>
    <row r="14" spans="2:9" ht="25" customHeight="1" x14ac:dyDescent="0.3"/>
    <row r="15" spans="2:9" ht="25" customHeight="1" x14ac:dyDescent="0.3"/>
  </sheetData>
  <mergeCells count="9">
    <mergeCell ref="B5:B12"/>
    <mergeCell ref="C5:C8"/>
    <mergeCell ref="C9:C12"/>
    <mergeCell ref="C2:I2"/>
    <mergeCell ref="B3:B4"/>
    <mergeCell ref="C3:C4"/>
    <mergeCell ref="D3:D4"/>
    <mergeCell ref="E3:F3"/>
    <mergeCell ref="G3:H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C705-E0A1-4D55-A34F-5FE17FEB9514}">
  <dimension ref="B1:R25"/>
  <sheetViews>
    <sheetView zoomScale="85" zoomScaleNormal="85" workbookViewId="0">
      <selection activeCell="E3" sqref="E3:J16"/>
    </sheetView>
  </sheetViews>
  <sheetFormatPr defaultColWidth="9" defaultRowHeight="14" x14ac:dyDescent="0.3"/>
  <cols>
    <col min="1" max="1" width="2.58203125" style="1" customWidth="1"/>
    <col min="2" max="3" width="9" style="1"/>
    <col min="4" max="4" width="16.08203125" style="1" customWidth="1"/>
    <col min="5" max="16" width="9" style="1"/>
    <col min="17" max="17" width="14.9140625" style="100" customWidth="1"/>
    <col min="18" max="18" width="16.33203125" style="1" customWidth="1"/>
    <col min="19" max="16384" width="9" style="1"/>
  </cols>
  <sheetData>
    <row r="1" spans="2:18" ht="14.5" thickBot="1" x14ac:dyDescent="0.35"/>
    <row r="2" spans="2:18" s="13" customFormat="1" ht="30" customHeight="1" x14ac:dyDescent="0.3">
      <c r="B2" s="14">
        <v>2025</v>
      </c>
      <c r="C2" s="185" t="s">
        <v>38</v>
      </c>
      <c r="D2" s="185"/>
      <c r="E2" s="185"/>
      <c r="F2" s="185"/>
      <c r="G2" s="185"/>
      <c r="H2" s="185"/>
      <c r="I2" s="185"/>
      <c r="J2" s="185"/>
      <c r="K2" s="185" t="s">
        <v>39</v>
      </c>
      <c r="L2" s="180"/>
      <c r="M2" s="180"/>
      <c r="N2" s="180"/>
      <c r="O2" s="180"/>
      <c r="P2" s="180"/>
      <c r="Q2" s="101"/>
      <c r="R2" s="186" t="s">
        <v>85</v>
      </c>
    </row>
    <row r="3" spans="2:18" ht="25" customHeight="1" x14ac:dyDescent="0.3">
      <c r="B3" s="142" t="s">
        <v>16</v>
      </c>
      <c r="C3" s="146" t="s">
        <v>17</v>
      </c>
      <c r="D3" s="146" t="s">
        <v>18</v>
      </c>
      <c r="E3" s="146" t="s">
        <v>7</v>
      </c>
      <c r="F3" s="146"/>
      <c r="G3" s="146" t="s">
        <v>8</v>
      </c>
      <c r="H3" s="146"/>
      <c r="I3" s="2" t="s">
        <v>32</v>
      </c>
      <c r="J3" s="2" t="s">
        <v>34</v>
      </c>
      <c r="K3" s="146" t="s">
        <v>7</v>
      </c>
      <c r="L3" s="146"/>
      <c r="M3" s="146" t="s">
        <v>8</v>
      </c>
      <c r="N3" s="146"/>
      <c r="O3" s="2" t="s">
        <v>32</v>
      </c>
      <c r="P3" s="2" t="s">
        <v>34</v>
      </c>
      <c r="Q3" s="102" t="s">
        <v>103</v>
      </c>
      <c r="R3" s="189"/>
    </row>
    <row r="4" spans="2:18" ht="30.75" customHeight="1" thickBot="1" x14ac:dyDescent="0.35">
      <c r="B4" s="155"/>
      <c r="C4" s="156"/>
      <c r="D4" s="156"/>
      <c r="E4" s="78" t="s">
        <v>11</v>
      </c>
      <c r="F4" s="78" t="s">
        <v>12</v>
      </c>
      <c r="G4" s="4" t="s">
        <v>9</v>
      </c>
      <c r="H4" s="4" t="s">
        <v>10</v>
      </c>
      <c r="I4" s="4" t="s">
        <v>30</v>
      </c>
      <c r="J4" s="4" t="s">
        <v>9</v>
      </c>
      <c r="K4" s="78" t="s">
        <v>11</v>
      </c>
      <c r="L4" s="78" t="s">
        <v>12</v>
      </c>
      <c r="M4" s="4" t="s">
        <v>9</v>
      </c>
      <c r="N4" s="4" t="s">
        <v>10</v>
      </c>
      <c r="O4" s="4" t="s">
        <v>30</v>
      </c>
      <c r="P4" s="4" t="s">
        <v>9</v>
      </c>
      <c r="Q4" s="103" t="s">
        <v>104</v>
      </c>
      <c r="R4" s="77" t="s">
        <v>20</v>
      </c>
    </row>
    <row r="5" spans="2:18" ht="25" customHeight="1" x14ac:dyDescent="0.3">
      <c r="B5" s="187">
        <v>1201</v>
      </c>
      <c r="C5" s="180" t="s">
        <v>15</v>
      </c>
      <c r="D5" s="79">
        <v>1</v>
      </c>
      <c r="E5" s="131">
        <v>0.91</v>
      </c>
      <c r="F5" s="131">
        <v>0.92</v>
      </c>
      <c r="G5" s="131">
        <v>0.03</v>
      </c>
      <c r="H5" s="131">
        <v>14</v>
      </c>
      <c r="I5" s="131">
        <v>15</v>
      </c>
      <c r="J5" s="131">
        <v>0.33</v>
      </c>
      <c r="K5" s="131">
        <v>0.93</v>
      </c>
      <c r="L5" s="131">
        <v>0.94</v>
      </c>
      <c r="M5" s="131">
        <v>0.04</v>
      </c>
      <c r="N5" s="131">
        <v>16</v>
      </c>
      <c r="O5" s="131">
        <v>17</v>
      </c>
      <c r="P5" s="131">
        <v>0.44</v>
      </c>
      <c r="Q5" s="132">
        <v>0.02</v>
      </c>
      <c r="R5" s="133">
        <v>100</v>
      </c>
    </row>
    <row r="6" spans="2:18" ht="25" customHeight="1" x14ac:dyDescent="0.3">
      <c r="B6" s="142"/>
      <c r="C6" s="146"/>
      <c r="D6" s="2">
        <v>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04"/>
      <c r="R6" s="3"/>
    </row>
    <row r="7" spans="2:18" ht="25" customHeight="1" x14ac:dyDescent="0.3">
      <c r="B7" s="142"/>
      <c r="C7" s="146"/>
      <c r="D7" s="5">
        <v>3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104"/>
      <c r="R7" s="81"/>
    </row>
    <row r="8" spans="2:18" ht="25" customHeight="1" x14ac:dyDescent="0.3">
      <c r="B8" s="142"/>
      <c r="C8" s="146"/>
      <c r="D8" s="2">
        <v>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104"/>
      <c r="R8" s="3"/>
    </row>
    <row r="9" spans="2:18" ht="25" customHeight="1" x14ac:dyDescent="0.3">
      <c r="B9" s="142"/>
      <c r="C9" s="146"/>
      <c r="D9" s="5" t="s">
        <v>78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104"/>
      <c r="R9" s="81" t="s">
        <v>6</v>
      </c>
    </row>
    <row r="10" spans="2:18" ht="25" customHeight="1" x14ac:dyDescent="0.3">
      <c r="B10" s="142"/>
      <c r="C10" s="147"/>
      <c r="D10" s="6" t="s">
        <v>84</v>
      </c>
      <c r="E10" s="83" t="s">
        <v>6</v>
      </c>
      <c r="F10" s="83" t="s">
        <v>6</v>
      </c>
      <c r="G10" s="83" t="s">
        <v>6</v>
      </c>
      <c r="H10" s="83" t="s">
        <v>6</v>
      </c>
      <c r="I10" s="83" t="s">
        <v>6</v>
      </c>
      <c r="J10" s="83" t="s">
        <v>6</v>
      </c>
      <c r="K10" s="83" t="s">
        <v>6</v>
      </c>
      <c r="L10" s="83" t="s">
        <v>6</v>
      </c>
      <c r="M10" s="83" t="s">
        <v>6</v>
      </c>
      <c r="N10" s="83" t="s">
        <v>6</v>
      </c>
      <c r="O10" s="83" t="s">
        <v>6</v>
      </c>
      <c r="P10" s="83" t="s">
        <v>6</v>
      </c>
      <c r="Q10" s="105"/>
      <c r="R10" s="7">
        <f>SUM(R5:R8)</f>
        <v>100</v>
      </c>
    </row>
    <row r="11" spans="2:18" ht="25" customHeight="1" x14ac:dyDescent="0.3">
      <c r="B11" s="142"/>
      <c r="C11" s="184" t="s">
        <v>19</v>
      </c>
      <c r="D11" s="8">
        <v>1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106"/>
      <c r="R11" s="82"/>
    </row>
    <row r="12" spans="2:18" ht="25" customHeight="1" x14ac:dyDescent="0.3">
      <c r="B12" s="142"/>
      <c r="C12" s="146"/>
      <c r="D12" s="2">
        <v>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104"/>
      <c r="R12" s="3"/>
    </row>
    <row r="13" spans="2:18" ht="25" customHeight="1" x14ac:dyDescent="0.3">
      <c r="B13" s="142"/>
      <c r="C13" s="146"/>
      <c r="D13" s="5">
        <v>3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04"/>
      <c r="R13" s="81"/>
    </row>
    <row r="14" spans="2:18" ht="25" customHeight="1" x14ac:dyDescent="0.3">
      <c r="B14" s="142"/>
      <c r="C14" s="146"/>
      <c r="D14" s="2">
        <v>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04"/>
      <c r="R14" s="3"/>
    </row>
    <row r="15" spans="2:18" ht="25" customHeight="1" x14ac:dyDescent="0.3">
      <c r="B15" s="188"/>
      <c r="C15" s="152"/>
      <c r="D15" s="84" t="s">
        <v>78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107"/>
      <c r="R15" s="85" t="s">
        <v>6</v>
      </c>
    </row>
    <row r="16" spans="2:18" ht="25" customHeight="1" thickBot="1" x14ac:dyDescent="0.35">
      <c r="B16" s="45"/>
      <c r="C16" s="4"/>
      <c r="D16" s="6" t="s">
        <v>84</v>
      </c>
      <c r="E16" s="83" t="s">
        <v>6</v>
      </c>
      <c r="F16" s="83" t="s">
        <v>6</v>
      </c>
      <c r="G16" s="83" t="s">
        <v>6</v>
      </c>
      <c r="H16" s="83" t="s">
        <v>6</v>
      </c>
      <c r="I16" s="83" t="s">
        <v>6</v>
      </c>
      <c r="J16" s="83" t="s">
        <v>6</v>
      </c>
      <c r="K16" s="83" t="s">
        <v>6</v>
      </c>
      <c r="L16" s="83" t="s">
        <v>6</v>
      </c>
      <c r="M16" s="83" t="s">
        <v>6</v>
      </c>
      <c r="N16" s="83" t="s">
        <v>6</v>
      </c>
      <c r="O16" s="83" t="s">
        <v>6</v>
      </c>
      <c r="P16" s="83" t="s">
        <v>6</v>
      </c>
      <c r="Q16" s="108"/>
      <c r="R16" s="77">
        <f>SUM(R11:R14)</f>
        <v>0</v>
      </c>
    </row>
    <row r="17" spans="4:18" ht="25" customHeight="1" x14ac:dyDescent="0.3">
      <c r="E17" s="1">
        <v>51</v>
      </c>
      <c r="F17" s="1">
        <v>52</v>
      </c>
      <c r="G17" s="1">
        <v>53</v>
      </c>
      <c r="H17" s="1">
        <v>54</v>
      </c>
      <c r="I17" s="1">
        <v>55</v>
      </c>
      <c r="J17" s="1">
        <v>56</v>
      </c>
      <c r="K17" s="1">
        <v>57</v>
      </c>
      <c r="L17" s="1">
        <v>58</v>
      </c>
      <c r="M17" s="1">
        <v>59</v>
      </c>
      <c r="N17" s="1">
        <v>60</v>
      </c>
      <c r="O17" s="1">
        <v>61</v>
      </c>
      <c r="P17" s="1">
        <v>62</v>
      </c>
      <c r="Q17" s="100">
        <v>63</v>
      </c>
      <c r="R17" s="1">
        <v>64</v>
      </c>
    </row>
    <row r="19" spans="4:18" x14ac:dyDescent="0.3">
      <c r="Q19" s="100" t="s">
        <v>105</v>
      </c>
    </row>
    <row r="24" spans="4:18" x14ac:dyDescent="0.3">
      <c r="D24" s="146" t="s">
        <v>7</v>
      </c>
      <c r="E24" s="146"/>
      <c r="F24" s="146" t="s">
        <v>8</v>
      </c>
      <c r="G24" s="146"/>
      <c r="H24" s="2" t="s">
        <v>32</v>
      </c>
      <c r="I24" s="2" t="s">
        <v>34</v>
      </c>
      <c r="J24" s="146" t="s">
        <v>7</v>
      </c>
      <c r="K24" s="146"/>
      <c r="L24" s="146" t="s">
        <v>8</v>
      </c>
      <c r="M24" s="146"/>
      <c r="N24" s="2" t="s">
        <v>32</v>
      </c>
      <c r="O24" s="2" t="s">
        <v>34</v>
      </c>
      <c r="P24" s="1" t="s">
        <v>93</v>
      </c>
    </row>
    <row r="25" spans="4:18" ht="28.5" thickBot="1" x14ac:dyDescent="0.35">
      <c r="D25" s="78" t="s">
        <v>11</v>
      </c>
      <c r="E25" s="78" t="s">
        <v>12</v>
      </c>
      <c r="F25" s="4" t="s">
        <v>9</v>
      </c>
      <c r="G25" s="4" t="s">
        <v>10</v>
      </c>
      <c r="H25" s="4" t="s">
        <v>30</v>
      </c>
      <c r="I25" s="4" t="s">
        <v>9</v>
      </c>
      <c r="J25" s="78" t="s">
        <v>11</v>
      </c>
      <c r="K25" s="78" t="s">
        <v>12</v>
      </c>
      <c r="L25" s="4" t="s">
        <v>9</v>
      </c>
      <c r="M25" s="4" t="s">
        <v>10</v>
      </c>
      <c r="N25" s="4" t="s">
        <v>30</v>
      </c>
      <c r="O25" s="4" t="s">
        <v>9</v>
      </c>
      <c r="P25" s="77" t="s">
        <v>20</v>
      </c>
    </row>
  </sheetData>
  <mergeCells count="17">
    <mergeCell ref="D24:E24"/>
    <mergeCell ref="F24:G24"/>
    <mergeCell ref="J24:K24"/>
    <mergeCell ref="L24:M24"/>
    <mergeCell ref="R2:R3"/>
    <mergeCell ref="K3:L3"/>
    <mergeCell ref="M3:N3"/>
    <mergeCell ref="B5:B15"/>
    <mergeCell ref="C11:C15"/>
    <mergeCell ref="C5:C10"/>
    <mergeCell ref="K2:P2"/>
    <mergeCell ref="C2:J2"/>
    <mergeCell ref="B3:B4"/>
    <mergeCell ref="C3:C4"/>
    <mergeCell ref="D3:D4"/>
    <mergeCell ref="E3:F3"/>
    <mergeCell ref="G3:H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9CD1-50D7-4EEA-80C5-A48B367F63C1}">
  <dimension ref="A1:X21"/>
  <sheetViews>
    <sheetView tabSelected="1" topLeftCell="B1" zoomScaleNormal="100" workbookViewId="0">
      <selection activeCell="S12" sqref="S12"/>
    </sheetView>
  </sheetViews>
  <sheetFormatPr defaultColWidth="9" defaultRowHeight="14" x14ac:dyDescent="0.3"/>
  <cols>
    <col min="1" max="1" width="0.83203125" style="1" customWidth="1"/>
    <col min="2" max="2" width="6.58203125" style="1" customWidth="1"/>
    <col min="3" max="3" width="5.58203125" style="1" customWidth="1"/>
    <col min="4" max="4" width="11.83203125" style="1" customWidth="1"/>
    <col min="5" max="8" width="8.58203125" style="1" customWidth="1"/>
    <col min="9" max="9" width="29.1640625" style="1" customWidth="1"/>
    <col min="10" max="24" width="8.58203125" style="1" customWidth="1"/>
    <col min="25" max="16384" width="9" style="1"/>
  </cols>
  <sheetData>
    <row r="1" spans="1:24" ht="14.5" thickBot="1" x14ac:dyDescent="0.35">
      <c r="C1" s="200" t="s">
        <v>92</v>
      </c>
      <c r="D1" s="200"/>
      <c r="E1" s="200"/>
      <c r="F1" s="200"/>
      <c r="G1" s="200"/>
      <c r="K1" s="200" t="s">
        <v>92</v>
      </c>
      <c r="L1" s="200"/>
      <c r="M1" s="200"/>
      <c r="N1" s="200"/>
      <c r="O1" s="200"/>
    </row>
    <row r="2" spans="1:24" s="12" customFormat="1" ht="30" customHeight="1" x14ac:dyDescent="0.3">
      <c r="C2" s="198" t="s">
        <v>16</v>
      </c>
      <c r="D2" s="199" t="s">
        <v>17</v>
      </c>
      <c r="E2" s="139" t="s">
        <v>106</v>
      </c>
      <c r="F2" s="139" t="s">
        <v>107</v>
      </c>
      <c r="G2" s="94" t="s">
        <v>89</v>
      </c>
      <c r="I2" s="12" t="s">
        <v>108</v>
      </c>
      <c r="K2" s="198" t="s">
        <v>16</v>
      </c>
      <c r="L2" s="199" t="s">
        <v>17</v>
      </c>
      <c r="M2" s="93" t="s">
        <v>51</v>
      </c>
      <c r="N2" s="93" t="s">
        <v>54</v>
      </c>
      <c r="O2" s="94" t="s">
        <v>89</v>
      </c>
    </row>
    <row r="3" spans="1:24" s="20" customFormat="1" ht="45.75" customHeight="1" thickBot="1" x14ac:dyDescent="0.35">
      <c r="C3" s="188"/>
      <c r="D3" s="152"/>
      <c r="E3" s="34" t="s">
        <v>90</v>
      </c>
      <c r="F3" s="34" t="s">
        <v>90</v>
      </c>
      <c r="G3" s="35" t="s">
        <v>91</v>
      </c>
      <c r="I3" s="20" t="s">
        <v>109</v>
      </c>
      <c r="K3" s="188"/>
      <c r="L3" s="152"/>
      <c r="M3" s="34" t="s">
        <v>90</v>
      </c>
      <c r="N3" s="34" t="s">
        <v>90</v>
      </c>
      <c r="O3" s="35" t="s">
        <v>91</v>
      </c>
    </row>
    <row r="4" spans="1:24" s="20" customFormat="1" ht="20.149999999999999" customHeight="1" x14ac:dyDescent="0.3">
      <c r="C4" s="187">
        <v>1201</v>
      </c>
      <c r="D4" s="92" t="s">
        <v>15</v>
      </c>
      <c r="E4" s="95">
        <v>13</v>
      </c>
      <c r="F4" s="95">
        <v>1</v>
      </c>
      <c r="G4" s="96">
        <v>100</v>
      </c>
      <c r="K4" s="187">
        <v>1201</v>
      </c>
      <c r="L4" s="92" t="s">
        <v>15</v>
      </c>
      <c r="M4" s="95">
        <v>13</v>
      </c>
      <c r="N4" s="95">
        <v>1</v>
      </c>
      <c r="O4" s="96">
        <v>100</v>
      </c>
    </row>
    <row r="5" spans="1:24" s="20" customFormat="1" ht="20.149999999999999" customHeight="1" thickBot="1" x14ac:dyDescent="0.35">
      <c r="C5" s="155"/>
      <c r="D5" s="91" t="s">
        <v>19</v>
      </c>
      <c r="E5" s="97">
        <v>12</v>
      </c>
      <c r="F5" s="98">
        <v>2</v>
      </c>
      <c r="G5" s="99">
        <v>200</v>
      </c>
      <c r="K5" s="155"/>
      <c r="L5" s="91" t="s">
        <v>19</v>
      </c>
      <c r="M5" s="97">
        <v>12</v>
      </c>
      <c r="N5" s="98">
        <v>2</v>
      </c>
      <c r="O5" s="99">
        <v>200</v>
      </c>
    </row>
    <row r="6" spans="1:24" s="20" customFormat="1" ht="25" customHeight="1" x14ac:dyDescent="0.3">
      <c r="E6" s="20">
        <v>71</v>
      </c>
      <c r="F6" s="20">
        <v>72</v>
      </c>
      <c r="G6" s="20">
        <v>73</v>
      </c>
    </row>
    <row r="8" spans="1:24" ht="21" customHeight="1" thickBot="1" x14ac:dyDescent="0.35"/>
    <row r="9" spans="1:24" ht="21" customHeight="1" x14ac:dyDescent="0.3">
      <c r="B9" s="193">
        <v>2025</v>
      </c>
      <c r="C9" s="194"/>
      <c r="D9" s="120"/>
      <c r="E9" s="196" t="s">
        <v>46</v>
      </c>
      <c r="F9" s="196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7"/>
    </row>
    <row r="10" spans="1:24" ht="21" customHeight="1" x14ac:dyDescent="0.3">
      <c r="B10" s="167" t="s">
        <v>16</v>
      </c>
      <c r="C10" s="178" t="s">
        <v>17</v>
      </c>
      <c r="D10" s="178" t="s">
        <v>18</v>
      </c>
      <c r="E10" s="190" t="s">
        <v>45</v>
      </c>
      <c r="F10" s="191"/>
      <c r="G10" s="190" t="s">
        <v>49</v>
      </c>
      <c r="H10" s="191"/>
      <c r="I10" s="178" t="s">
        <v>50</v>
      </c>
      <c r="J10" s="184"/>
      <c r="K10" s="190" t="s">
        <v>51</v>
      </c>
      <c r="L10" s="191"/>
      <c r="M10" s="190" t="s">
        <v>52</v>
      </c>
      <c r="N10" s="191"/>
      <c r="O10" s="190" t="s">
        <v>53</v>
      </c>
      <c r="P10" s="191"/>
      <c r="Q10" s="190" t="s">
        <v>54</v>
      </c>
      <c r="R10" s="191"/>
      <c r="S10" s="190" t="s">
        <v>55</v>
      </c>
      <c r="T10" s="191"/>
      <c r="U10" s="190" t="s">
        <v>56</v>
      </c>
      <c r="V10" s="191"/>
      <c r="W10" s="191" t="s">
        <v>57</v>
      </c>
      <c r="X10" s="195"/>
    </row>
    <row r="11" spans="1:24" ht="14.5" thickBot="1" x14ac:dyDescent="0.35">
      <c r="B11" s="188"/>
      <c r="C11" s="152"/>
      <c r="D11" s="152"/>
      <c r="E11" s="37" t="s">
        <v>48</v>
      </c>
      <c r="F11" s="34" t="s">
        <v>59</v>
      </c>
      <c r="G11" s="37" t="s">
        <v>48</v>
      </c>
      <c r="H11" s="34" t="s">
        <v>59</v>
      </c>
      <c r="I11" s="37" t="s">
        <v>48</v>
      </c>
      <c r="J11" s="34" t="s">
        <v>59</v>
      </c>
      <c r="K11" s="37" t="s">
        <v>111</v>
      </c>
      <c r="L11" s="34" t="s">
        <v>58</v>
      </c>
      <c r="M11" s="37" t="s">
        <v>47</v>
      </c>
      <c r="N11" s="34" t="s">
        <v>58</v>
      </c>
      <c r="O11" s="37" t="s">
        <v>47</v>
      </c>
      <c r="P11" s="34" t="s">
        <v>58</v>
      </c>
      <c r="Q11" s="37" t="s">
        <v>47</v>
      </c>
      <c r="R11" s="34" t="s">
        <v>58</v>
      </c>
      <c r="S11" s="37" t="s">
        <v>47</v>
      </c>
      <c r="T11" s="34" t="s">
        <v>58</v>
      </c>
      <c r="U11" s="37" t="s">
        <v>74</v>
      </c>
      <c r="V11" s="34" t="s">
        <v>59</v>
      </c>
      <c r="W11" s="37" t="s">
        <v>73</v>
      </c>
      <c r="X11" s="35" t="s">
        <v>58</v>
      </c>
    </row>
    <row r="12" spans="1:24" x14ac:dyDescent="0.3">
      <c r="A12" s="80"/>
      <c r="B12" s="192">
        <v>1201</v>
      </c>
      <c r="C12" s="182" t="s">
        <v>15</v>
      </c>
      <c r="D12" s="121" t="s">
        <v>6</v>
      </c>
      <c r="E12" s="38">
        <v>1</v>
      </c>
      <c r="F12" s="116" t="s">
        <v>62</v>
      </c>
      <c r="G12" s="38"/>
      <c r="H12" s="116" t="s">
        <v>62</v>
      </c>
      <c r="I12" s="38"/>
      <c r="J12" s="116" t="s">
        <v>64</v>
      </c>
      <c r="K12" s="36"/>
      <c r="L12" s="116" t="s">
        <v>62</v>
      </c>
      <c r="M12" s="38"/>
      <c r="N12" s="116" t="s">
        <v>62</v>
      </c>
      <c r="O12" s="38"/>
      <c r="P12" s="116" t="s">
        <v>62</v>
      </c>
      <c r="Q12" s="36"/>
      <c r="R12" s="116" t="s">
        <v>62</v>
      </c>
      <c r="S12" s="36"/>
      <c r="T12" s="116" t="s">
        <v>66</v>
      </c>
      <c r="U12" s="38"/>
      <c r="V12" s="116" t="s">
        <v>64</v>
      </c>
      <c r="W12" s="38">
        <v>1</v>
      </c>
      <c r="X12" s="122" t="s">
        <v>64</v>
      </c>
    </row>
    <row r="13" spans="1:24" x14ac:dyDescent="0.3">
      <c r="A13" s="26"/>
      <c r="B13" s="168"/>
      <c r="C13" s="173"/>
      <c r="D13" s="16" t="s">
        <v>60</v>
      </c>
      <c r="E13" s="39">
        <v>2</v>
      </c>
      <c r="F13" s="117" t="s">
        <v>62</v>
      </c>
      <c r="G13" s="39"/>
      <c r="H13" s="117" t="s">
        <v>62</v>
      </c>
      <c r="I13" s="39"/>
      <c r="J13" s="117" t="s">
        <v>62</v>
      </c>
      <c r="K13" s="39"/>
      <c r="L13" s="117" t="s">
        <v>62</v>
      </c>
      <c r="M13" s="39"/>
      <c r="N13" s="117" t="s">
        <v>62</v>
      </c>
      <c r="O13" s="39"/>
      <c r="P13" s="117" t="s">
        <v>62</v>
      </c>
      <c r="Q13" s="39"/>
      <c r="R13" s="117" t="s">
        <v>62</v>
      </c>
      <c r="S13" s="39"/>
      <c r="T13" s="117" t="s">
        <v>62</v>
      </c>
      <c r="U13" s="39"/>
      <c r="V13" s="117" t="s">
        <v>62</v>
      </c>
      <c r="W13" s="39"/>
      <c r="X13" s="123" t="s">
        <v>61</v>
      </c>
    </row>
    <row r="14" spans="1:24" x14ac:dyDescent="0.3">
      <c r="B14" s="168"/>
      <c r="C14" s="173"/>
      <c r="D14" s="17" t="s">
        <v>44</v>
      </c>
      <c r="E14" s="39">
        <f>E12/E13</f>
        <v>0.5</v>
      </c>
      <c r="F14" s="117" t="s">
        <v>68</v>
      </c>
      <c r="G14" s="39" t="e">
        <f>G12/G13</f>
        <v>#DIV/0!</v>
      </c>
      <c r="H14" s="117" t="s">
        <v>68</v>
      </c>
      <c r="I14" s="39" t="e">
        <f>I12/I13</f>
        <v>#DIV/0!</v>
      </c>
      <c r="J14" s="117" t="s">
        <v>70</v>
      </c>
      <c r="K14" s="39" t="e">
        <f>K12/K13</f>
        <v>#DIV/0!</v>
      </c>
      <c r="L14" s="117" t="s">
        <v>68</v>
      </c>
      <c r="M14" s="39" t="e">
        <f>M12/M13</f>
        <v>#DIV/0!</v>
      </c>
      <c r="N14" s="117" t="s">
        <v>68</v>
      </c>
      <c r="O14" s="39" t="e">
        <f>O12/O13</f>
        <v>#DIV/0!</v>
      </c>
      <c r="P14" s="117" t="s">
        <v>68</v>
      </c>
      <c r="Q14" s="39" t="e">
        <f>Q12/Q13</f>
        <v>#DIV/0!</v>
      </c>
      <c r="R14" s="117" t="s">
        <v>68</v>
      </c>
      <c r="S14" s="39" t="e">
        <f>S12/S13</f>
        <v>#DIV/0!</v>
      </c>
      <c r="T14" s="117" t="s">
        <v>72</v>
      </c>
      <c r="U14" s="39" t="e">
        <f>U12/U13</f>
        <v>#DIV/0!</v>
      </c>
      <c r="V14" s="117" t="s">
        <v>69</v>
      </c>
      <c r="W14" s="39" t="e">
        <f>W12/W13</f>
        <v>#DIV/0!</v>
      </c>
      <c r="X14" s="123" t="s">
        <v>70</v>
      </c>
    </row>
    <row r="15" spans="1:24" x14ac:dyDescent="0.3">
      <c r="B15" s="168"/>
      <c r="C15" s="173" t="s">
        <v>19</v>
      </c>
      <c r="D15" s="16" t="s">
        <v>6</v>
      </c>
      <c r="E15" s="39"/>
      <c r="F15" s="117" t="s">
        <v>62</v>
      </c>
      <c r="G15" s="39"/>
      <c r="H15" s="117" t="s">
        <v>62</v>
      </c>
      <c r="I15" s="39"/>
      <c r="J15" s="117" t="s">
        <v>64</v>
      </c>
      <c r="K15" s="33"/>
      <c r="L15" s="117" t="s">
        <v>62</v>
      </c>
      <c r="M15" s="39"/>
      <c r="N15" s="117" t="s">
        <v>62</v>
      </c>
      <c r="O15" s="39"/>
      <c r="P15" s="117" t="s">
        <v>62</v>
      </c>
      <c r="Q15" s="33"/>
      <c r="R15" s="117" t="s">
        <v>62</v>
      </c>
      <c r="S15" s="33"/>
      <c r="T15" s="117" t="s">
        <v>66</v>
      </c>
      <c r="U15" s="39"/>
      <c r="V15" s="117" t="s">
        <v>64</v>
      </c>
      <c r="W15" s="39"/>
      <c r="X15" s="123" t="s">
        <v>64</v>
      </c>
    </row>
    <row r="16" spans="1:24" x14ac:dyDescent="0.3">
      <c r="B16" s="168"/>
      <c r="C16" s="173"/>
      <c r="D16" s="16" t="s">
        <v>60</v>
      </c>
      <c r="E16" s="39"/>
      <c r="F16" s="117" t="s">
        <v>62</v>
      </c>
      <c r="G16" s="39"/>
      <c r="H16" s="117" t="s">
        <v>62</v>
      </c>
      <c r="I16" s="39"/>
      <c r="J16" s="117" t="s">
        <v>62</v>
      </c>
      <c r="K16" s="39"/>
      <c r="L16" s="117" t="s">
        <v>62</v>
      </c>
      <c r="M16" s="39"/>
      <c r="N16" s="117" t="s">
        <v>62</v>
      </c>
      <c r="O16" s="39"/>
      <c r="P16" s="117" t="s">
        <v>62</v>
      </c>
      <c r="Q16" s="39"/>
      <c r="R16" s="117" t="s">
        <v>62</v>
      </c>
      <c r="S16" s="39"/>
      <c r="T16" s="117" t="s">
        <v>62</v>
      </c>
      <c r="U16" s="39"/>
      <c r="V16" s="117" t="s">
        <v>62</v>
      </c>
      <c r="W16" s="39"/>
      <c r="X16" s="123" t="s">
        <v>61</v>
      </c>
    </row>
    <row r="17" spans="2:24" x14ac:dyDescent="0.3">
      <c r="B17" s="174"/>
      <c r="C17" s="175"/>
      <c r="D17" s="124" t="s">
        <v>44</v>
      </c>
      <c r="E17" s="40" t="e">
        <f>E15/E16</f>
        <v>#DIV/0!</v>
      </c>
      <c r="F17" s="118" t="s">
        <v>68</v>
      </c>
      <c r="G17" s="40" t="e">
        <f>G15/G16</f>
        <v>#DIV/0!</v>
      </c>
      <c r="H17" s="118" t="s">
        <v>68</v>
      </c>
      <c r="I17" s="40" t="e">
        <f>I15/I16</f>
        <v>#DIV/0!</v>
      </c>
      <c r="J17" s="118" t="s">
        <v>70</v>
      </c>
      <c r="K17" s="40" t="e">
        <f>K15/K16</f>
        <v>#DIV/0!</v>
      </c>
      <c r="L17" s="118" t="s">
        <v>68</v>
      </c>
      <c r="M17" s="40" t="e">
        <f>M15/M16</f>
        <v>#DIV/0!</v>
      </c>
      <c r="N17" s="118" t="s">
        <v>68</v>
      </c>
      <c r="O17" s="40" t="e">
        <f>O15/O16</f>
        <v>#DIV/0!</v>
      </c>
      <c r="P17" s="118" t="s">
        <v>68</v>
      </c>
      <c r="Q17" s="40" t="e">
        <f>Q15/Q16</f>
        <v>#DIV/0!</v>
      </c>
      <c r="R17" s="118" t="s">
        <v>68</v>
      </c>
      <c r="S17" s="40" t="e">
        <f>S15/S16</f>
        <v>#DIV/0!</v>
      </c>
      <c r="T17" s="118" t="s">
        <v>72</v>
      </c>
      <c r="U17" s="40" t="e">
        <f>U15/U16</f>
        <v>#DIV/0!</v>
      </c>
      <c r="V17" s="118" t="s">
        <v>70</v>
      </c>
      <c r="W17" s="40" t="e">
        <f>W15/W16</f>
        <v>#DIV/0!</v>
      </c>
      <c r="X17" s="125" t="s">
        <v>70</v>
      </c>
    </row>
    <row r="18" spans="2:24" x14ac:dyDescent="0.3">
      <c r="B18" s="183" t="s">
        <v>75</v>
      </c>
      <c r="C18" s="184"/>
      <c r="D18" s="184"/>
      <c r="E18" s="41">
        <f>E12+E15</f>
        <v>1</v>
      </c>
      <c r="F18" s="119" t="s">
        <v>61</v>
      </c>
      <c r="G18" s="41">
        <f>G12+G15</f>
        <v>0</v>
      </c>
      <c r="H18" s="119" t="s">
        <v>61</v>
      </c>
      <c r="I18" s="41">
        <f>I12+I15</f>
        <v>0</v>
      </c>
      <c r="J18" s="119" t="s">
        <v>63</v>
      </c>
      <c r="K18" s="41">
        <f>K12+K15</f>
        <v>0</v>
      </c>
      <c r="L18" s="119" t="s">
        <v>61</v>
      </c>
      <c r="M18" s="41">
        <f>M12+M15</f>
        <v>0</v>
      </c>
      <c r="N18" s="119" t="s">
        <v>61</v>
      </c>
      <c r="O18" s="41">
        <f>O12+O15</f>
        <v>0</v>
      </c>
      <c r="P18" s="119" t="s">
        <v>61</v>
      </c>
      <c r="Q18" s="41">
        <f>Q12+Q15</f>
        <v>0</v>
      </c>
      <c r="R18" s="119" t="s">
        <v>61</v>
      </c>
      <c r="S18" s="41">
        <f>S12+S15</f>
        <v>0</v>
      </c>
      <c r="T18" s="119" t="s">
        <v>65</v>
      </c>
      <c r="U18" s="41">
        <f>U12+U15</f>
        <v>0</v>
      </c>
      <c r="V18" s="119" t="s">
        <v>63</v>
      </c>
      <c r="W18" s="41">
        <f>W12+W15</f>
        <v>1</v>
      </c>
      <c r="X18" s="126" t="s">
        <v>63</v>
      </c>
    </row>
    <row r="19" spans="2:24" x14ac:dyDescent="0.3">
      <c r="B19" s="142" t="s">
        <v>76</v>
      </c>
      <c r="C19" s="146"/>
      <c r="D19" s="146"/>
      <c r="E19" s="42">
        <f>E13+E16</f>
        <v>2</v>
      </c>
      <c r="F19" s="2" t="s">
        <v>61</v>
      </c>
      <c r="G19" s="42">
        <f>G13+G16</f>
        <v>0</v>
      </c>
      <c r="H19" s="2" t="s">
        <v>61</v>
      </c>
      <c r="I19" s="42">
        <f>I13+I16</f>
        <v>0</v>
      </c>
      <c r="J19" s="2" t="s">
        <v>61</v>
      </c>
      <c r="K19" s="42">
        <f>K13+K16</f>
        <v>0</v>
      </c>
      <c r="L19" s="2" t="s">
        <v>61</v>
      </c>
      <c r="M19" s="42">
        <f>M13+M16</f>
        <v>0</v>
      </c>
      <c r="N19" s="2" t="s">
        <v>61</v>
      </c>
      <c r="O19" s="42">
        <f>O13+O16</f>
        <v>0</v>
      </c>
      <c r="P19" s="2" t="s">
        <v>61</v>
      </c>
      <c r="Q19" s="42">
        <f>Q13+Q16</f>
        <v>0</v>
      </c>
      <c r="R19" s="2" t="s">
        <v>61</v>
      </c>
      <c r="S19" s="42">
        <f>S13+S16</f>
        <v>0</v>
      </c>
      <c r="T19" s="2" t="s">
        <v>61</v>
      </c>
      <c r="U19" s="42">
        <f>U13+U16</f>
        <v>0</v>
      </c>
      <c r="V19" s="2" t="s">
        <v>61</v>
      </c>
      <c r="W19" s="42">
        <f>W13+W16</f>
        <v>0</v>
      </c>
      <c r="X19" s="3" t="s">
        <v>61</v>
      </c>
    </row>
    <row r="20" spans="2:24" ht="14.5" thickBot="1" x14ac:dyDescent="0.35">
      <c r="B20" s="155" t="s">
        <v>77</v>
      </c>
      <c r="C20" s="156"/>
      <c r="D20" s="156"/>
      <c r="E20" s="43">
        <f>E18/E19</f>
        <v>0.5</v>
      </c>
      <c r="F20" s="31" t="s">
        <v>67</v>
      </c>
      <c r="G20" s="43" t="e">
        <f>G18/G19</f>
        <v>#DIV/0!</v>
      </c>
      <c r="H20" s="31" t="s">
        <v>67</v>
      </c>
      <c r="I20" s="43" t="e">
        <f>I18/I19</f>
        <v>#DIV/0!</v>
      </c>
      <c r="J20" s="31" t="s">
        <v>69</v>
      </c>
      <c r="K20" s="43" t="e">
        <f>K18/K19</f>
        <v>#DIV/0!</v>
      </c>
      <c r="L20" s="31" t="s">
        <v>67</v>
      </c>
      <c r="M20" s="43" t="e">
        <f>M18/M19</f>
        <v>#DIV/0!</v>
      </c>
      <c r="N20" s="31" t="s">
        <v>67</v>
      </c>
      <c r="O20" s="43" t="e">
        <f>O18/O19</f>
        <v>#DIV/0!</v>
      </c>
      <c r="P20" s="31" t="s">
        <v>67</v>
      </c>
      <c r="Q20" s="43" t="e">
        <f>Q18/Q19</f>
        <v>#DIV/0!</v>
      </c>
      <c r="R20" s="31" t="s">
        <v>67</v>
      </c>
      <c r="S20" s="43" t="e">
        <f>S18/S19</f>
        <v>#DIV/0!</v>
      </c>
      <c r="T20" s="31" t="s">
        <v>71</v>
      </c>
      <c r="U20" s="43" t="e">
        <f>U18/U19</f>
        <v>#DIV/0!</v>
      </c>
      <c r="V20" s="31" t="s">
        <v>69</v>
      </c>
      <c r="W20" s="43" t="e">
        <f>W18/W19</f>
        <v>#DIV/0!</v>
      </c>
      <c r="X20" s="32" t="s">
        <v>69</v>
      </c>
    </row>
    <row r="21" spans="2:24" x14ac:dyDescent="0.3">
      <c r="E21" s="1">
        <v>1</v>
      </c>
      <c r="G21" s="1">
        <v>2</v>
      </c>
      <c r="I21" s="1">
        <v>3</v>
      </c>
      <c r="K21" s="1">
        <v>4</v>
      </c>
      <c r="M21" s="1">
        <v>5</v>
      </c>
      <c r="O21" s="1">
        <v>6</v>
      </c>
      <c r="Q21" s="1">
        <v>7</v>
      </c>
      <c r="S21" s="1">
        <v>8</v>
      </c>
      <c r="U21" s="1">
        <v>9</v>
      </c>
      <c r="W21" s="1">
        <v>10</v>
      </c>
    </row>
  </sheetData>
  <mergeCells count="29">
    <mergeCell ref="C2:C3"/>
    <mergeCell ref="D2:D3"/>
    <mergeCell ref="C4:C5"/>
    <mergeCell ref="C1:G1"/>
    <mergeCell ref="Q10:R10"/>
    <mergeCell ref="K1:O1"/>
    <mergeCell ref="K2:K3"/>
    <mergeCell ref="L2:L3"/>
    <mergeCell ref="K4:K5"/>
    <mergeCell ref="S10:T10"/>
    <mergeCell ref="B9:C9"/>
    <mergeCell ref="U10:V10"/>
    <mergeCell ref="W10:X10"/>
    <mergeCell ref="G10:H10"/>
    <mergeCell ref="I10:J10"/>
    <mergeCell ref="E9:X9"/>
    <mergeCell ref="B10:B11"/>
    <mergeCell ref="C10:C11"/>
    <mergeCell ref="D10:D11"/>
    <mergeCell ref="E10:F10"/>
    <mergeCell ref="K10:L10"/>
    <mergeCell ref="B18:D18"/>
    <mergeCell ref="B19:D19"/>
    <mergeCell ref="B20:D20"/>
    <mergeCell ref="M10:N10"/>
    <mergeCell ref="O10:P10"/>
    <mergeCell ref="B12:B17"/>
    <mergeCell ref="C12:C14"/>
    <mergeCell ref="C15:C17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表1- 闪发器冷凝液检测数据表</vt:lpstr>
      <vt:lpstr>表2- 反应液检测数据表</vt:lpstr>
      <vt:lpstr>表3- 结晶检测数据表</vt:lpstr>
      <vt:lpstr>表4- 一次母液检测数据表</vt:lpstr>
      <vt:lpstr>表5- 母液脱色检测数据表</vt:lpstr>
      <vt:lpstr>表6- 日常消耗数据表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平 曹</cp:lastModifiedBy>
  <dcterms:created xsi:type="dcterms:W3CDTF">2015-06-05T18:19:34Z</dcterms:created>
  <dcterms:modified xsi:type="dcterms:W3CDTF">2026-05-14T02:19:19Z</dcterms:modified>
</cp:coreProperties>
</file>