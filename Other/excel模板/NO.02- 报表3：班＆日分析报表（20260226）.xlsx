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54C855F3-3B93-4C2A-9543-67AACE57C85A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班组＆日生产过程运行质量考评表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5" l="1"/>
  <c r="O43" i="5"/>
  <c r="L43" i="5"/>
  <c r="I43" i="5"/>
  <c r="F43" i="5"/>
  <c r="AH38" i="5"/>
  <c r="AE38" i="5"/>
  <c r="U38" i="5"/>
  <c r="P38" i="5"/>
  <c r="M38" i="5"/>
  <c r="H38" i="5"/>
  <c r="AC33" i="5"/>
  <c r="Y33" i="5"/>
  <c r="S33" i="5"/>
  <c r="E28" i="5"/>
  <c r="Z28" i="5"/>
  <c r="AH17" i="5"/>
  <c r="AE17" i="5"/>
  <c r="Z7" i="5"/>
  <c r="E7" i="5"/>
  <c r="D7" i="5"/>
  <c r="O22" i="5"/>
  <c r="L22" i="5"/>
  <c r="I22" i="5"/>
  <c r="F22" i="5"/>
  <c r="U17" i="5"/>
  <c r="P17" i="5"/>
  <c r="M17" i="5"/>
  <c r="H17" i="5"/>
  <c r="AC12" i="5"/>
  <c r="S12" i="5"/>
  <c r="Y1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A4" authorId="0" shapeId="0" xr:uid="{3FE4FAF6-F77D-4B3C-9C17-B14A9BF63DC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=日常手写记录表6，白班羟基乙腈单耗，直接读取</t>
        </r>
      </text>
    </comment>
    <comment ref="AB4" authorId="0" shapeId="0" xr:uid="{F698BDC7-B110-4FA3-AF16-06FDC328BCB1}">
      <text>
        <r>
          <rPr>
            <b/>
            <sz val="6"/>
            <color indexed="81"/>
            <rFont val="宋体"/>
            <family val="3"/>
            <charset val="134"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>=日常手写记录表6，白班液氨单耗，直接读取</t>
        </r>
      </text>
    </comment>
    <comment ref="AC4" authorId="0" shapeId="0" xr:uid="{D64E75F2-377A-40C4-86FB-67D9721D975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=日常手写记录表6，白班稀硫酸单耗，直接读取</t>
        </r>
      </text>
    </comment>
    <comment ref="AD4" authorId="0" shapeId="0" xr:uid="{AF182187-7536-4923-BCDB-FDEA9C434E9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=日常手写记录表6，白班蒸汽单耗，直接读取</t>
        </r>
      </text>
    </comment>
    <comment ref="AE4" authorId="0" shapeId="0" xr:uid="{ECD073E5-0A6E-482A-AA78-C24E254C346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=日常手写记录表6，白班反应蒸汽单耗，直接读取</t>
        </r>
      </text>
    </comment>
    <comment ref="AF4" authorId="0" shapeId="0" xr:uid="{77880E53-124F-4A68-9CEE-D72A5C8DD9D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=日常手写记录表6，白班低蒸蒸汽单耗，直接读取</t>
        </r>
      </text>
    </comment>
    <comment ref="AG4" authorId="0" shapeId="0" xr:uid="{EFB24448-0A9F-4797-AC17-FDCEB9CF9D7E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=日常手写记录表6，白班脱盐水单耗，直接读取</t>
        </r>
      </text>
    </comment>
    <comment ref="AH4" authorId="0" shapeId="0" xr:uid="{4AF04EA1-4989-4FE1-BCF3-0232B8CEED6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=日常手写记录表6，白班电单耗，直接读取</t>
        </r>
      </text>
    </comment>
    <comment ref="AI4" authorId="0" shapeId="0" xr:uid="{3BDDA458-C277-49F8-AEAF-2B72F4A0650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=日常手写记录表6，白班废水单位排放，直接读取</t>
        </r>
      </text>
    </comment>
    <comment ref="AJ4" authorId="0" shapeId="0" xr:uid="{DB44BC34-49A2-4EF9-B43B-5F423F8F5E7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=日常手写记录表6，白班废液单位排放，直接读取</t>
        </r>
      </text>
    </comment>
    <comment ref="D5" authorId="0" shapeId="0" xr:uid="{22641686-553F-44D0-B5B8-692A2DA85E6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 一次产品产量+二次产品产量</t>
        </r>
      </text>
    </comment>
    <comment ref="E5" authorId="0" shapeId="0" xr:uid="{67A97AD3-7D36-428C-B2F5-3233F560079E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 一次产品折百产量+二次产品折百产量</t>
        </r>
      </text>
    </comment>
    <comment ref="F5" authorId="0" shapeId="0" xr:uid="{93CB56C7-A15A-412A-B96E-8AA853F24053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以当天两班的平均产量为基准，高则上箭头，低则下箭头，上箭头为红色，下箭头为绿色</t>
        </r>
      </text>
    </comment>
    <comment ref="G5" authorId="0" shapeId="0" xr:uid="{304D2BC0-9165-4CD0-8AAC-9A8648243FEF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=日常手写记录表表3，白班班产与日平均产量的差额数值，直接读取</t>
        </r>
      </text>
    </comment>
    <comment ref="H5" authorId="0" shapeId="0" xr:uid="{11BAAFF6-867D-443C-8F84-055FE8AE15DE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=日常手写记录表3中，白班合计中水分含量的平均值，直接读取</t>
        </r>
      </text>
    </comment>
    <comment ref="I5" authorId="0" shapeId="0" xr:uid="{95DC55BE-4C08-4486-8D5A-D579E8C859C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=日常手写记录表3中，白班合计中未知物含量的平均值，直接读取</t>
        </r>
      </text>
    </comment>
    <comment ref="J5" authorId="0" shapeId="0" xr:uid="{6BBB03D4-1CB2-42C4-9C72-0416C3125EC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=日常手写记录表3中，白班一次结晶物中产量班汇总数据，直接读取</t>
        </r>
      </text>
    </comment>
    <comment ref="K5" authorId="0" shapeId="0" xr:uid="{690394D2-CE93-49C2-99DC-FF09A73BC391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=日常手写记录表3中，白班一次结晶物中折百产量班汇总数据，直接读取</t>
        </r>
      </text>
    </comment>
    <comment ref="L5" authorId="0" shapeId="0" xr:uid="{9CDA0564-3A97-4139-95AA-80FCC18A6AD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=日常手写记录表3中，白班一次结晶物中二乙腈班平均数据，直接读取</t>
        </r>
      </text>
    </comment>
    <comment ref="M5" authorId="0" shapeId="0" xr:uid="{3A380CBB-E2C5-44E0-89A8-BFF0D37AE52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=日常手写记录表3，白班一次结晶物中第一袋二乙腈含量，直接读取</t>
        </r>
      </text>
    </comment>
    <comment ref="N5" authorId="0" shapeId="0" xr:uid="{FC4A5554-B8E3-47C2-BEEB-CAE8E476E56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=日常手写记录表3，白班一次结晶物中第二袋二乙腈含量，直接读取</t>
        </r>
      </text>
    </comment>
    <comment ref="O5" authorId="0" shapeId="0" xr:uid="{348F602B-4EBD-4AA9-9531-CE37CB85989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=日常手写记录表3，白班一次结晶物中平均水分含量，直接读取</t>
        </r>
      </text>
    </comment>
    <comment ref="P5" authorId="0" shapeId="0" xr:uid="{AC9923A4-B7BC-4163-9E2B-0219EF898DE3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=日常手写记录表3，白班一次结晶物中第一袋含水率，直接读取</t>
        </r>
      </text>
    </comment>
    <comment ref="Q5" authorId="0" shapeId="0" xr:uid="{28E56464-8B56-43E6-A63D-268CDCC8617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=日常手写记录表3，白班一次结晶物中第一袋含水率，直接读取</t>
        </r>
      </text>
    </comment>
    <comment ref="R5" authorId="0" shapeId="0" xr:uid="{FC8373BB-13A3-4544-BD0E-646F3D2A23FE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=日常手写记录表3，白班一次结晶物中未知物平均含量，直接读取</t>
        </r>
      </text>
    </comment>
    <comment ref="S5" authorId="0" shapeId="0" xr:uid="{B607F845-DDB6-4A28-8CA0-5F70BA4FE51C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=日常手写记录表3，白班一次结晶物中第一袋未知物含量，直接读取</t>
        </r>
      </text>
    </comment>
    <comment ref="T5" authorId="0" shapeId="0" xr:uid="{B988258B-566D-4EDC-BE37-6CCC036CF4F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=日常手写记录表3，白班一次结晶物中第二袋未知物含量，直接读取</t>
        </r>
      </text>
    </comment>
    <comment ref="U5" authorId="0" shapeId="0" xr:uid="{17C33618-3559-4733-8F68-07282D063E1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=日常手写记录表3中，白班二次结晶物中产量班汇总数据，直接读取</t>
        </r>
      </text>
    </comment>
    <comment ref="V5" authorId="0" shapeId="0" xr:uid="{0A3313BB-0823-41AF-93B4-E5EA458A201F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=日常手写记录表3，白班二次结晶物中折百产量班汇总数据，直接读取</t>
        </r>
      </text>
    </comment>
    <comment ref="W5" authorId="0" shapeId="0" xr:uid="{EFDAEA2B-0792-4D72-80B9-67495ED144FC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=日常手写记录表3中，白班二次结晶物中二乙腈班平均数据，直接读取
</t>
        </r>
      </text>
    </comment>
    <comment ref="X5" authorId="0" shapeId="0" xr:uid="{FCF3AF67-303B-4AC8-99F4-E498727121D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=日常手写记录表3，白班二次结晶物中平均水分含量，直接读取</t>
        </r>
      </text>
    </comment>
    <comment ref="Y5" authorId="0" shapeId="0" xr:uid="{880AD0BA-A1E8-422C-A1FF-BB443CF1DCEC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=日常手写记录表3，白班二次结晶物中未知物平均含量，直接读取</t>
        </r>
      </text>
    </comment>
    <comment ref="Z5" authorId="0" shapeId="0" xr:uid="{F3F4B84C-BE7B-451C-A9C0-C468D4B29FEE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白班二次产品总量/白班总产量×100%</t>
        </r>
      </text>
    </comment>
    <comment ref="D9" authorId="0" shapeId="0" xr:uid="{DE219549-11E9-4765-9459-6B0E5A32AB1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手工填写，设计的摩尔比理论值</t>
        </r>
      </text>
    </comment>
    <comment ref="E9" authorId="0" shapeId="0" xr:uid="{F4D54674-FBFD-4EA5-A126-646EA35497DE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 3.3498×白班气氨质量用量（kg）/白班羟基乙腈有效成分质量消耗</t>
        </r>
      </text>
    </comment>
    <comment ref="F9" authorId="0" shapeId="0" xr:uid="{F3A63FD8-CBF9-4EAF-A5D2-BACE48EAC4C3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以理论摩尔比为基准，正负波动2%内为持平，超则上箭头，低则下箭头</t>
        </r>
      </text>
    </comment>
    <comment ref="I9" authorId="0" shapeId="0" xr:uid="{A797910C-8C6F-4A31-843E-F1E82003CF9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=FT-05141,班累计值除以当班时间</t>
        </r>
      </text>
    </comment>
    <comment ref="J9" authorId="0" shapeId="0" xr:uid="{A18C0A84-D66C-40DB-A341-EA088650676E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=FT-05142,班累计值除以当班时间</t>
        </r>
      </text>
    </comment>
    <comment ref="K9" authorId="0" shapeId="0" xr:uid="{88F8CB22-6649-457D-8355-BD87D80A486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=TT-05312,班记录平均值</t>
        </r>
      </text>
    </comment>
    <comment ref="L9" authorId="0" shapeId="0" xr:uid="{A6B64CC9-9699-4941-874A-2A0492F042FF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=PT-05311,班记录平均值</t>
        </r>
      </text>
    </comment>
    <comment ref="M9" authorId="0" shapeId="0" xr:uid="{93D3B07E-735E-4647-9F4E-8B21BB58C9A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=TT-05300，班记录平均值</t>
        </r>
      </text>
    </comment>
    <comment ref="N9" authorId="0" shapeId="0" xr:uid="{0F75B1D9-AE12-41E7-BB30-FA91DD00A6B7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=TT-05316，班记录平均值</t>
        </r>
      </text>
    </comment>
    <comment ref="O9" authorId="0" shapeId="0" xr:uid="{790336EE-08E4-4E04-BBE5-A46AFB45C33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=PT-05317,班记录平均值</t>
        </r>
      </text>
    </comment>
    <comment ref="P9" authorId="0" shapeId="0" xr:uid="{FF85F832-34B5-40AF-B7D5-A3A636589BB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工艺设计的理论值，固定不变</t>
        </r>
      </text>
    </comment>
    <comment ref="U9" authorId="0" shapeId="0" xr:uid="{E26BBD81-0B9B-4FF6-A0FD-D1C5C8D3376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=日常手写记录表2，白班反应液比重的平均值，直接读取</t>
        </r>
      </text>
    </comment>
    <comment ref="V9" authorId="0" shapeId="0" xr:uid="{843E56B4-35F9-4AA1-9747-C58342145F5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工艺设计值，固定不变</t>
        </r>
      </text>
    </comment>
    <comment ref="AA9" authorId="0" shapeId="0" xr:uid="{78DC7DE0-CAB6-4ECF-9C3B-D8267811B2D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工艺设计理论值，固定不变</t>
        </r>
      </text>
    </comment>
    <comment ref="AB9" authorId="0" shapeId="0" xr:uid="{2B80EDEA-C529-434F-AD95-A94879AEADC7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=（FT-05411,班累计值除以当班时间）×稀硫酸比重</t>
        </r>
      </text>
    </comment>
    <comment ref="AC9" authorId="0" shapeId="0" xr:uid="{CC7A70A8-B735-4A3D-8F57-8C8E3F1B0F1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=稀硫酸实际耗量-稀硫酸设计耗量</t>
        </r>
      </text>
    </comment>
    <comment ref="AD9" authorId="0" shapeId="0" xr:uid="{862D667B-212B-4F60-A162-F32BA4A3A84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以设计耗量为基准，高则上箭头，低则下箭头，相等则横线</t>
        </r>
      </text>
    </comment>
    <comment ref="G10" authorId="0" shapeId="0" xr:uid="{C9AE4960-5808-473F-BBC4-02C58E81657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=FT-05213,班累计值除以当班时间</t>
        </r>
      </text>
    </comment>
    <comment ref="H10" authorId="0" shapeId="0" xr:uid="{C24BBC8C-BF13-40C3-A1A5-1B40D8D34B3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=AT-04212,班记录数据的平均值</t>
        </r>
      </text>
    </comment>
    <comment ref="R10" authorId="0" shapeId="0" xr:uid="{DC153F16-C69F-4CF2-999D-06A58093AC7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=日常手写记录表2，白班二乙腈含量化分的平均值，直接读取</t>
        </r>
      </text>
    </comment>
    <comment ref="S10" authorId="0" shapeId="0" xr:uid="{5EFD231E-306F-45E4-9929-784491722FD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=实际测量值-设计含量</t>
        </r>
      </text>
    </comment>
    <comment ref="T10" authorId="0" shapeId="0" xr:uid="{8CFA1605-D9A5-4F15-AD33-EB303BF0AB9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以设计的化分数据为基准，高则上箭头，低则下箭头，相等则横线</t>
        </r>
      </text>
    </comment>
    <comment ref="X10" authorId="0" shapeId="0" xr:uid="{759D9252-C85A-42A9-9B3A-E595BB769D1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=日常手写记录表2，白班羟基乙腈残余化分的平均值，直接读取</t>
        </r>
      </text>
    </comment>
    <comment ref="Y10" authorId="0" shapeId="0" xr:uid="{C8605965-F942-4439-82EA-24F350AD8FC7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=化分的实测值-设计的化分值</t>
        </r>
      </text>
    </comment>
    <comment ref="Z10" authorId="0" shapeId="0" xr:uid="{86DB0476-F921-4ABA-8358-FC378620865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以设计的值为基准，高则上箭头，低则下箭头，相等则横线</t>
        </r>
      </text>
    </comment>
    <comment ref="AE10" authorId="0" shapeId="0" xr:uid="{F4F12328-CFD9-4F1D-8668-158EE33AA529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=PT-05325，班记录取平均值</t>
        </r>
      </text>
    </comment>
    <comment ref="AF10" authorId="0" shapeId="0" xr:uid="{7C5FF7EB-093A-4829-86A6-2840F76B638B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=TT-05325，班记录取平均值</t>
        </r>
      </text>
    </comment>
    <comment ref="AG10" authorId="0" shapeId="0" xr:uid="{6743FB6B-0FE7-4B13-AF08-E156AA65522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=LT-05324，班记录取平均值</t>
        </r>
      </text>
    </comment>
    <comment ref="AH10" authorId="0" shapeId="0" xr:uid="{B7242458-5619-4E30-AA2A-12D663ACB94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=日常手写记录表1，白班COD平均值，直接读取</t>
        </r>
      </text>
    </comment>
    <comment ref="AI10" authorId="0" shapeId="0" xr:uid="{25FFD53E-BE8D-48AD-B94E-313A2A7BF07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=日常手写记录表1，白班总腈平均值，直接读取</t>
        </r>
      </text>
    </comment>
    <comment ref="AJ10" authorId="0" shapeId="0" xr:uid="{107D8DA6-9433-4623-A6C6-DEB0778947E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=日常手写记录表1，白班氨氮平均值，直接读取</t>
        </r>
      </text>
    </comment>
    <comment ref="D15" authorId="0" shapeId="0" xr:uid="{8373B03D-735B-4C83-952C-D5671D27E3CB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=日常手写记录表1，白班甲醛平均值，直接读取</t>
        </r>
      </text>
    </comment>
    <comment ref="E15" authorId="0" shapeId="0" xr:uid="{66FBE021-0480-4C69-9B54-13D83CDBAE4C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=日常手写记录表1，白班pH平均值，直接读取</t>
        </r>
      </text>
    </comment>
    <comment ref="F15" authorId="0" shapeId="0" xr:uid="{F34EF0C9-ECED-499C-A4F6-93B5A7E1DF9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=TT-06125或TT-06135班记录的平均值</t>
        </r>
      </text>
    </comment>
    <comment ref="G15" authorId="0" shapeId="0" xr:uid="{9D07A23B-9695-4567-8DBA-B2692CDCF90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=TT-06171，班记录平均值</t>
        </r>
      </text>
    </comment>
    <comment ref="H15" authorId="0" shapeId="0" xr:uid="{BD5E5260-820C-4E36-94EB-AF7259C5CDE4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=物料温度-冷却水温度</t>
        </r>
      </text>
    </comment>
    <comment ref="I15" authorId="0" shapeId="0" xr:uid="{8E8C39C2-CDF5-4855-A2AB-C856F38E2AA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=班记录取平均值</t>
        </r>
      </text>
    </comment>
    <comment ref="J15" authorId="0" shapeId="0" xr:uid="{1AA6BB2A-9E93-4D81-ACBC-87490DFCFB2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=班记录取平均值</t>
        </r>
      </text>
    </comment>
    <comment ref="K15" authorId="0" shapeId="0" xr:uid="{7C81CD5D-8AC8-4318-8CB1-4A999FACDF6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=日常手写记录表3，白班一次结晶物中二乙腈化分含量的平均值，直接读取</t>
        </r>
      </text>
    </comment>
    <comment ref="L15" authorId="0" shapeId="0" xr:uid="{4B827BF6-6468-4466-B11C-57F7AD16545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=日常手写记录表3，白班一次结晶物中水分含量的平均值，直接读取</t>
        </r>
      </text>
    </comment>
    <comment ref="M15" authorId="0" shapeId="0" xr:uid="{4C1C9F31-79DA-4520-BBA4-FA908548F30B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=日常手写记录表3，白班一次结晶物中二乙腈+水含量的平均值，直接读取</t>
        </r>
      </text>
    </comment>
    <comment ref="N15" authorId="0" shapeId="0" xr:uid="{02EB8605-1AE4-4272-8903-5A37BEBB02A9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=TT-08125或TT-08135班记录数据取平均值</t>
        </r>
      </text>
    </comment>
    <comment ref="O15" authorId="0" shapeId="0" xr:uid="{3DA09244-0825-452E-869A-736D1EB4B14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=TT-08171，班记录取平均值</t>
        </r>
      </text>
    </comment>
    <comment ref="P15" authorId="0" shapeId="0" xr:uid="{264220F8-5575-4EA8-A941-FE67974A923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=物料温度-冷却水温度</t>
        </r>
      </text>
    </comment>
    <comment ref="Q15" authorId="0" shapeId="0" xr:uid="{FAE8B7C7-613B-4037-AECD-629731629B4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=LT-08181，班记录取平均值</t>
        </r>
      </text>
    </comment>
    <comment ref="R15" authorId="0" shapeId="0" xr:uid="{A067FED6-E9FF-4E60-9D34-01B869F3E0E3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=班记录数据取平均值</t>
        </r>
      </text>
    </comment>
    <comment ref="S15" authorId="0" shapeId="0" xr:uid="{E6B9A8A0-B29C-481D-9E39-58BB56A70FB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=日常手写记录表3，白班二次结晶物种二乙腈化分含量的平均值，直接读取</t>
        </r>
      </text>
    </comment>
    <comment ref="T15" authorId="0" shapeId="0" xr:uid="{7914A143-C150-489B-97C6-BC823E9CF47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=日常手写记录表3，白班二次结晶物中水分含量的平均值，直接读取</t>
        </r>
      </text>
    </comment>
    <comment ref="U15" authorId="0" shapeId="0" xr:uid="{53521517-C312-4927-B7DC-B605DE7FD3B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=日常手写记录表3，白班二次结晶物中二乙腈+水含量的平均值，直接读取</t>
        </r>
      </text>
    </comment>
    <comment ref="V15" authorId="0" shapeId="0" xr:uid="{2F1BA8EA-EB82-42FE-A0DC-6D4F446E03C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=TT-07126，班记录平均值</t>
        </r>
      </text>
    </comment>
    <comment ref="W15" authorId="0" shapeId="0" xr:uid="{8A409F96-C870-491E-A807-8DCE952A6737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=TT-07152，班记录取平均值</t>
        </r>
      </text>
    </comment>
    <comment ref="X15" authorId="0" shapeId="0" xr:uid="{20643A90-D66D-4D97-9072-653D740CFEB3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=PT-07145,班记录取平均值</t>
        </r>
      </text>
    </comment>
    <comment ref="Y15" authorId="0" shapeId="0" xr:uid="{ECFD0F1F-E5FB-452C-99F0-F4F45FC157E1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=LT-07171，班记录取平均值</t>
        </r>
      </text>
    </comment>
    <comment ref="Z15" authorId="0" shapeId="0" xr:uid="{0BB7BDB2-BA6F-46F1-B52E-0A549BB4F62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=FT-07111,班累计值</t>
        </r>
      </text>
    </comment>
    <comment ref="AA15" authorId="0" shapeId="0" xr:uid="{B5BD61E1-D18E-4567-97FD-8F9D82E83FC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=FT-07111,班累计值/当班时间</t>
        </r>
      </text>
    </comment>
    <comment ref="AB15" authorId="0" shapeId="0" xr:uid="{02E14CCB-D4A7-4583-8C49-39128BAD96A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=FT-07122,班累计值</t>
        </r>
      </text>
    </comment>
    <comment ref="AC15" authorId="0" shapeId="0" xr:uid="{54CF6F1D-0BD1-4125-8601-D4A7946E1F8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=FT-07122,班累计值/当班时间</t>
        </r>
      </text>
    </comment>
    <comment ref="AD15" authorId="0" shapeId="0" xr:uid="{39575BB5-126C-4408-8AC6-D4FF598B79DB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=FT-07137，班每次出料记录比重取平均值，注意单位转化成g/L</t>
        </r>
      </text>
    </comment>
    <comment ref="AE15" authorId="0" shapeId="0" xr:uid="{2E5B5CE4-6B36-43F1-9D0C-244A833992E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=班FT-07111进料总量/班FT-07122出料总量，取小数点后2位</t>
        </r>
      </text>
    </comment>
    <comment ref="AF15" authorId="0" shapeId="0" xr:uid="{FB595005-8478-48FE-B54F-12379B2318D7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=FT-07126,班累计值</t>
        </r>
      </text>
    </comment>
    <comment ref="AG15" authorId="0" shapeId="0" xr:uid="{15764221-0350-4E4D-8045-9322CC7E83C3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=FT-07126,班累计量/当班时间</t>
        </r>
      </text>
    </comment>
    <comment ref="AH15" authorId="0" shapeId="0" xr:uid="{A8F0C939-52F4-4E1F-B1BC-2D0F6DB1CC1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=班蒸汽总量/(班进料总量-班出料总量)，衡量的是蒸发每吨水消耗的蒸汽，即蒸汽的蒸发效率</t>
        </r>
      </text>
    </comment>
    <comment ref="AI15" authorId="0" shapeId="0" xr:uid="{0433D1E2-4E23-4F75-B1DA-8CDBDC9A8F9A}">
      <text>
        <r>
          <rPr>
            <b/>
            <sz val="9"/>
            <color indexed="81"/>
            <rFont val="宋体"/>
            <family val="3"/>
            <charset val="134"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>工艺设计的理论值，固定不变，人工填写</t>
        </r>
      </text>
    </comment>
    <comment ref="AJ15" authorId="0" shapeId="0" xr:uid="{E570AC40-8ABF-4F88-8BAE-898D148E602B}">
      <text>
        <r>
          <rPr>
            <b/>
            <sz val="9"/>
            <color indexed="81"/>
            <rFont val="宋体"/>
            <family val="3"/>
            <charset val="134"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>与设计的理论值比，低则下箭头，高则上箭头，相等则横线</t>
        </r>
      </text>
    </comment>
    <comment ref="M19" authorId="0" shapeId="0" xr:uid="{6341A4A4-C9A8-4FFB-9482-E8C9644470B4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FT-06524班累计值=FT-07111班累计-FT-06611班累计</t>
        </r>
      </text>
    </comment>
    <comment ref="N19" authorId="0" shapeId="0" xr:uid="{24082E0B-D7F2-4FD3-B100-882C0DAA7665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=日常手写记录表5，活性炭白班消耗汇总，直接读取</t>
        </r>
      </text>
    </comment>
    <comment ref="O19" authorId="0" shapeId="0" xr:uid="{E100C800-4A03-4BF7-819E-5C28E33DCC9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=班活性炭消耗/班脱色液产量</t>
        </r>
      </text>
    </comment>
    <comment ref="P19" authorId="0" shapeId="0" xr:uid="{AFE2748C-CC9E-487E-AF96-14E21F626BE3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=日常手写记录表5，白班脱色后透光率的平均值，直接读取</t>
        </r>
      </text>
    </comment>
    <comment ref="Q19" authorId="0" shapeId="0" xr:uid="{07A4EBA2-9C70-410C-BD86-4F9C7B6D11CB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固定不变</t>
        </r>
      </text>
    </comment>
    <comment ref="D20" authorId="0" shapeId="0" xr:uid="{0046C95A-7167-46AF-9D33-822E199E406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=日常手写记录表5，脱色前二乙腈含量化分数值，直接读取</t>
        </r>
      </text>
    </comment>
    <comment ref="E20" authorId="0" shapeId="0" xr:uid="{EFA25E2A-F1B9-4504-8491-FB991CB5FBFE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=日常手写记录表5，脱色后二乙腈含量化分数值，直接读取</t>
        </r>
      </text>
    </comment>
    <comment ref="F20" authorId="0" shapeId="0" xr:uid="{E2E14B6E-6349-4898-B919-606552A7323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G20" authorId="0" shapeId="0" xr:uid="{E3BA5472-CE1D-4F71-A3E8-0129814A7B8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=日常手写记录表5，脱色前羟基乙腈含量化分数值，直接读取</t>
        </r>
      </text>
    </comment>
    <comment ref="H20" authorId="0" shapeId="0" xr:uid="{727A90C2-C1EE-4DEA-AB67-6367C40AC51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=日常手写记录表5，脱色后羟基乙腈含量化分数值，直接读取</t>
        </r>
      </text>
    </comment>
    <comment ref="I20" authorId="0" shapeId="0" xr:uid="{1C860776-5908-4268-BE36-5B7FBB4F74A3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J20" authorId="0" shapeId="0" xr:uid="{618CC4DC-F368-423B-B6B6-F7FFFC5864A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=日常手写记录表5，脱色前硫铵含量数值，直接读取</t>
        </r>
      </text>
    </comment>
    <comment ref="K20" authorId="0" shapeId="0" xr:uid="{E8D6C1A6-BE18-489A-9746-4B69348384D5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=日常手写记录表5，脱色后硫铵含量数值，直接读取</t>
        </r>
      </text>
    </comment>
    <comment ref="L20" authorId="0" shapeId="0" xr:uid="{1F435D85-A7B2-4962-940E-DFB6A1FDE00E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AA25" authorId="0" shapeId="0" xr:uid="{3361642E-4A50-4FD0-A5AF-65E475E053F1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=日常手写记录表6，夜班羟基乙腈单耗，直接读取</t>
        </r>
      </text>
    </comment>
    <comment ref="AB25" authorId="0" shapeId="0" xr:uid="{9AE9DB07-1E51-404F-A95A-42CFF915A491}">
      <text>
        <r>
          <rPr>
            <b/>
            <sz val="6"/>
            <color indexed="81"/>
            <rFont val="宋体"/>
            <family val="3"/>
            <charset val="134"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>=日常手写记录表6，夜班液氨单耗，直接读取</t>
        </r>
      </text>
    </comment>
    <comment ref="AC25" authorId="0" shapeId="0" xr:uid="{BEF7450E-9E43-4179-AF78-A76EEC45EB2B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=日常手写记录表6，夜班稀硫酸单耗，直接读取</t>
        </r>
      </text>
    </comment>
    <comment ref="AD25" authorId="0" shapeId="0" xr:uid="{54CAFC45-9F88-4399-A7C8-B329B37F9F27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=日常手写记录表6，夜班蒸汽单耗，直接读取</t>
        </r>
      </text>
    </comment>
    <comment ref="AE25" authorId="0" shapeId="0" xr:uid="{985C816E-8CD1-44DC-92AE-E5DAE93AA70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=日常手写记录表6，夜班反应蒸汽单耗，直接读取</t>
        </r>
      </text>
    </comment>
    <comment ref="AF25" authorId="0" shapeId="0" xr:uid="{AD4FDD3B-6C71-47CB-803A-4AEDF9BE212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=日常手写记录表6，夜班低蒸蒸汽单耗，直接读取</t>
        </r>
      </text>
    </comment>
    <comment ref="AG25" authorId="0" shapeId="0" xr:uid="{0CB21BB1-A96D-4558-8CFC-35479F76D1C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=日常手写记录表6，夜班脱盐水单耗，直接读取</t>
        </r>
      </text>
    </comment>
    <comment ref="AH25" authorId="0" shapeId="0" xr:uid="{C91BAFCA-2B17-468A-8050-3B165832548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=日常手写记录表6，夜班电单耗，直接读取</t>
        </r>
      </text>
    </comment>
    <comment ref="AI25" authorId="0" shapeId="0" xr:uid="{C82D2FBB-5629-4900-9EAB-68B84459F86B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=日常手写记录表6，夜班废水单位排放，直接读取</t>
        </r>
      </text>
    </comment>
    <comment ref="AJ25" authorId="0" shapeId="0" xr:uid="{99A89D37-B999-4292-A806-7BA73C3B322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=日常手写记录表6，夜班废液单位排放，直接读取</t>
        </r>
      </text>
    </comment>
    <comment ref="D26" authorId="0" shapeId="0" xr:uid="{3145DC32-552D-4D25-980D-6936774D512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 一次产品产量+二次产品产量</t>
        </r>
      </text>
    </comment>
    <comment ref="E26" authorId="0" shapeId="0" xr:uid="{BCD17A5A-67BE-4A31-BFE3-D4D24652112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 一次产品折百产量+二次产品折百产量</t>
        </r>
      </text>
    </comment>
    <comment ref="F26" authorId="0" shapeId="0" xr:uid="{875090F9-6CDB-4E16-AB6C-B27E41C9B9B1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以当天两班的平均产量为基准，高则上箭头，低则下箭头，上箭头为红色，下箭头为绿色</t>
        </r>
      </text>
    </comment>
    <comment ref="G26" authorId="0" shapeId="0" xr:uid="{5A5F061D-1B5B-46DC-980A-D8A37D6D8F6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=日常手写记录表表3，夜班班产与日平均产量的差额数值，直接读取</t>
        </r>
      </text>
    </comment>
    <comment ref="H26" authorId="0" shapeId="0" xr:uid="{764EE43D-40BA-4305-81D8-7E8E36945FCB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=日常手写记录表3中，夜班合计中水分含量的平均值，直接读取</t>
        </r>
      </text>
    </comment>
    <comment ref="I26" authorId="0" shapeId="0" xr:uid="{985852FD-6893-41D6-82E4-2587400BF47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=日常手写记录表3中，夜班合计中未知物含量的平均值，直接读取</t>
        </r>
      </text>
    </comment>
    <comment ref="J26" authorId="0" shapeId="0" xr:uid="{F5FE364B-77FE-4F6A-B767-75C51A15FCFF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=日常手写记录表3中，夜班一次结晶物中产量班汇总数据，直接读取</t>
        </r>
      </text>
    </comment>
    <comment ref="K26" authorId="0" shapeId="0" xr:uid="{A2287AF5-C748-4203-90DA-AF2082C0853E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=日常手写记录表3中，夜班一次结晶物中折百产量班汇总数据，直接读取</t>
        </r>
      </text>
    </comment>
    <comment ref="L26" authorId="0" shapeId="0" xr:uid="{9DC3E5AA-BDEF-4BBE-AA59-EA6B8F1BB29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=日常手写记录表3中，夜班一次结晶物中二乙腈班平均数据，直接读取</t>
        </r>
      </text>
    </comment>
    <comment ref="M26" authorId="0" shapeId="0" xr:uid="{0BB3E0DD-8EB8-4050-93D7-8F2C28AEBF6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=日常手写记录表3，夜班一次结晶物中第一袋二乙腈含量，直接读取</t>
        </r>
      </text>
    </comment>
    <comment ref="N26" authorId="0" shapeId="0" xr:uid="{4AF0981A-5887-489A-8778-DFF039467A0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=日常手写记录表3，夜班一次结晶物中第二袋二乙腈含量，直接读取</t>
        </r>
      </text>
    </comment>
    <comment ref="O26" authorId="0" shapeId="0" xr:uid="{5AE8F666-CE8E-45E9-BFBA-146D106B8BF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=日常手写记录表3，夜班一次结晶物中平均水分含量，直接读取</t>
        </r>
      </text>
    </comment>
    <comment ref="P26" authorId="0" shapeId="0" xr:uid="{8F2955B9-67B7-4195-BD24-5C1216C643D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=日常手写记录表3，夜班一次结晶物中第一袋含水率，直接读取</t>
        </r>
      </text>
    </comment>
    <comment ref="Q26" authorId="0" shapeId="0" xr:uid="{E2D1AB61-875F-49E3-BF4F-1DBD71FC466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=日常手写记录表3，夜班一次结晶物中第一袋含水率，直接读取</t>
        </r>
      </text>
    </comment>
    <comment ref="R26" authorId="0" shapeId="0" xr:uid="{CFEAB9DB-C5D7-464B-9131-F6E588CCF9B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=日常手写记录表3，夜班一次结晶物中未知物平均含量，直接读取</t>
        </r>
      </text>
    </comment>
    <comment ref="S26" authorId="0" shapeId="0" xr:uid="{6C9B64D2-D5B4-4A7D-8722-1EB2F220207B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=日常手写记录表3，夜班一次结晶物中第一袋未知物含量，直接读取</t>
        </r>
      </text>
    </comment>
    <comment ref="T26" authorId="0" shapeId="0" xr:uid="{14887E6D-0915-4B5A-A799-19CBD934664E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=日常手写记录表3，夜班一次结晶物中第二袋未知物含量，直接读取</t>
        </r>
      </text>
    </comment>
    <comment ref="U26" authorId="0" shapeId="0" xr:uid="{38C52A22-1DE1-4F16-AB40-884C08980754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=日常手写记录表3中，夜班二次结晶物中产量班汇总数据，直接读取</t>
        </r>
      </text>
    </comment>
    <comment ref="V26" authorId="0" shapeId="0" xr:uid="{6FEF67E6-B437-42CF-8639-8E045F38C743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=日常手写记录表3，夜班二次结晶物中折百产量班汇总数据，直接读取</t>
        </r>
      </text>
    </comment>
    <comment ref="W26" authorId="0" shapeId="0" xr:uid="{A44C7DE6-1BD2-44A0-9396-786BF8D8830F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=日常手写记录表3中，夜班二次结晶物中二乙腈班平均数据，直接读取
</t>
        </r>
      </text>
    </comment>
    <comment ref="X26" authorId="0" shapeId="0" xr:uid="{52FC0D55-8084-4C4B-87ED-86363019E0B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=日常手写记录表3，夜班二次结晶物中平均水分含量，直接读取</t>
        </r>
      </text>
    </comment>
    <comment ref="Y26" authorId="0" shapeId="0" xr:uid="{F5BC2E4B-C9CC-470B-94DE-0C8BED450AC1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=日常手写记录表3，夜班二次结晶物中未知物平均含量，直接读取</t>
        </r>
      </text>
    </comment>
    <comment ref="Z26" authorId="0" shapeId="0" xr:uid="{A91E0002-8B23-463B-A77D-F95F4D422745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白班二次产品总量/夜班总产量×100%</t>
        </r>
      </text>
    </comment>
    <comment ref="D30" authorId="0" shapeId="0" xr:uid="{D6637E12-D90C-4DA7-B727-18F08F0175DE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手工填写，设计的摩尔比理论值</t>
        </r>
      </text>
    </comment>
    <comment ref="E30" authorId="0" shapeId="0" xr:uid="{3D30ABE1-160D-463E-9F67-EF979B660C2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 3.3498×夜班气氨质量用量（kg）/夜班羟基乙腈有效成分质量消耗</t>
        </r>
      </text>
    </comment>
    <comment ref="F30" authorId="0" shapeId="0" xr:uid="{55B7B9C7-AD2A-4837-AB73-38EBB30D7AA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以理论摩尔比为基准，正负波动2%内为持平，超则上箭头，低则下箭头</t>
        </r>
      </text>
    </comment>
    <comment ref="I30" authorId="0" shapeId="0" xr:uid="{58ABF2BB-B4E9-4D87-9CED-6686701F348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=FT-05141,班累计值除以当班时间</t>
        </r>
      </text>
    </comment>
    <comment ref="J30" authorId="0" shapeId="0" xr:uid="{2E9A0674-E7BF-4229-8CFD-32A7FB2A1C3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=FT-05142,班累计值除以当班时间</t>
        </r>
      </text>
    </comment>
    <comment ref="K30" authorId="0" shapeId="0" xr:uid="{6210456F-5703-40F3-9441-3AFFD4E82DEE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=TT-05312,班记录平均值</t>
        </r>
      </text>
    </comment>
    <comment ref="L30" authorId="0" shapeId="0" xr:uid="{3B65A7C4-22AF-4AE9-8364-E02F9C6A5E2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=PT-05311,班记录平均值</t>
        </r>
      </text>
    </comment>
    <comment ref="M30" authorId="0" shapeId="0" xr:uid="{A480F2D5-2FF9-4C9B-AF0D-4F453B2FBAC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=TT-05300，班记录平均值</t>
        </r>
      </text>
    </comment>
    <comment ref="N30" authorId="0" shapeId="0" xr:uid="{9E376F96-854B-4EED-8787-FAD8926227DB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=TT-05316，班记录平均值</t>
        </r>
      </text>
    </comment>
    <comment ref="O30" authorId="0" shapeId="0" xr:uid="{5693BE3C-D427-4202-8C7C-CA223F2FD30E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=PT-05317,班记录平均值</t>
        </r>
      </text>
    </comment>
    <comment ref="P30" authorId="0" shapeId="0" xr:uid="{52BFB470-0F22-4FCF-89C6-61658FEEC36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工艺设计的理论值，固定不变</t>
        </r>
      </text>
    </comment>
    <comment ref="U30" authorId="0" shapeId="0" xr:uid="{29C14321-BCAB-48D6-ADAA-92DC2B76DFF1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=日常手写记录表2，夜班反应液比重的平均值，直接读取</t>
        </r>
      </text>
    </comment>
    <comment ref="V30" authorId="0" shapeId="0" xr:uid="{1C94DC57-3F03-4178-97EF-261AF8F0881B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工艺设计值，固定不变</t>
        </r>
      </text>
    </comment>
    <comment ref="AA30" authorId="0" shapeId="0" xr:uid="{0E766C4A-BC83-4584-8C27-E5D0A283648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工艺设计理论值，固定不变</t>
        </r>
      </text>
    </comment>
    <comment ref="AB30" authorId="0" shapeId="0" xr:uid="{369B0B8B-7A70-467B-BAAA-DA55208C2269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=（FT-05411,班累计值除以当班时间）×稀硫酸比重</t>
        </r>
      </text>
    </comment>
    <comment ref="AC30" authorId="0" shapeId="0" xr:uid="{AA1BE979-E07F-4310-BC32-E58CDD36D6C1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=稀硫酸实际耗量-稀硫酸设计耗量</t>
        </r>
      </text>
    </comment>
    <comment ref="AD30" authorId="0" shapeId="0" xr:uid="{1A57420B-BB31-4827-8090-D05B7D407ADF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以设计耗量为基准，高则上箭头，低则下箭头，相等则横线</t>
        </r>
      </text>
    </comment>
    <comment ref="G31" authorId="0" shapeId="0" xr:uid="{49780BE3-8F1E-47B0-8F8C-84D6EB1A8B4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=FT-05213,班累计值除以当班时间</t>
        </r>
      </text>
    </comment>
    <comment ref="H31" authorId="0" shapeId="0" xr:uid="{8EA907D8-881B-43C2-B7EA-24FDB487F3F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=AT-04212,班记录数据的平均值</t>
        </r>
      </text>
    </comment>
    <comment ref="R31" authorId="0" shapeId="0" xr:uid="{C8C2634C-6838-4F4E-B3CC-C075364512C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=日常手写记录表2，夜班二乙腈含量化分的平均值，直接读取</t>
        </r>
      </text>
    </comment>
    <comment ref="S31" authorId="0" shapeId="0" xr:uid="{5FF20420-F49D-440D-A05F-7E652A62111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=实际测量值-设计含量</t>
        </r>
      </text>
    </comment>
    <comment ref="T31" authorId="0" shapeId="0" xr:uid="{5826F62A-5C37-4119-846D-92C76B8A0039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以设计的化分数据为基准，高则上箭头，低则下箭头，相等则横线</t>
        </r>
      </text>
    </comment>
    <comment ref="X31" authorId="0" shapeId="0" xr:uid="{2F8AC1FC-59C6-492A-A6A6-CE7100C67023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=日常手写记录表2，夜班羟基乙腈残余化分的平均值，直接读取</t>
        </r>
      </text>
    </comment>
    <comment ref="Y31" authorId="0" shapeId="0" xr:uid="{ADCA2E35-E0D1-4D8D-99BF-38EA6E3A49D6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=化分的实测值-设计的化分值</t>
        </r>
      </text>
    </comment>
    <comment ref="Z31" authorId="0" shapeId="0" xr:uid="{DD3F5109-1135-4B0D-953C-D8FF4E61F24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以设计的值为基准，高则上箭头，低则下箭头，相等则横线</t>
        </r>
      </text>
    </comment>
    <comment ref="AE31" authorId="0" shapeId="0" xr:uid="{A549E61B-1327-4746-A7D2-B510CDC6193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=PT-05325，班记录取平均值</t>
        </r>
      </text>
    </comment>
    <comment ref="AF31" authorId="0" shapeId="0" xr:uid="{08AAD7E6-FE8A-419A-A056-D71FAE58BA8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=TT-05325，班记录取平均值</t>
        </r>
      </text>
    </comment>
    <comment ref="AG31" authorId="0" shapeId="0" xr:uid="{3864444D-B56E-4E85-ABC5-2C38CAC85FE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=LT-05324，班记录取平均值</t>
        </r>
      </text>
    </comment>
    <comment ref="AH31" authorId="0" shapeId="0" xr:uid="{494076AF-4A2C-4234-9C6C-73CA1DEE557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=日常手写记录表1，夜班COD平均值，直接读取</t>
        </r>
      </text>
    </comment>
    <comment ref="AI31" authorId="0" shapeId="0" xr:uid="{1DAF5AB4-1A76-4627-9FE4-EDF8800784A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=日常手写记录表1，夜班总腈平均值，直接读取</t>
        </r>
      </text>
    </comment>
    <comment ref="AJ31" authorId="0" shapeId="0" xr:uid="{4334CDFF-79AC-487B-996F-EC772331F73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=日常手写记录表1，夜班氨氮平均值，直接读取</t>
        </r>
      </text>
    </comment>
    <comment ref="D36" authorId="0" shapeId="0" xr:uid="{0BBB4852-3BD4-4569-8C98-E22243EF3F6B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=日常手写记录表1，夜班甲醛平均值，直接读取</t>
        </r>
      </text>
    </comment>
    <comment ref="E36" authorId="0" shapeId="0" xr:uid="{76B658BE-A5B0-4172-BE44-8A8A9A40742F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=日常手写记录表1，夜班pH平均值，直接读取</t>
        </r>
      </text>
    </comment>
    <comment ref="F36" authorId="0" shapeId="0" xr:uid="{AFA2B8BB-E576-4868-ABE2-2854A0B1DD0B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=TT-06125或TT-06135班记录的平均值</t>
        </r>
      </text>
    </comment>
    <comment ref="G36" authorId="0" shapeId="0" xr:uid="{1511FDEE-A4C6-4916-A821-F54B93EEE58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=TT-06171，班记录平均值</t>
        </r>
      </text>
    </comment>
    <comment ref="H36" authorId="0" shapeId="0" xr:uid="{717D8760-72E3-4066-AFFB-7E7ADD339764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=物料温度-冷却水温度</t>
        </r>
      </text>
    </comment>
    <comment ref="I36" authorId="0" shapeId="0" xr:uid="{98943282-271F-4A85-8196-6BD4FD985C9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=班记录取平均值</t>
        </r>
      </text>
    </comment>
    <comment ref="J36" authorId="0" shapeId="0" xr:uid="{41C8B1BD-DD9C-4E07-BCD3-DEF085B21BBE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=班记录取平均值</t>
        </r>
      </text>
    </comment>
    <comment ref="K36" authorId="0" shapeId="0" xr:uid="{C5DC0AD7-6154-4C5D-A054-85AB58AD7DA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=日常手写记录表3，夜班一次结晶物中二乙腈化分含量的平均值，直接读取</t>
        </r>
      </text>
    </comment>
    <comment ref="L36" authorId="0" shapeId="0" xr:uid="{1BF40DA0-60FA-4512-ABDE-41113782B21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=日常手写记录表3，夜班一次结晶物中水分含量的平均值，直接读取</t>
        </r>
      </text>
    </comment>
    <comment ref="M36" authorId="0" shapeId="0" xr:uid="{87DF4C49-1184-46B2-8C23-397B9179985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=日常手写记录表3，夜班一次结晶物中二乙腈+水含量的平均值，直接读取</t>
        </r>
      </text>
    </comment>
    <comment ref="N36" authorId="0" shapeId="0" xr:uid="{B80C8C10-C922-4B49-9733-B34462C97704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=TT-08125或TT-08135班记录数据取平均值</t>
        </r>
      </text>
    </comment>
    <comment ref="O36" authorId="0" shapeId="0" xr:uid="{2123DEE6-CFFB-4279-A34C-852BE51A2ECF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=TT-08171，班记录取平均值</t>
        </r>
      </text>
    </comment>
    <comment ref="P36" authorId="0" shapeId="0" xr:uid="{CA03B398-AF40-4E38-8540-76830F2A3C2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=物料温度-冷却水温度</t>
        </r>
      </text>
    </comment>
    <comment ref="Q36" authorId="0" shapeId="0" xr:uid="{4BB1592E-0414-4CCE-8CAD-ED854F141F6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=LT-08181，班记录取平均值</t>
        </r>
      </text>
    </comment>
    <comment ref="R36" authorId="0" shapeId="0" xr:uid="{3CE41798-FD70-47D8-A138-7059EA9AD793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=班记录数据取平均值</t>
        </r>
      </text>
    </comment>
    <comment ref="S36" authorId="0" shapeId="0" xr:uid="{B5661F9A-F534-497A-8D99-A1BB7F42F27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=日常手写记录表3，夜班二次结晶物种二乙腈化分含量的平均值，直接读取</t>
        </r>
      </text>
    </comment>
    <comment ref="T36" authorId="0" shapeId="0" xr:uid="{B458A843-6953-42A1-A575-48B3327BCB31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=日常手写记录表3，夜班二次结晶物中水分含量的平均值，直接读取</t>
        </r>
      </text>
    </comment>
    <comment ref="U36" authorId="0" shapeId="0" xr:uid="{47D701C5-F045-410B-8FE2-EBC0675C2E2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=日常手写记录表3，夜班二次结晶物中二乙腈+水含量的平均值，直接读取</t>
        </r>
      </text>
    </comment>
    <comment ref="V36" authorId="0" shapeId="0" xr:uid="{989CFC3D-5F3D-43F7-9BB7-85BBBD897759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=TT-07126，班记录平均值</t>
        </r>
      </text>
    </comment>
    <comment ref="W36" authorId="0" shapeId="0" xr:uid="{9E570FF7-B3D2-442D-B4D9-51624B5F3FB5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=TT-07152，班记录取平均值</t>
        </r>
      </text>
    </comment>
    <comment ref="X36" authorId="0" shapeId="0" xr:uid="{3B88181C-AA83-4DB1-91E7-039EAFB6E9CC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=PT-07145,班记录取平均值</t>
        </r>
      </text>
    </comment>
    <comment ref="Y36" authorId="0" shapeId="0" xr:uid="{78E0E034-2E36-4A9A-B9FE-D7498AE0729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=LT-07171，班记录取平均值</t>
        </r>
      </text>
    </comment>
    <comment ref="Z36" authorId="0" shapeId="0" xr:uid="{2B300839-BEE2-4682-84A2-03B87E020EF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=FT-07111,班累计值</t>
        </r>
      </text>
    </comment>
    <comment ref="AA36" authorId="0" shapeId="0" xr:uid="{2CC8D814-68F3-46EB-9401-6EA16D394CC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=FT-07111,班累计值/当班时间</t>
        </r>
      </text>
    </comment>
    <comment ref="AB36" authorId="0" shapeId="0" xr:uid="{F652C5DB-5B3E-4810-B0E5-CF8947EE364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=FT-07122,班累计值</t>
        </r>
      </text>
    </comment>
    <comment ref="AC36" authorId="0" shapeId="0" xr:uid="{A61AF047-B725-4D01-863B-3609200AEF8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=FT-07122,班累计值/当班时间</t>
        </r>
      </text>
    </comment>
    <comment ref="AD36" authorId="0" shapeId="0" xr:uid="{EA42CED7-05BC-4083-BA4B-184708D3376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=FT-07137，班每次出料记录比重取平均值，注意单位转化成g/L</t>
        </r>
      </text>
    </comment>
    <comment ref="AE36" authorId="0" shapeId="0" xr:uid="{D790224A-F9B6-426C-8D07-8BB9FE05434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=班FT-07111进料总量/班FT-07122出料总量，取小数点后2位</t>
        </r>
      </text>
    </comment>
    <comment ref="AF36" authorId="0" shapeId="0" xr:uid="{794CA7EE-5EE7-4D04-A4AC-BB42CB96A454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=FT-07126,班累计值</t>
        </r>
      </text>
    </comment>
    <comment ref="AG36" authorId="0" shapeId="0" xr:uid="{A58D0B75-1C5B-4D73-AD10-297EFE0CB8C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=FT-07126,班累计量/当班时间</t>
        </r>
      </text>
    </comment>
    <comment ref="AH36" authorId="0" shapeId="0" xr:uid="{8E30877C-FA4D-4123-9E8A-9A1BB2128C5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=班蒸汽总量/(班进料总量-班出料总量)，衡量的是蒸发每吨水消耗的蒸汽，即蒸汽的蒸发效率</t>
        </r>
      </text>
    </comment>
    <comment ref="AI36" authorId="0" shapeId="0" xr:uid="{4117B43D-E606-438A-84FC-2614F9FC3C4E}">
      <text>
        <r>
          <rPr>
            <b/>
            <sz val="9"/>
            <color indexed="81"/>
            <rFont val="宋体"/>
            <family val="3"/>
            <charset val="134"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>工艺设计的理论值，固定不变，人工填写</t>
        </r>
      </text>
    </comment>
    <comment ref="AJ36" authorId="0" shapeId="0" xr:uid="{8C360846-5B29-4B36-BBCD-B95401CE2DFF}">
      <text>
        <r>
          <rPr>
            <b/>
            <sz val="9"/>
            <color indexed="81"/>
            <rFont val="宋体"/>
            <family val="3"/>
            <charset val="134"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>与设计的理论值比，低则下箭头，高则上箭头，相等则横线</t>
        </r>
      </text>
    </comment>
    <comment ref="M40" authorId="0" shapeId="0" xr:uid="{A18F1506-A735-4564-8641-BBBA9B433A8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FT-06524班累计值=FT-07111班累计-FT-06611班累计</t>
        </r>
      </text>
    </comment>
    <comment ref="N40" authorId="0" shapeId="0" xr:uid="{E560E668-72AA-4CA7-A26F-1613561A5528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=日常手写记录表5，活性炭白班消耗汇总，直接读取</t>
        </r>
      </text>
    </comment>
    <comment ref="O40" authorId="0" shapeId="0" xr:uid="{0FF58A1B-D959-4F6A-AC19-7BECBBC61F9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=班活性炭消耗/班脱色液产量</t>
        </r>
      </text>
    </comment>
    <comment ref="P40" authorId="0" shapeId="0" xr:uid="{261D853C-FDF6-40EF-A48C-A31ED47C767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=日常手写记录表5，白班脱色后透光率的平均值，直接读取</t>
        </r>
      </text>
    </comment>
    <comment ref="Q40" authorId="0" shapeId="0" xr:uid="{487D9D56-FF1C-4E9C-8130-AEA105716A27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固定不变</t>
        </r>
      </text>
    </comment>
    <comment ref="D41" authorId="0" shapeId="0" xr:uid="{45A43BCC-6B62-4921-810B-3E07FD51F76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=日常手写记录表5，脱色前二乙腈含量化分数值，直接读取</t>
        </r>
      </text>
    </comment>
    <comment ref="E41" authorId="0" shapeId="0" xr:uid="{5AF61D7A-9A9C-4CE8-9196-8310A1FDB89B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=日常手写记录表5，脱色后二乙腈含量化分数值，直接读取</t>
        </r>
      </text>
    </comment>
    <comment ref="F41" authorId="0" shapeId="0" xr:uid="{E724771E-F37A-41AF-AD09-A0CFA667F34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G41" authorId="0" shapeId="0" xr:uid="{1A24368F-3CD4-4C69-AB91-2E1969540A07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=日常手写记录表5，脱色前羟基乙腈含量化分数值，直接读取</t>
        </r>
      </text>
    </comment>
    <comment ref="H41" authorId="0" shapeId="0" xr:uid="{0782F920-D300-4904-BD54-46978B5799E8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=日常手写记录表5，脱色后羟基乙腈含量化分数值，直接读取</t>
        </r>
      </text>
    </comment>
    <comment ref="I41" authorId="0" shapeId="0" xr:uid="{FE041FCE-CC74-4FA3-AB2D-AFBEC65E4306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J41" authorId="0" shapeId="0" xr:uid="{AB964FF0-351B-431D-B847-D1F76CAAC6EE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=日常手写记录表5，脱色前硫铵含量数值，直接读取</t>
        </r>
      </text>
    </comment>
    <comment ref="K41" authorId="0" shapeId="0" xr:uid="{F91496C1-0D08-475B-93C3-FEE2904CD5FE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=日常手写记录表5，脱色后硫铵含量数值，直接读取</t>
        </r>
      </text>
    </comment>
    <comment ref="L41" authorId="0" shapeId="0" xr:uid="{AAC4E4E1-EA1C-41E3-A53E-34BF18EFB03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</commentList>
</comments>
</file>

<file path=xl/sharedStrings.xml><?xml version="1.0" encoding="utf-8"?>
<sst xmlns="http://schemas.openxmlformats.org/spreadsheetml/2006/main" count="727" uniqueCount="142">
  <si>
    <t>总产量</t>
    <phoneticPr fontId="1" type="noConversion"/>
  </si>
  <si>
    <t>kg</t>
    <phoneticPr fontId="1" type="noConversion"/>
  </si>
  <si>
    <t>%</t>
    <phoneticPr fontId="1" type="noConversion"/>
  </si>
  <si>
    <t>产量</t>
    <phoneticPr fontId="1" type="noConversion"/>
  </si>
  <si>
    <t>g/L</t>
    <phoneticPr fontId="1" type="noConversion"/>
  </si>
  <si>
    <t>m3/h</t>
    <phoneticPr fontId="1" type="noConversion"/>
  </si>
  <si>
    <t>m3</t>
    <phoneticPr fontId="1" type="noConversion"/>
  </si>
  <si>
    <t>/</t>
    <phoneticPr fontId="1" type="noConversion"/>
  </si>
  <si>
    <t>理论
摩尔比</t>
    <phoneticPr fontId="1" type="noConversion"/>
  </si>
  <si>
    <t>摩尔比情况</t>
    <phoneticPr fontId="1" type="noConversion"/>
  </si>
  <si>
    <t>班
次</t>
    <phoneticPr fontId="1" type="noConversion"/>
  </si>
  <si>
    <t>日
期</t>
    <phoneticPr fontId="1" type="noConversion"/>
  </si>
  <si>
    <t>羟基流量</t>
    <phoneticPr fontId="1" type="noConversion"/>
  </si>
  <si>
    <t>流量</t>
    <phoneticPr fontId="1" type="noConversion"/>
  </si>
  <si>
    <t>浓度</t>
    <phoneticPr fontId="1" type="noConversion"/>
  </si>
  <si>
    <t>kg/h</t>
    <phoneticPr fontId="1" type="noConversion"/>
  </si>
  <si>
    <t>℃</t>
    <phoneticPr fontId="1" type="noConversion"/>
  </si>
  <si>
    <t>Mpa</t>
    <phoneticPr fontId="1" type="noConversion"/>
  </si>
  <si>
    <t>氨化反应过程数据</t>
    <phoneticPr fontId="1" type="noConversion"/>
  </si>
  <si>
    <t>COD</t>
    <phoneticPr fontId="1" type="noConversion"/>
  </si>
  <si>
    <t>mg/L</t>
    <phoneticPr fontId="1" type="noConversion"/>
  </si>
  <si>
    <t>氨氮</t>
    <phoneticPr fontId="1" type="noConversion"/>
  </si>
  <si>
    <t>甲醛</t>
    <phoneticPr fontId="1" type="noConversion"/>
  </si>
  <si>
    <t>pH</t>
    <phoneticPr fontId="1" type="noConversion"/>
  </si>
  <si>
    <t>闪蒸过程参数</t>
    <phoneticPr fontId="1" type="noConversion"/>
  </si>
  <si>
    <t>压力</t>
    <phoneticPr fontId="1" type="noConversion"/>
  </si>
  <si>
    <t>温度</t>
    <phoneticPr fontId="1" type="noConversion"/>
  </si>
  <si>
    <t>液位</t>
    <phoneticPr fontId="1" type="noConversion"/>
  </si>
  <si>
    <t>总腈</t>
    <phoneticPr fontId="1" type="noConversion"/>
  </si>
  <si>
    <t>二乙腈
折干含量</t>
    <phoneticPr fontId="1" type="noConversion"/>
  </si>
  <si>
    <t>水分</t>
    <phoneticPr fontId="1" type="noConversion"/>
  </si>
  <si>
    <t>一次结晶过程数据</t>
    <phoneticPr fontId="1" type="noConversion"/>
  </si>
  <si>
    <t>低蒸过程数据</t>
    <phoneticPr fontId="1" type="noConversion"/>
  </si>
  <si>
    <t>浓缩比</t>
    <phoneticPr fontId="1" type="noConversion"/>
  </si>
  <si>
    <t>t/h</t>
    <phoneticPr fontId="1" type="noConversion"/>
  </si>
  <si>
    <t>t</t>
    <phoneticPr fontId="1" type="noConversion"/>
  </si>
  <si>
    <t>蒸汽
单耗</t>
    <phoneticPr fontId="1" type="noConversion"/>
  </si>
  <si>
    <t>m3/t</t>
    <phoneticPr fontId="1" type="noConversion"/>
  </si>
  <si>
    <t>二次结晶过程数据</t>
    <phoneticPr fontId="1" type="noConversion"/>
  </si>
  <si>
    <t>冷却水
温度</t>
    <phoneticPr fontId="1" type="noConversion"/>
  </si>
  <si>
    <t>差额</t>
    <phoneticPr fontId="1" type="noConversion"/>
  </si>
  <si>
    <t>二次产品情况</t>
    <phoneticPr fontId="1" type="noConversion"/>
  </si>
  <si>
    <t>产量/质量情况汇总</t>
    <phoneticPr fontId="1" type="noConversion"/>
  </si>
  <si>
    <t>t/t</t>
    <phoneticPr fontId="1" type="noConversion"/>
  </si>
  <si>
    <t>色谱</t>
    <phoneticPr fontId="1" type="noConversion"/>
  </si>
  <si>
    <t>化分</t>
    <phoneticPr fontId="1" type="noConversion"/>
  </si>
  <si>
    <t>差值</t>
    <phoneticPr fontId="1" type="noConversion"/>
  </si>
  <si>
    <t>二乙腈设计含量</t>
    <phoneticPr fontId="1" type="noConversion"/>
  </si>
  <si>
    <t>二乙腈实测含量</t>
    <phoneticPr fontId="1" type="noConversion"/>
  </si>
  <si>
    <t>羟基乙腈设计含量</t>
    <phoneticPr fontId="1" type="noConversion"/>
  </si>
  <si>
    <t>羟基乙腈实测含量</t>
    <phoneticPr fontId="1" type="noConversion"/>
  </si>
  <si>
    <t>反应液
比重</t>
    <phoneticPr fontId="1" type="noConversion"/>
  </si>
  <si>
    <t>1.035</t>
    <phoneticPr fontId="1" type="noConversion"/>
  </si>
  <si>
    <t>气氨
流量</t>
    <phoneticPr fontId="1" type="noConversion"/>
  </si>
  <si>
    <t>闪蒸系统</t>
    <phoneticPr fontId="1" type="noConversion"/>
  </si>
  <si>
    <t>一次结晶系统</t>
    <phoneticPr fontId="1" type="noConversion"/>
  </si>
  <si>
    <t>二次结晶系统</t>
    <phoneticPr fontId="1" type="noConversion"/>
  </si>
  <si>
    <t>低蒸系统</t>
    <phoneticPr fontId="1" type="noConversion"/>
  </si>
  <si>
    <t>脱色前后
差值</t>
    <phoneticPr fontId="1" type="noConversion"/>
  </si>
  <si>
    <t>脱色前
含量</t>
    <phoneticPr fontId="1" type="noConversion"/>
  </si>
  <si>
    <t>脱色后
含量</t>
    <phoneticPr fontId="1" type="noConversion"/>
  </si>
  <si>
    <t>脱色液
产量</t>
    <phoneticPr fontId="1" type="noConversion"/>
  </si>
  <si>
    <t>活性炭
消耗</t>
    <phoneticPr fontId="1" type="noConversion"/>
  </si>
  <si>
    <t>活性炭
单耗</t>
    <phoneticPr fontId="1" type="noConversion"/>
  </si>
  <si>
    <t>kg/t</t>
    <phoneticPr fontId="1" type="noConversion"/>
  </si>
  <si>
    <t>脱色后
透光率</t>
    <phoneticPr fontId="1" type="noConversion"/>
  </si>
  <si>
    <t>脱色系统</t>
    <phoneticPr fontId="1" type="noConversion"/>
  </si>
  <si>
    <t>白
班</t>
    <phoneticPr fontId="1" type="noConversion"/>
  </si>
  <si>
    <t>2025
1201</t>
    <phoneticPr fontId="1" type="noConversion"/>
  </si>
  <si>
    <t>物料
温度</t>
    <phoneticPr fontId="1" type="noConversion"/>
  </si>
  <si>
    <t>加热
温度</t>
    <phoneticPr fontId="1" type="noConversion"/>
  </si>
  <si>
    <t>折百</t>
    <phoneticPr fontId="1" type="noConversion"/>
  </si>
  <si>
    <t>产量
评价</t>
    <phoneticPr fontId="1" type="noConversion"/>
  </si>
  <si>
    <t>平均
含水率</t>
    <phoneticPr fontId="1" type="noConversion"/>
  </si>
  <si>
    <t>第一袋
含水率</t>
    <phoneticPr fontId="1" type="noConversion"/>
  </si>
  <si>
    <t>第二袋
含水率</t>
    <phoneticPr fontId="1" type="noConversion"/>
  </si>
  <si>
    <t>未知物
平均含量</t>
    <phoneticPr fontId="1" type="noConversion"/>
  </si>
  <si>
    <t>第一袋
未知物含量</t>
    <phoneticPr fontId="1" type="noConversion"/>
  </si>
  <si>
    <t>第二袋
未知物含量</t>
    <phoneticPr fontId="1" type="noConversion"/>
  </si>
  <si>
    <t>一次产品（一次分离）情况</t>
    <phoneticPr fontId="1" type="noConversion"/>
  </si>
  <si>
    <t>二次产品
占比率</t>
    <phoneticPr fontId="1" type="noConversion"/>
  </si>
  <si>
    <t>羟基乙腈单耗</t>
    <phoneticPr fontId="1" type="noConversion"/>
  </si>
  <si>
    <t>液氨
单耗</t>
    <phoneticPr fontId="1" type="noConversion"/>
  </si>
  <si>
    <t>稀硫酸
单耗</t>
    <phoneticPr fontId="1" type="noConversion"/>
  </si>
  <si>
    <t>m3/t</t>
  </si>
  <si>
    <t>反应蒸汽
单耗</t>
    <phoneticPr fontId="1" type="noConversion"/>
  </si>
  <si>
    <t>低蒸蒸汽
单耗</t>
    <phoneticPr fontId="1" type="noConversion"/>
  </si>
  <si>
    <t>脱盐水
单耗</t>
    <phoneticPr fontId="1" type="noConversion"/>
  </si>
  <si>
    <t>电
单耗</t>
    <phoneticPr fontId="1" type="noConversion"/>
  </si>
  <si>
    <t>kwh/t</t>
    <phoneticPr fontId="1" type="noConversion"/>
  </si>
  <si>
    <t>废水
单位排放</t>
    <phoneticPr fontId="1" type="noConversion"/>
  </si>
  <si>
    <t>废液
单位排放</t>
    <phoneticPr fontId="1" type="noConversion"/>
  </si>
  <si>
    <t>原料消耗＆废液排放</t>
    <phoneticPr fontId="1" type="noConversion"/>
  </si>
  <si>
    <t>实际
摩尔比</t>
    <phoneticPr fontId="1" type="noConversion"/>
  </si>
  <si>
    <t>摩尔比
评价</t>
    <phoneticPr fontId="1" type="noConversion"/>
  </si>
  <si>
    <t>0.515</t>
    <phoneticPr fontId="1" type="noConversion"/>
  </si>
  <si>
    <t>kg/h</t>
  </si>
  <si>
    <t>配比蒸汽
流量</t>
    <phoneticPr fontId="1" type="noConversion"/>
  </si>
  <si>
    <t>反应器
入口温度</t>
    <phoneticPr fontId="1" type="noConversion"/>
  </si>
  <si>
    <t>反应器
入口压力</t>
    <phoneticPr fontId="1" type="noConversion"/>
  </si>
  <si>
    <t>反应器
热点温度</t>
    <phoneticPr fontId="1" type="noConversion"/>
  </si>
  <si>
    <t>反应器
出口温度</t>
    <phoneticPr fontId="1" type="noConversion"/>
  </si>
  <si>
    <t>反应器
出口压力</t>
    <phoneticPr fontId="1" type="noConversion"/>
  </si>
  <si>
    <t>33.1</t>
    <phoneticPr fontId="1" type="noConversion"/>
  </si>
  <si>
    <t>含量评价</t>
    <phoneticPr fontId="1" type="noConversion"/>
  </si>
  <si>
    <t>反应液分析数据</t>
    <phoneticPr fontId="1" type="noConversion"/>
  </si>
  <si>
    <t>稀硫酸
设计耗量</t>
    <phoneticPr fontId="1" type="noConversion"/>
  </si>
  <si>
    <t>稀硫酸
实际耗量</t>
    <phoneticPr fontId="1" type="noConversion"/>
  </si>
  <si>
    <r>
      <rPr>
        <sz val="8"/>
        <rFont val="宋体"/>
        <family val="1"/>
        <charset val="134"/>
      </rPr>
      <t>稀硫酸</t>
    </r>
    <r>
      <rPr>
        <sz val="8"/>
        <rFont val="Segoe UI Symbol"/>
        <family val="1"/>
      </rPr>
      <t xml:space="preserve">
</t>
    </r>
    <r>
      <rPr>
        <sz val="8"/>
        <rFont val="宋体"/>
        <family val="1"/>
        <charset val="134"/>
      </rPr>
      <t>差值</t>
    </r>
    <phoneticPr fontId="1" type="noConversion"/>
  </si>
  <si>
    <t>稀硫酸
消耗
评价</t>
    <phoneticPr fontId="1" type="noConversion"/>
  </si>
  <si>
    <t>废水分析数据</t>
    <phoneticPr fontId="1" type="noConversion"/>
  </si>
  <si>
    <t>17</t>
    <phoneticPr fontId="1" type="noConversion"/>
  </si>
  <si>
    <t>一次结晶物分析数据</t>
    <phoneticPr fontId="1" type="noConversion"/>
  </si>
  <si>
    <t>降温
温差</t>
    <phoneticPr fontId="1" type="noConversion"/>
  </si>
  <si>
    <t>综合
含量</t>
    <phoneticPr fontId="1" type="noConversion"/>
  </si>
  <si>
    <t>87.8</t>
    <phoneticPr fontId="1" type="noConversion"/>
  </si>
  <si>
    <t>9.65</t>
    <phoneticPr fontId="1" type="noConversion"/>
  </si>
  <si>
    <t>二次结晶物分析数据</t>
    <phoneticPr fontId="1" type="noConversion"/>
  </si>
  <si>
    <t>低蒸
压力</t>
    <phoneticPr fontId="1" type="noConversion"/>
  </si>
  <si>
    <t>物料
液位</t>
    <phoneticPr fontId="1" type="noConversion"/>
  </si>
  <si>
    <t>进料
总量</t>
    <phoneticPr fontId="1" type="noConversion"/>
  </si>
  <si>
    <t>出料
总量</t>
    <phoneticPr fontId="1" type="noConversion"/>
  </si>
  <si>
    <t>进料
平均流量</t>
    <phoneticPr fontId="1" type="noConversion"/>
  </si>
  <si>
    <t>出料
平均流量</t>
    <phoneticPr fontId="1" type="noConversion"/>
  </si>
  <si>
    <t>出料
比重</t>
    <phoneticPr fontId="1" type="noConversion"/>
  </si>
  <si>
    <t>/</t>
  </si>
  <si>
    <t>蒸汽
消耗</t>
    <phoneticPr fontId="1" type="noConversion"/>
  </si>
  <si>
    <t>蒸汽
平均流量</t>
    <phoneticPr fontId="1" type="noConversion"/>
  </si>
  <si>
    <t>蒸汽单耗
评价</t>
    <phoneticPr fontId="1" type="noConversion"/>
  </si>
  <si>
    <t>蒸汽单耗
理论值</t>
    <phoneticPr fontId="1" type="noConversion"/>
  </si>
  <si>
    <t>低蒸数据分析</t>
    <phoneticPr fontId="1" type="noConversion"/>
  </si>
  <si>
    <t>脱色前后二乙腈变化</t>
    <phoneticPr fontId="1" type="noConversion"/>
  </si>
  <si>
    <t>脱色前后羟基乙腈变化</t>
    <phoneticPr fontId="1" type="noConversion"/>
  </si>
  <si>
    <t>脱色前后硫铵含量变化</t>
    <phoneticPr fontId="1" type="noConversion"/>
  </si>
  <si>
    <t>活性炭
型号</t>
    <phoneticPr fontId="1" type="noConversion"/>
  </si>
  <si>
    <r>
      <rPr>
        <sz val="8"/>
        <rFont val="宋体"/>
        <family val="1"/>
        <charset val="134"/>
      </rPr>
      <t>产量</t>
    </r>
    <r>
      <rPr>
        <sz val="8"/>
        <rFont val="Times New Roman"/>
        <family val="1"/>
      </rPr>
      <t>/</t>
    </r>
    <r>
      <rPr>
        <sz val="8"/>
        <rFont val="宋体"/>
        <family val="1"/>
        <charset val="134"/>
      </rPr>
      <t>质量情况汇总</t>
    </r>
    <phoneticPr fontId="1" type="noConversion"/>
  </si>
  <si>
    <t>二乙腈
平均含量</t>
    <phoneticPr fontId="1" type="noConversion"/>
  </si>
  <si>
    <t>第一袋
二乙腈
含量</t>
    <phoneticPr fontId="1" type="noConversion"/>
  </si>
  <si>
    <t>0.8</t>
    <phoneticPr fontId="1" type="noConversion"/>
  </si>
  <si>
    <t>夜
班</t>
    <phoneticPr fontId="1" type="noConversion"/>
  </si>
  <si>
    <t>文件编号：                                                                                                班组＆日---生产过程运行质量考评表</t>
    <phoneticPr fontId="1" type="noConversion"/>
  </si>
  <si>
    <t>折百
产量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</si>
</sst>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_ ;[Red]\-0.0000\ "/>
    <numFmt numFmtId="177" formatCode="0.00;[Red]0.00"/>
    <numFmt numFmtId="178" formatCode="0.00_ "/>
    <numFmt numFmtId="179" formatCode="0.00_ ;[Red]\-0.00\ "/>
  </numFmts>
  <fonts count="1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Times New Roman"/>
      <family val="1"/>
    </font>
    <font>
      <sz val="8"/>
      <name val="Times New Roman"/>
      <family val="1"/>
    </font>
    <font>
      <sz val="8"/>
      <name val="Times New Roman"/>
      <family val="1"/>
      <charset val="134"/>
    </font>
    <font>
      <sz val="8"/>
      <name val="宋体"/>
      <family val="1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8"/>
      <name val="Segoe UI Symbol"/>
      <family val="1"/>
    </font>
    <font>
      <sz val="8"/>
      <color rgb="FFFF0000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8"/>
      <color rgb="FFFF0000"/>
      <name val="Times New Roman"/>
      <family val="1"/>
      <charset val="134"/>
    </font>
    <font>
      <sz val="8"/>
      <color rgb="FFFF0000"/>
      <name val="Times New Roman"/>
      <family val="1"/>
    </font>
    <font>
      <sz val="9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8"/>
      <name val="Segoe UI Symbol"/>
      <family val="1"/>
      <charset val="134"/>
    </font>
    <font>
      <sz val="8"/>
      <color rgb="FFFF0000"/>
      <name val="宋体"/>
      <family val="1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2" fontId="5" fillId="0" borderId="10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5" fillId="0" borderId="14" xfId="0" applyNumberFormat="1" applyFont="1" applyBorder="1" applyAlignment="1">
      <alignment horizontal="center" vertical="center" wrapText="1"/>
    </xf>
    <xf numFmtId="2" fontId="3" fillId="0" borderId="10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2" fontId="8" fillId="0" borderId="14" xfId="0" applyNumberFormat="1" applyFont="1" applyBorder="1" applyAlignment="1">
      <alignment horizontal="center" vertical="center" wrapText="1"/>
    </xf>
    <xf numFmtId="176" fontId="12" fillId="0" borderId="11" xfId="0" applyNumberFormat="1" applyFont="1" applyBorder="1" applyAlignment="1">
      <alignment horizontal="center" vertical="center" wrapText="1"/>
    </xf>
    <xf numFmtId="177" fontId="11" fillId="0" borderId="15" xfId="0" applyNumberFormat="1" applyFont="1" applyBorder="1" applyAlignment="1">
      <alignment horizontal="center" vertical="center" wrapText="1"/>
    </xf>
    <xf numFmtId="2" fontId="12" fillId="0" borderId="1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" fontId="3" fillId="0" borderId="15" xfId="0" applyNumberFormat="1" applyFont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176" fontId="3" fillId="0" borderId="11" xfId="0" applyNumberFormat="1" applyFont="1" applyBorder="1" applyAlignment="1">
      <alignment horizontal="center" vertical="center" wrapText="1"/>
    </xf>
    <xf numFmtId="49" fontId="4" fillId="0" borderId="22" xfId="0" applyNumberFormat="1" applyFont="1" applyBorder="1" applyAlignment="1">
      <alignment horizontal="center" vertical="center" wrapText="1"/>
    </xf>
    <xf numFmtId="2" fontId="3" fillId="0" borderId="14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8" fillId="0" borderId="14" xfId="0" applyNumberFormat="1" applyFont="1" applyBorder="1" applyAlignment="1">
      <alignment horizontal="center" vertical="center" wrapText="1"/>
    </xf>
    <xf numFmtId="2" fontId="12" fillId="0" borderId="15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49" fontId="11" fillId="0" borderId="11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177" fontId="3" fillId="0" borderId="11" xfId="0" applyNumberFormat="1" applyFont="1" applyBorder="1" applyAlignment="1">
      <alignment horizontal="center" vertical="center" wrapText="1"/>
    </xf>
    <xf numFmtId="179" fontId="3" fillId="0" borderId="11" xfId="0" applyNumberFormat="1" applyFont="1" applyBorder="1" applyAlignment="1">
      <alignment horizontal="center" vertical="center" wrapText="1"/>
    </xf>
    <xf numFmtId="2" fontId="5" fillId="0" borderId="7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2" fontId="3" fillId="0" borderId="25" xfId="0" applyNumberFormat="1" applyFont="1" applyBorder="1" applyAlignment="1">
      <alignment horizontal="center" vertical="center" wrapText="1"/>
    </xf>
    <xf numFmtId="176" fontId="5" fillId="0" borderId="15" xfId="0" applyNumberFormat="1" applyFont="1" applyBorder="1" applyAlignment="1">
      <alignment horizontal="center" vertical="center" wrapText="1"/>
    </xf>
    <xf numFmtId="49" fontId="17" fillId="0" borderId="15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12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11" fillId="0" borderId="15" xfId="0" applyNumberFormat="1" applyFont="1" applyBorder="1" applyAlignment="1">
      <alignment horizontal="center" vertical="center" wrapText="1"/>
    </xf>
    <xf numFmtId="49" fontId="11" fillId="0" borderId="22" xfId="0" applyNumberFormat="1" applyFont="1" applyBorder="1" applyAlignment="1">
      <alignment horizontal="center" vertical="center" wrapText="1"/>
    </xf>
    <xf numFmtId="177" fontId="12" fillId="0" borderId="12" xfId="0" applyNumberFormat="1" applyFont="1" applyBorder="1" applyAlignment="1">
      <alignment horizontal="center" vertical="center" wrapText="1"/>
    </xf>
    <xf numFmtId="49" fontId="4" fillId="0" borderId="15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78" fontId="3" fillId="0" borderId="12" xfId="0" applyNumberFormat="1" applyFont="1" applyBorder="1" applyAlignment="1">
      <alignment horizontal="center" vertical="center" wrapText="1"/>
    </xf>
    <xf numFmtId="49" fontId="3" fillId="0" borderId="27" xfId="0" applyNumberFormat="1" applyFont="1" applyBorder="1" applyAlignment="1">
      <alignment horizontal="center" vertical="center" wrapText="1"/>
    </xf>
    <xf numFmtId="49" fontId="3" fillId="0" borderId="28" xfId="0" applyNumberFormat="1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49" fontId="4" fillId="0" borderId="31" xfId="0" applyNumberFormat="1" applyFont="1" applyBorder="1" applyAlignment="1">
      <alignment horizontal="center" vertical="center" wrapText="1"/>
    </xf>
    <xf numFmtId="49" fontId="3" fillId="0" borderId="22" xfId="0" applyNumberFormat="1" applyFont="1" applyBorder="1" applyAlignment="1">
      <alignment horizontal="center" vertical="center" wrapText="1"/>
    </xf>
    <xf numFmtId="10" fontId="3" fillId="0" borderId="12" xfId="0" applyNumberFormat="1" applyFont="1" applyBorder="1" applyAlignment="1">
      <alignment horizontal="center" vertical="center" wrapText="1"/>
    </xf>
    <xf numFmtId="2" fontId="3" fillId="3" borderId="15" xfId="0" applyNumberFormat="1" applyFont="1" applyFill="1" applyBorder="1" applyAlignment="1">
      <alignment horizontal="center" vertical="center" wrapText="1"/>
    </xf>
    <xf numFmtId="2" fontId="3" fillId="3" borderId="11" xfId="0" applyNumberFormat="1" applyFont="1" applyFill="1" applyBorder="1" applyAlignment="1">
      <alignment horizontal="center" vertical="center" wrapText="1"/>
    </xf>
    <xf numFmtId="49" fontId="3" fillId="3" borderId="11" xfId="0" applyNumberFormat="1" applyFont="1" applyFill="1" applyBorder="1" applyAlignment="1">
      <alignment horizontal="center" vertical="center" wrapText="1"/>
    </xf>
    <xf numFmtId="49" fontId="3" fillId="3" borderId="12" xfId="0" applyNumberFormat="1" applyFont="1" applyFill="1" applyBorder="1" applyAlignment="1">
      <alignment horizontal="center" vertical="center" wrapText="1"/>
    </xf>
    <xf numFmtId="49" fontId="3" fillId="3" borderId="15" xfId="0" applyNumberFormat="1" applyFont="1" applyFill="1" applyBorder="1" applyAlignment="1">
      <alignment horizontal="center" vertical="center" wrapText="1"/>
    </xf>
    <xf numFmtId="2" fontId="5" fillId="0" borderId="14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5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" fontId="5" fillId="0" borderId="27" xfId="0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9" fontId="4" fillId="0" borderId="24" xfId="0" applyNumberFormat="1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49" fontId="3" fillId="0" borderId="27" xfId="0" applyNumberFormat="1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32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33" xfId="0" applyFont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49" fontId="5" fillId="0" borderId="14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9" fillId="0" borderId="39" xfId="0" applyNumberFormat="1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49" fontId="5" fillId="0" borderId="31" xfId="0" applyNumberFormat="1" applyFont="1" applyBorder="1" applyAlignment="1">
      <alignment horizontal="center" vertical="center" wrapText="1"/>
    </xf>
    <xf numFmtId="2" fontId="5" fillId="0" borderId="38" xfId="0" applyNumberFormat="1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2" fontId="5" fillId="0" borderId="8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2" fontId="3" fillId="0" borderId="43" xfId="0" applyNumberFormat="1" applyFont="1" applyFill="1" applyBorder="1" applyAlignment="1">
      <alignment horizontal="center" vertical="center" wrapText="1"/>
    </xf>
    <xf numFmtId="49" fontId="3" fillId="0" borderId="11" xfId="0" applyNumberFormat="1" applyFont="1" applyFill="1" applyBorder="1" applyAlignment="1">
      <alignment horizontal="center" vertical="center" wrapText="1"/>
    </xf>
    <xf numFmtId="2" fontId="3" fillId="0" borderId="11" xfId="0" applyNumberFormat="1" applyFont="1" applyFill="1" applyBorder="1" applyAlignment="1">
      <alignment horizontal="center" vertical="center" wrapText="1"/>
    </xf>
    <xf numFmtId="49" fontId="5" fillId="0" borderId="44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0" fontId="3" fillId="0" borderId="11" xfId="0" applyNumberFormat="1" applyFont="1" applyBorder="1" applyAlignment="1">
      <alignment horizontal="center" vertical="center" wrapText="1"/>
    </xf>
    <xf numFmtId="49" fontId="12" fillId="0" borderId="11" xfId="0" applyNumberFormat="1" applyFont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177" fontId="3" fillId="0" borderId="30" xfId="0" applyNumberFormat="1" applyFont="1" applyBorder="1" applyAlignment="1">
      <alignment horizontal="center" vertical="center" wrapText="1"/>
    </xf>
    <xf numFmtId="177" fontId="3" fillId="0" borderId="5" xfId="0" applyNumberFormat="1" applyFont="1" applyBorder="1" applyAlignment="1">
      <alignment horizontal="center" vertical="center" wrapText="1"/>
    </xf>
    <xf numFmtId="179" fontId="3" fillId="0" borderId="5" xfId="0" applyNumberFormat="1" applyFont="1" applyBorder="1" applyAlignment="1">
      <alignment horizontal="center" vertical="center" wrapText="1"/>
    </xf>
    <xf numFmtId="49" fontId="12" fillId="0" borderId="13" xfId="0" applyNumberFormat="1" applyFont="1" applyBorder="1" applyAlignment="1">
      <alignment horizontal="center" vertical="center" wrapText="1"/>
    </xf>
    <xf numFmtId="177" fontId="11" fillId="0" borderId="5" xfId="0" applyNumberFormat="1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 wrapText="1"/>
    </xf>
    <xf numFmtId="177" fontId="4" fillId="0" borderId="26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49" fontId="9" fillId="0" borderId="45" xfId="0" applyNumberFormat="1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2" fontId="5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/>
    </xf>
    <xf numFmtId="49" fontId="3" fillId="2" borderId="50" xfId="0" applyNumberFormat="1" applyFont="1" applyFill="1" applyBorder="1" applyAlignment="1">
      <alignment horizontal="center" vertical="center" wrapText="1"/>
    </xf>
    <xf numFmtId="49" fontId="4" fillId="2" borderId="50" xfId="0" applyNumberFormat="1" applyFont="1" applyFill="1" applyBorder="1" applyAlignment="1">
      <alignment horizontal="center" vertical="center" wrapText="1"/>
    </xf>
    <xf numFmtId="0" fontId="4" fillId="2" borderId="50" xfId="0" applyFont="1" applyFill="1" applyBorder="1" applyAlignment="1">
      <alignment horizontal="center" vertical="center" wrapText="1"/>
    </xf>
    <xf numFmtId="49" fontId="4" fillId="2" borderId="51" xfId="0" applyNumberFormat="1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77" fontId="3" fillId="0" borderId="36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vertical="center" wrapText="1"/>
    </xf>
    <xf numFmtId="179" fontId="3" fillId="0" borderId="3" xfId="0" applyNumberFormat="1" applyFont="1" applyBorder="1" applyAlignment="1">
      <alignment horizontal="center" vertical="center" wrapText="1"/>
    </xf>
    <xf numFmtId="49" fontId="12" fillId="0" borderId="37" xfId="0" applyNumberFormat="1" applyFont="1" applyBorder="1" applyAlignment="1">
      <alignment horizontal="center" vertical="center" wrapText="1"/>
    </xf>
    <xf numFmtId="177" fontId="11" fillId="0" borderId="3" xfId="0" applyNumberFormat="1" applyFont="1" applyBorder="1" applyAlignment="1">
      <alignment horizontal="center" vertical="center" wrapText="1"/>
    </xf>
    <xf numFmtId="177" fontId="4" fillId="0" borderId="3" xfId="0" applyNumberFormat="1" applyFont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6</xdr:row>
      <xdr:rowOff>47625</xdr:rowOff>
    </xdr:from>
    <xdr:to>
      <xdr:col>5</xdr:col>
      <xdr:colOff>219075</xdr:colOff>
      <xdr:row>6</xdr:row>
      <xdr:rowOff>190500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3F5C54D5-0430-98B2-7ED1-7A72B43035A9}"/>
            </a:ext>
          </a:extLst>
        </xdr:cNvPr>
        <xdr:cNvCxnSpPr/>
      </xdr:nvCxnSpPr>
      <xdr:spPr>
        <a:xfrm flipV="1">
          <a:off x="1943100" y="1419225"/>
          <a:ext cx="9525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11</xdr:row>
      <xdr:rowOff>127000</xdr:rowOff>
    </xdr:from>
    <xdr:to>
      <xdr:col>5</xdr:col>
      <xdr:colOff>336550</xdr:colOff>
      <xdr:row>11</xdr:row>
      <xdr:rowOff>127000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E92B1707-A0C5-46A8-B254-2B53FEC6500C}"/>
            </a:ext>
          </a:extLst>
        </xdr:cNvPr>
        <xdr:cNvCxnSpPr/>
      </xdr:nvCxnSpPr>
      <xdr:spPr>
        <a:xfrm>
          <a:off x="1587500" y="2438400"/>
          <a:ext cx="222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304800</xdr:colOff>
      <xdr:row>11</xdr:row>
      <xdr:rowOff>31750</xdr:rowOff>
    </xdr:from>
    <xdr:to>
      <xdr:col>19</xdr:col>
      <xdr:colOff>304800</xdr:colOff>
      <xdr:row>11</xdr:row>
      <xdr:rowOff>190500</xdr:rowOff>
    </xdr:to>
    <xdr:cxnSp macro="">
      <xdr:nvCxnSpPr>
        <xdr:cNvPr id="8" name="直接箭头连接符 7">
          <a:extLst>
            <a:ext uri="{FF2B5EF4-FFF2-40B4-BE49-F238E27FC236}">
              <a16:creationId xmlns:a16="http://schemas.microsoft.com/office/drawing/2014/main" id="{75E6897C-91E4-C835-BC37-82F64389DF3A}"/>
            </a:ext>
          </a:extLst>
        </xdr:cNvPr>
        <xdr:cNvCxnSpPr/>
      </xdr:nvCxnSpPr>
      <xdr:spPr>
        <a:xfrm flipV="1">
          <a:off x="8470900" y="2343150"/>
          <a:ext cx="0" cy="158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228600</xdr:colOff>
      <xdr:row>11</xdr:row>
      <xdr:rowOff>50800</xdr:rowOff>
    </xdr:from>
    <xdr:to>
      <xdr:col>25</xdr:col>
      <xdr:colOff>228600</xdr:colOff>
      <xdr:row>11</xdr:row>
      <xdr:rowOff>190500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E1795B75-EDA8-41A0-5255-2C8A113E4408}"/>
            </a:ext>
          </a:extLst>
        </xdr:cNvPr>
        <xdr:cNvCxnSpPr/>
      </xdr:nvCxnSpPr>
      <xdr:spPr>
        <a:xfrm>
          <a:off x="11296650" y="2362200"/>
          <a:ext cx="0" cy="139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203200</xdr:colOff>
      <xdr:row>11</xdr:row>
      <xdr:rowOff>50800</xdr:rowOff>
    </xdr:from>
    <xdr:to>
      <xdr:col>29</xdr:col>
      <xdr:colOff>209550</xdr:colOff>
      <xdr:row>11</xdr:row>
      <xdr:rowOff>203200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119520FC-375B-918D-4E15-F3ACBB8ED053}"/>
            </a:ext>
          </a:extLst>
        </xdr:cNvPr>
        <xdr:cNvCxnSpPr/>
      </xdr:nvCxnSpPr>
      <xdr:spPr>
        <a:xfrm>
          <a:off x="13112750" y="2362200"/>
          <a:ext cx="635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241300</xdr:colOff>
      <xdr:row>16</xdr:row>
      <xdr:rowOff>31750</xdr:rowOff>
    </xdr:from>
    <xdr:to>
      <xdr:col>35</xdr:col>
      <xdr:colOff>247650</xdr:colOff>
      <xdr:row>16</xdr:row>
      <xdr:rowOff>158750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B8213003-E56E-0973-5F79-30C1C322CE0B}"/>
            </a:ext>
          </a:extLst>
        </xdr:cNvPr>
        <xdr:cNvCxnSpPr/>
      </xdr:nvCxnSpPr>
      <xdr:spPr>
        <a:xfrm>
          <a:off x="15792450" y="3651250"/>
          <a:ext cx="6350" cy="127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209550</xdr:colOff>
      <xdr:row>27</xdr:row>
      <xdr:rowOff>47625</xdr:rowOff>
    </xdr:from>
    <xdr:to>
      <xdr:col>5</xdr:col>
      <xdr:colOff>219075</xdr:colOff>
      <xdr:row>27</xdr:row>
      <xdr:rowOff>190500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3E0EF94E-7AAB-4515-B1EB-11E2922A1C06}"/>
            </a:ext>
          </a:extLst>
        </xdr:cNvPr>
        <xdr:cNvCxnSpPr/>
      </xdr:nvCxnSpPr>
      <xdr:spPr>
        <a:xfrm flipV="1">
          <a:off x="1746250" y="1539875"/>
          <a:ext cx="9525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32</xdr:row>
      <xdr:rowOff>127000</xdr:rowOff>
    </xdr:from>
    <xdr:to>
      <xdr:col>5</xdr:col>
      <xdr:colOff>336550</xdr:colOff>
      <xdr:row>32</xdr:row>
      <xdr:rowOff>127000</xdr:rowOff>
    </xdr:to>
    <xdr:cxnSp macro="">
      <xdr:nvCxnSpPr>
        <xdr:cNvPr id="6" name="直接连接符 5">
          <a:extLst>
            <a:ext uri="{FF2B5EF4-FFF2-40B4-BE49-F238E27FC236}">
              <a16:creationId xmlns:a16="http://schemas.microsoft.com/office/drawing/2014/main" id="{A5896CFD-87E2-4B19-9360-64391EB91755}"/>
            </a:ext>
          </a:extLst>
        </xdr:cNvPr>
        <xdr:cNvCxnSpPr/>
      </xdr:nvCxnSpPr>
      <xdr:spPr>
        <a:xfrm>
          <a:off x="1651000" y="2635250"/>
          <a:ext cx="222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304800</xdr:colOff>
      <xdr:row>32</xdr:row>
      <xdr:rowOff>31750</xdr:rowOff>
    </xdr:from>
    <xdr:to>
      <xdr:col>19</xdr:col>
      <xdr:colOff>304800</xdr:colOff>
      <xdr:row>32</xdr:row>
      <xdr:rowOff>190500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A3CE62CD-BDDC-4A45-B4BA-2620C76F3E57}"/>
            </a:ext>
          </a:extLst>
        </xdr:cNvPr>
        <xdr:cNvCxnSpPr/>
      </xdr:nvCxnSpPr>
      <xdr:spPr>
        <a:xfrm flipV="1">
          <a:off x="8464550" y="2540000"/>
          <a:ext cx="0" cy="158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228600</xdr:colOff>
      <xdr:row>32</xdr:row>
      <xdr:rowOff>50800</xdr:rowOff>
    </xdr:from>
    <xdr:to>
      <xdr:col>25</xdr:col>
      <xdr:colOff>228600</xdr:colOff>
      <xdr:row>32</xdr:row>
      <xdr:rowOff>190500</xdr:rowOff>
    </xdr:to>
    <xdr:cxnSp macro="">
      <xdr:nvCxnSpPr>
        <xdr:cNvPr id="9" name="直接箭头连接符 8">
          <a:extLst>
            <a:ext uri="{FF2B5EF4-FFF2-40B4-BE49-F238E27FC236}">
              <a16:creationId xmlns:a16="http://schemas.microsoft.com/office/drawing/2014/main" id="{0591373F-F759-4136-8193-E87A9A3CE9D3}"/>
            </a:ext>
          </a:extLst>
        </xdr:cNvPr>
        <xdr:cNvCxnSpPr/>
      </xdr:nvCxnSpPr>
      <xdr:spPr>
        <a:xfrm>
          <a:off x="11220450" y="2559050"/>
          <a:ext cx="0" cy="139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203200</xdr:colOff>
      <xdr:row>32</xdr:row>
      <xdr:rowOff>50800</xdr:rowOff>
    </xdr:from>
    <xdr:to>
      <xdr:col>29</xdr:col>
      <xdr:colOff>209550</xdr:colOff>
      <xdr:row>32</xdr:row>
      <xdr:rowOff>203200</xdr:rowOff>
    </xdr:to>
    <xdr:cxnSp macro="">
      <xdr:nvCxnSpPr>
        <xdr:cNvPr id="12" name="直接箭头连接符 11">
          <a:extLst>
            <a:ext uri="{FF2B5EF4-FFF2-40B4-BE49-F238E27FC236}">
              <a16:creationId xmlns:a16="http://schemas.microsoft.com/office/drawing/2014/main" id="{D82EF998-4A58-4BAD-9C7C-03BDEFCD6ECA}"/>
            </a:ext>
          </a:extLst>
        </xdr:cNvPr>
        <xdr:cNvCxnSpPr/>
      </xdr:nvCxnSpPr>
      <xdr:spPr>
        <a:xfrm>
          <a:off x="13074650" y="2559050"/>
          <a:ext cx="635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241300</xdr:colOff>
      <xdr:row>37</xdr:row>
      <xdr:rowOff>31750</xdr:rowOff>
    </xdr:from>
    <xdr:to>
      <xdr:col>35</xdr:col>
      <xdr:colOff>247650</xdr:colOff>
      <xdr:row>37</xdr:row>
      <xdr:rowOff>158750</xdr:rowOff>
    </xdr:to>
    <xdr:cxnSp macro="">
      <xdr:nvCxnSpPr>
        <xdr:cNvPr id="14" name="直接箭头连接符 13">
          <a:extLst>
            <a:ext uri="{FF2B5EF4-FFF2-40B4-BE49-F238E27FC236}">
              <a16:creationId xmlns:a16="http://schemas.microsoft.com/office/drawing/2014/main" id="{679C53E1-62B7-427D-9903-D0484DE8E4F0}"/>
            </a:ext>
          </a:extLst>
        </xdr:cNvPr>
        <xdr:cNvCxnSpPr/>
      </xdr:nvCxnSpPr>
      <xdr:spPr>
        <a:xfrm>
          <a:off x="15855950" y="3651250"/>
          <a:ext cx="6350" cy="127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B16B-2574-4951-9464-3C23AC4A31AA}">
  <dimension ref="B1:AJ479"/>
  <sheetViews>
    <sheetView tabSelected="1" zoomScale="150" zoomScaleNormal="150" workbookViewId="0">
      <selection activeCell="K45" sqref="K45"/>
    </sheetView>
  </sheetViews>
  <sheetFormatPr defaultRowHeight="12" x14ac:dyDescent="0.15"/>
  <cols>
    <col min="1" max="1" width="1.625" style="1" customWidth="1"/>
    <col min="2" max="2" width="3.625" style="1" customWidth="1"/>
    <col min="3" max="3" width="2.625" style="1" customWidth="1"/>
    <col min="4" max="5" width="5.625" style="1" customWidth="1"/>
    <col min="6" max="11" width="6.125" style="1" customWidth="1"/>
    <col min="12" max="12" width="6.5" style="1" customWidth="1"/>
    <col min="13" max="13" width="4.875" style="1" customWidth="1"/>
    <col min="14" max="18" width="6.125" style="1" customWidth="1"/>
    <col min="19" max="20" width="7.625" style="1" customWidth="1"/>
    <col min="21" max="21" width="5.625" style="1" customWidth="1"/>
    <col min="22" max="23" width="6.25" style="1" customWidth="1"/>
    <col min="24" max="25" width="5.625" style="1" customWidth="1"/>
    <col min="26" max="29" width="6.125" style="1" customWidth="1"/>
    <col min="30" max="30" width="5.625" style="1" customWidth="1"/>
    <col min="31" max="33" width="6.125" style="1" customWidth="1"/>
    <col min="34" max="34" width="5.625" style="1" customWidth="1"/>
    <col min="35" max="35" width="6.125" style="1" customWidth="1"/>
    <col min="36" max="36" width="6.625" style="1" customWidth="1"/>
    <col min="37" max="37" width="6.375" style="1" customWidth="1"/>
    <col min="38" max="270" width="9" style="1"/>
    <col min="271" max="271" width="2.125" style="1" customWidth="1"/>
    <col min="272" max="272" width="5.875" style="1" customWidth="1"/>
    <col min="273" max="273" width="6.875" style="1" customWidth="1"/>
    <col min="274" max="274" width="6.125" style="1" customWidth="1"/>
    <col min="275" max="275" width="6.875" style="1" customWidth="1"/>
    <col min="276" max="276" width="10.875" style="1" customWidth="1"/>
    <col min="277" max="277" width="11.625" style="1" customWidth="1"/>
    <col min="278" max="278" width="5.625" style="1" customWidth="1"/>
    <col min="279" max="279" width="6" style="1" customWidth="1"/>
    <col min="280" max="280" width="6.625" style="1" customWidth="1"/>
    <col min="281" max="281" width="11.125" style="1" customWidth="1"/>
    <col min="282" max="282" width="7.125" style="1" customWidth="1"/>
    <col min="283" max="284" width="5.875" style="1" customWidth="1"/>
    <col min="285" max="285" width="6" style="1" customWidth="1"/>
    <col min="286" max="286" width="6.875" style="1" customWidth="1"/>
    <col min="287" max="287" width="6" style="1" customWidth="1"/>
    <col min="288" max="288" width="18.125" style="1" customWidth="1"/>
    <col min="289" max="526" width="9" style="1"/>
    <col min="527" max="527" width="2.125" style="1" customWidth="1"/>
    <col min="528" max="528" width="5.875" style="1" customWidth="1"/>
    <col min="529" max="529" width="6.875" style="1" customWidth="1"/>
    <col min="530" max="530" width="6.125" style="1" customWidth="1"/>
    <col min="531" max="531" width="6.875" style="1" customWidth="1"/>
    <col min="532" max="532" width="10.875" style="1" customWidth="1"/>
    <col min="533" max="533" width="11.625" style="1" customWidth="1"/>
    <col min="534" max="534" width="5.625" style="1" customWidth="1"/>
    <col min="535" max="535" width="6" style="1" customWidth="1"/>
    <col min="536" max="536" width="6.625" style="1" customWidth="1"/>
    <col min="537" max="537" width="11.125" style="1" customWidth="1"/>
    <col min="538" max="538" width="7.125" style="1" customWidth="1"/>
    <col min="539" max="540" width="5.875" style="1" customWidth="1"/>
    <col min="541" max="541" width="6" style="1" customWidth="1"/>
    <col min="542" max="542" width="6.875" style="1" customWidth="1"/>
    <col min="543" max="543" width="6" style="1" customWidth="1"/>
    <col min="544" max="544" width="18.125" style="1" customWidth="1"/>
    <col min="545" max="782" width="9" style="1"/>
    <col min="783" max="783" width="2.125" style="1" customWidth="1"/>
    <col min="784" max="784" width="5.875" style="1" customWidth="1"/>
    <col min="785" max="785" width="6.875" style="1" customWidth="1"/>
    <col min="786" max="786" width="6.125" style="1" customWidth="1"/>
    <col min="787" max="787" width="6.875" style="1" customWidth="1"/>
    <col min="788" max="788" width="10.875" style="1" customWidth="1"/>
    <col min="789" max="789" width="11.625" style="1" customWidth="1"/>
    <col min="790" max="790" width="5.625" style="1" customWidth="1"/>
    <col min="791" max="791" width="6" style="1" customWidth="1"/>
    <col min="792" max="792" width="6.625" style="1" customWidth="1"/>
    <col min="793" max="793" width="11.125" style="1" customWidth="1"/>
    <col min="794" max="794" width="7.125" style="1" customWidth="1"/>
    <col min="795" max="796" width="5.875" style="1" customWidth="1"/>
    <col min="797" max="797" width="6" style="1" customWidth="1"/>
    <col min="798" max="798" width="6.875" style="1" customWidth="1"/>
    <col min="799" max="799" width="6" style="1" customWidth="1"/>
    <col min="800" max="800" width="18.125" style="1" customWidth="1"/>
    <col min="801" max="1038" width="9" style="1"/>
    <col min="1039" max="1039" width="2.125" style="1" customWidth="1"/>
    <col min="1040" max="1040" width="5.875" style="1" customWidth="1"/>
    <col min="1041" max="1041" width="6.875" style="1" customWidth="1"/>
    <col min="1042" max="1042" width="6.125" style="1" customWidth="1"/>
    <col min="1043" max="1043" width="6.875" style="1" customWidth="1"/>
    <col min="1044" max="1044" width="10.875" style="1" customWidth="1"/>
    <col min="1045" max="1045" width="11.625" style="1" customWidth="1"/>
    <col min="1046" max="1046" width="5.625" style="1" customWidth="1"/>
    <col min="1047" max="1047" width="6" style="1" customWidth="1"/>
    <col min="1048" max="1048" width="6.625" style="1" customWidth="1"/>
    <col min="1049" max="1049" width="11.125" style="1" customWidth="1"/>
    <col min="1050" max="1050" width="7.125" style="1" customWidth="1"/>
    <col min="1051" max="1052" width="5.875" style="1" customWidth="1"/>
    <col min="1053" max="1053" width="6" style="1" customWidth="1"/>
    <col min="1054" max="1054" width="6.875" style="1" customWidth="1"/>
    <col min="1055" max="1055" width="6" style="1" customWidth="1"/>
    <col min="1056" max="1056" width="18.125" style="1" customWidth="1"/>
    <col min="1057" max="1294" width="9" style="1"/>
    <col min="1295" max="1295" width="2.125" style="1" customWidth="1"/>
    <col min="1296" max="1296" width="5.875" style="1" customWidth="1"/>
    <col min="1297" max="1297" width="6.875" style="1" customWidth="1"/>
    <col min="1298" max="1298" width="6.125" style="1" customWidth="1"/>
    <col min="1299" max="1299" width="6.875" style="1" customWidth="1"/>
    <col min="1300" max="1300" width="10.875" style="1" customWidth="1"/>
    <col min="1301" max="1301" width="11.625" style="1" customWidth="1"/>
    <col min="1302" max="1302" width="5.625" style="1" customWidth="1"/>
    <col min="1303" max="1303" width="6" style="1" customWidth="1"/>
    <col min="1304" max="1304" width="6.625" style="1" customWidth="1"/>
    <col min="1305" max="1305" width="11.125" style="1" customWidth="1"/>
    <col min="1306" max="1306" width="7.125" style="1" customWidth="1"/>
    <col min="1307" max="1308" width="5.875" style="1" customWidth="1"/>
    <col min="1309" max="1309" width="6" style="1" customWidth="1"/>
    <col min="1310" max="1310" width="6.875" style="1" customWidth="1"/>
    <col min="1311" max="1311" width="6" style="1" customWidth="1"/>
    <col min="1312" max="1312" width="18.125" style="1" customWidth="1"/>
    <col min="1313" max="1550" width="9" style="1"/>
    <col min="1551" max="1551" width="2.125" style="1" customWidth="1"/>
    <col min="1552" max="1552" width="5.875" style="1" customWidth="1"/>
    <col min="1553" max="1553" width="6.875" style="1" customWidth="1"/>
    <col min="1554" max="1554" width="6.125" style="1" customWidth="1"/>
    <col min="1555" max="1555" width="6.875" style="1" customWidth="1"/>
    <col min="1556" max="1556" width="10.875" style="1" customWidth="1"/>
    <col min="1557" max="1557" width="11.625" style="1" customWidth="1"/>
    <col min="1558" max="1558" width="5.625" style="1" customWidth="1"/>
    <col min="1559" max="1559" width="6" style="1" customWidth="1"/>
    <col min="1560" max="1560" width="6.625" style="1" customWidth="1"/>
    <col min="1561" max="1561" width="11.125" style="1" customWidth="1"/>
    <col min="1562" max="1562" width="7.125" style="1" customWidth="1"/>
    <col min="1563" max="1564" width="5.875" style="1" customWidth="1"/>
    <col min="1565" max="1565" width="6" style="1" customWidth="1"/>
    <col min="1566" max="1566" width="6.875" style="1" customWidth="1"/>
    <col min="1567" max="1567" width="6" style="1" customWidth="1"/>
    <col min="1568" max="1568" width="18.125" style="1" customWidth="1"/>
    <col min="1569" max="1806" width="9" style="1"/>
    <col min="1807" max="1807" width="2.125" style="1" customWidth="1"/>
    <col min="1808" max="1808" width="5.875" style="1" customWidth="1"/>
    <col min="1809" max="1809" width="6.875" style="1" customWidth="1"/>
    <col min="1810" max="1810" width="6.125" style="1" customWidth="1"/>
    <col min="1811" max="1811" width="6.875" style="1" customWidth="1"/>
    <col min="1812" max="1812" width="10.875" style="1" customWidth="1"/>
    <col min="1813" max="1813" width="11.625" style="1" customWidth="1"/>
    <col min="1814" max="1814" width="5.625" style="1" customWidth="1"/>
    <col min="1815" max="1815" width="6" style="1" customWidth="1"/>
    <col min="1816" max="1816" width="6.625" style="1" customWidth="1"/>
    <col min="1817" max="1817" width="11.125" style="1" customWidth="1"/>
    <col min="1818" max="1818" width="7.125" style="1" customWidth="1"/>
    <col min="1819" max="1820" width="5.875" style="1" customWidth="1"/>
    <col min="1821" max="1821" width="6" style="1" customWidth="1"/>
    <col min="1822" max="1822" width="6.875" style="1" customWidth="1"/>
    <col min="1823" max="1823" width="6" style="1" customWidth="1"/>
    <col min="1824" max="1824" width="18.125" style="1" customWidth="1"/>
    <col min="1825" max="2062" width="9" style="1"/>
    <col min="2063" max="2063" width="2.125" style="1" customWidth="1"/>
    <col min="2064" max="2064" width="5.875" style="1" customWidth="1"/>
    <col min="2065" max="2065" width="6.875" style="1" customWidth="1"/>
    <col min="2066" max="2066" width="6.125" style="1" customWidth="1"/>
    <col min="2067" max="2067" width="6.875" style="1" customWidth="1"/>
    <col min="2068" max="2068" width="10.875" style="1" customWidth="1"/>
    <col min="2069" max="2069" width="11.625" style="1" customWidth="1"/>
    <col min="2070" max="2070" width="5.625" style="1" customWidth="1"/>
    <col min="2071" max="2071" width="6" style="1" customWidth="1"/>
    <col min="2072" max="2072" width="6.625" style="1" customWidth="1"/>
    <col min="2073" max="2073" width="11.125" style="1" customWidth="1"/>
    <col min="2074" max="2074" width="7.125" style="1" customWidth="1"/>
    <col min="2075" max="2076" width="5.875" style="1" customWidth="1"/>
    <col min="2077" max="2077" width="6" style="1" customWidth="1"/>
    <col min="2078" max="2078" width="6.875" style="1" customWidth="1"/>
    <col min="2079" max="2079" width="6" style="1" customWidth="1"/>
    <col min="2080" max="2080" width="18.125" style="1" customWidth="1"/>
    <col min="2081" max="2318" width="9" style="1"/>
    <col min="2319" max="2319" width="2.125" style="1" customWidth="1"/>
    <col min="2320" max="2320" width="5.875" style="1" customWidth="1"/>
    <col min="2321" max="2321" width="6.875" style="1" customWidth="1"/>
    <col min="2322" max="2322" width="6.125" style="1" customWidth="1"/>
    <col min="2323" max="2323" width="6.875" style="1" customWidth="1"/>
    <col min="2324" max="2324" width="10.875" style="1" customWidth="1"/>
    <col min="2325" max="2325" width="11.625" style="1" customWidth="1"/>
    <col min="2326" max="2326" width="5.625" style="1" customWidth="1"/>
    <col min="2327" max="2327" width="6" style="1" customWidth="1"/>
    <col min="2328" max="2328" width="6.625" style="1" customWidth="1"/>
    <col min="2329" max="2329" width="11.125" style="1" customWidth="1"/>
    <col min="2330" max="2330" width="7.125" style="1" customWidth="1"/>
    <col min="2331" max="2332" width="5.875" style="1" customWidth="1"/>
    <col min="2333" max="2333" width="6" style="1" customWidth="1"/>
    <col min="2334" max="2334" width="6.875" style="1" customWidth="1"/>
    <col min="2335" max="2335" width="6" style="1" customWidth="1"/>
    <col min="2336" max="2336" width="18.125" style="1" customWidth="1"/>
    <col min="2337" max="2574" width="9" style="1"/>
    <col min="2575" max="2575" width="2.125" style="1" customWidth="1"/>
    <col min="2576" max="2576" width="5.875" style="1" customWidth="1"/>
    <col min="2577" max="2577" width="6.875" style="1" customWidth="1"/>
    <col min="2578" max="2578" width="6.125" style="1" customWidth="1"/>
    <col min="2579" max="2579" width="6.875" style="1" customWidth="1"/>
    <col min="2580" max="2580" width="10.875" style="1" customWidth="1"/>
    <col min="2581" max="2581" width="11.625" style="1" customWidth="1"/>
    <col min="2582" max="2582" width="5.625" style="1" customWidth="1"/>
    <col min="2583" max="2583" width="6" style="1" customWidth="1"/>
    <col min="2584" max="2584" width="6.625" style="1" customWidth="1"/>
    <col min="2585" max="2585" width="11.125" style="1" customWidth="1"/>
    <col min="2586" max="2586" width="7.125" style="1" customWidth="1"/>
    <col min="2587" max="2588" width="5.875" style="1" customWidth="1"/>
    <col min="2589" max="2589" width="6" style="1" customWidth="1"/>
    <col min="2590" max="2590" width="6.875" style="1" customWidth="1"/>
    <col min="2591" max="2591" width="6" style="1" customWidth="1"/>
    <col min="2592" max="2592" width="18.125" style="1" customWidth="1"/>
    <col min="2593" max="2830" width="9" style="1"/>
    <col min="2831" max="2831" width="2.125" style="1" customWidth="1"/>
    <col min="2832" max="2832" width="5.875" style="1" customWidth="1"/>
    <col min="2833" max="2833" width="6.875" style="1" customWidth="1"/>
    <col min="2834" max="2834" width="6.125" style="1" customWidth="1"/>
    <col min="2835" max="2835" width="6.875" style="1" customWidth="1"/>
    <col min="2836" max="2836" width="10.875" style="1" customWidth="1"/>
    <col min="2837" max="2837" width="11.625" style="1" customWidth="1"/>
    <col min="2838" max="2838" width="5.625" style="1" customWidth="1"/>
    <col min="2839" max="2839" width="6" style="1" customWidth="1"/>
    <col min="2840" max="2840" width="6.625" style="1" customWidth="1"/>
    <col min="2841" max="2841" width="11.125" style="1" customWidth="1"/>
    <col min="2842" max="2842" width="7.125" style="1" customWidth="1"/>
    <col min="2843" max="2844" width="5.875" style="1" customWidth="1"/>
    <col min="2845" max="2845" width="6" style="1" customWidth="1"/>
    <col min="2846" max="2846" width="6.875" style="1" customWidth="1"/>
    <col min="2847" max="2847" width="6" style="1" customWidth="1"/>
    <col min="2848" max="2848" width="18.125" style="1" customWidth="1"/>
    <col min="2849" max="3086" width="9" style="1"/>
    <col min="3087" max="3087" width="2.125" style="1" customWidth="1"/>
    <col min="3088" max="3088" width="5.875" style="1" customWidth="1"/>
    <col min="3089" max="3089" width="6.875" style="1" customWidth="1"/>
    <col min="3090" max="3090" width="6.125" style="1" customWidth="1"/>
    <col min="3091" max="3091" width="6.875" style="1" customWidth="1"/>
    <col min="3092" max="3092" width="10.875" style="1" customWidth="1"/>
    <col min="3093" max="3093" width="11.625" style="1" customWidth="1"/>
    <col min="3094" max="3094" width="5.625" style="1" customWidth="1"/>
    <col min="3095" max="3095" width="6" style="1" customWidth="1"/>
    <col min="3096" max="3096" width="6.625" style="1" customWidth="1"/>
    <col min="3097" max="3097" width="11.125" style="1" customWidth="1"/>
    <col min="3098" max="3098" width="7.125" style="1" customWidth="1"/>
    <col min="3099" max="3100" width="5.875" style="1" customWidth="1"/>
    <col min="3101" max="3101" width="6" style="1" customWidth="1"/>
    <col min="3102" max="3102" width="6.875" style="1" customWidth="1"/>
    <col min="3103" max="3103" width="6" style="1" customWidth="1"/>
    <col min="3104" max="3104" width="18.125" style="1" customWidth="1"/>
    <col min="3105" max="3342" width="9" style="1"/>
    <col min="3343" max="3343" width="2.125" style="1" customWidth="1"/>
    <col min="3344" max="3344" width="5.875" style="1" customWidth="1"/>
    <col min="3345" max="3345" width="6.875" style="1" customWidth="1"/>
    <col min="3346" max="3346" width="6.125" style="1" customWidth="1"/>
    <col min="3347" max="3347" width="6.875" style="1" customWidth="1"/>
    <col min="3348" max="3348" width="10.875" style="1" customWidth="1"/>
    <col min="3349" max="3349" width="11.625" style="1" customWidth="1"/>
    <col min="3350" max="3350" width="5.625" style="1" customWidth="1"/>
    <col min="3351" max="3351" width="6" style="1" customWidth="1"/>
    <col min="3352" max="3352" width="6.625" style="1" customWidth="1"/>
    <col min="3353" max="3353" width="11.125" style="1" customWidth="1"/>
    <col min="3354" max="3354" width="7.125" style="1" customWidth="1"/>
    <col min="3355" max="3356" width="5.875" style="1" customWidth="1"/>
    <col min="3357" max="3357" width="6" style="1" customWidth="1"/>
    <col min="3358" max="3358" width="6.875" style="1" customWidth="1"/>
    <col min="3359" max="3359" width="6" style="1" customWidth="1"/>
    <col min="3360" max="3360" width="18.125" style="1" customWidth="1"/>
    <col min="3361" max="3598" width="9" style="1"/>
    <col min="3599" max="3599" width="2.125" style="1" customWidth="1"/>
    <col min="3600" max="3600" width="5.875" style="1" customWidth="1"/>
    <col min="3601" max="3601" width="6.875" style="1" customWidth="1"/>
    <col min="3602" max="3602" width="6.125" style="1" customWidth="1"/>
    <col min="3603" max="3603" width="6.875" style="1" customWidth="1"/>
    <col min="3604" max="3604" width="10.875" style="1" customWidth="1"/>
    <col min="3605" max="3605" width="11.625" style="1" customWidth="1"/>
    <col min="3606" max="3606" width="5.625" style="1" customWidth="1"/>
    <col min="3607" max="3607" width="6" style="1" customWidth="1"/>
    <col min="3608" max="3608" width="6.625" style="1" customWidth="1"/>
    <col min="3609" max="3609" width="11.125" style="1" customWidth="1"/>
    <col min="3610" max="3610" width="7.125" style="1" customWidth="1"/>
    <col min="3611" max="3612" width="5.875" style="1" customWidth="1"/>
    <col min="3613" max="3613" width="6" style="1" customWidth="1"/>
    <col min="3614" max="3614" width="6.875" style="1" customWidth="1"/>
    <col min="3615" max="3615" width="6" style="1" customWidth="1"/>
    <col min="3616" max="3616" width="18.125" style="1" customWidth="1"/>
    <col min="3617" max="3854" width="9" style="1"/>
    <col min="3855" max="3855" width="2.125" style="1" customWidth="1"/>
    <col min="3856" max="3856" width="5.875" style="1" customWidth="1"/>
    <col min="3857" max="3857" width="6.875" style="1" customWidth="1"/>
    <col min="3858" max="3858" width="6.125" style="1" customWidth="1"/>
    <col min="3859" max="3859" width="6.875" style="1" customWidth="1"/>
    <col min="3860" max="3860" width="10.875" style="1" customWidth="1"/>
    <col min="3861" max="3861" width="11.625" style="1" customWidth="1"/>
    <col min="3862" max="3862" width="5.625" style="1" customWidth="1"/>
    <col min="3863" max="3863" width="6" style="1" customWidth="1"/>
    <col min="3864" max="3864" width="6.625" style="1" customWidth="1"/>
    <col min="3865" max="3865" width="11.125" style="1" customWidth="1"/>
    <col min="3866" max="3866" width="7.125" style="1" customWidth="1"/>
    <col min="3867" max="3868" width="5.875" style="1" customWidth="1"/>
    <col min="3869" max="3869" width="6" style="1" customWidth="1"/>
    <col min="3870" max="3870" width="6.875" style="1" customWidth="1"/>
    <col min="3871" max="3871" width="6" style="1" customWidth="1"/>
    <col min="3872" max="3872" width="18.125" style="1" customWidth="1"/>
    <col min="3873" max="4110" width="9" style="1"/>
    <col min="4111" max="4111" width="2.125" style="1" customWidth="1"/>
    <col min="4112" max="4112" width="5.875" style="1" customWidth="1"/>
    <col min="4113" max="4113" width="6.875" style="1" customWidth="1"/>
    <col min="4114" max="4114" width="6.125" style="1" customWidth="1"/>
    <col min="4115" max="4115" width="6.875" style="1" customWidth="1"/>
    <col min="4116" max="4116" width="10.875" style="1" customWidth="1"/>
    <col min="4117" max="4117" width="11.625" style="1" customWidth="1"/>
    <col min="4118" max="4118" width="5.625" style="1" customWidth="1"/>
    <col min="4119" max="4119" width="6" style="1" customWidth="1"/>
    <col min="4120" max="4120" width="6.625" style="1" customWidth="1"/>
    <col min="4121" max="4121" width="11.125" style="1" customWidth="1"/>
    <col min="4122" max="4122" width="7.125" style="1" customWidth="1"/>
    <col min="4123" max="4124" width="5.875" style="1" customWidth="1"/>
    <col min="4125" max="4125" width="6" style="1" customWidth="1"/>
    <col min="4126" max="4126" width="6.875" style="1" customWidth="1"/>
    <col min="4127" max="4127" width="6" style="1" customWidth="1"/>
    <col min="4128" max="4128" width="18.125" style="1" customWidth="1"/>
    <col min="4129" max="4366" width="9" style="1"/>
    <col min="4367" max="4367" width="2.125" style="1" customWidth="1"/>
    <col min="4368" max="4368" width="5.875" style="1" customWidth="1"/>
    <col min="4369" max="4369" width="6.875" style="1" customWidth="1"/>
    <col min="4370" max="4370" width="6.125" style="1" customWidth="1"/>
    <col min="4371" max="4371" width="6.875" style="1" customWidth="1"/>
    <col min="4372" max="4372" width="10.875" style="1" customWidth="1"/>
    <col min="4373" max="4373" width="11.625" style="1" customWidth="1"/>
    <col min="4374" max="4374" width="5.625" style="1" customWidth="1"/>
    <col min="4375" max="4375" width="6" style="1" customWidth="1"/>
    <col min="4376" max="4376" width="6.625" style="1" customWidth="1"/>
    <col min="4377" max="4377" width="11.125" style="1" customWidth="1"/>
    <col min="4378" max="4378" width="7.125" style="1" customWidth="1"/>
    <col min="4379" max="4380" width="5.875" style="1" customWidth="1"/>
    <col min="4381" max="4381" width="6" style="1" customWidth="1"/>
    <col min="4382" max="4382" width="6.875" style="1" customWidth="1"/>
    <col min="4383" max="4383" width="6" style="1" customWidth="1"/>
    <col min="4384" max="4384" width="18.125" style="1" customWidth="1"/>
    <col min="4385" max="4622" width="9" style="1"/>
    <col min="4623" max="4623" width="2.125" style="1" customWidth="1"/>
    <col min="4624" max="4624" width="5.875" style="1" customWidth="1"/>
    <col min="4625" max="4625" width="6.875" style="1" customWidth="1"/>
    <col min="4626" max="4626" width="6.125" style="1" customWidth="1"/>
    <col min="4627" max="4627" width="6.875" style="1" customWidth="1"/>
    <col min="4628" max="4628" width="10.875" style="1" customWidth="1"/>
    <col min="4629" max="4629" width="11.625" style="1" customWidth="1"/>
    <col min="4630" max="4630" width="5.625" style="1" customWidth="1"/>
    <col min="4631" max="4631" width="6" style="1" customWidth="1"/>
    <col min="4632" max="4632" width="6.625" style="1" customWidth="1"/>
    <col min="4633" max="4633" width="11.125" style="1" customWidth="1"/>
    <col min="4634" max="4634" width="7.125" style="1" customWidth="1"/>
    <col min="4635" max="4636" width="5.875" style="1" customWidth="1"/>
    <col min="4637" max="4637" width="6" style="1" customWidth="1"/>
    <col min="4638" max="4638" width="6.875" style="1" customWidth="1"/>
    <col min="4639" max="4639" width="6" style="1" customWidth="1"/>
    <col min="4640" max="4640" width="18.125" style="1" customWidth="1"/>
    <col min="4641" max="4878" width="9" style="1"/>
    <col min="4879" max="4879" width="2.125" style="1" customWidth="1"/>
    <col min="4880" max="4880" width="5.875" style="1" customWidth="1"/>
    <col min="4881" max="4881" width="6.875" style="1" customWidth="1"/>
    <col min="4882" max="4882" width="6.125" style="1" customWidth="1"/>
    <col min="4883" max="4883" width="6.875" style="1" customWidth="1"/>
    <col min="4884" max="4884" width="10.875" style="1" customWidth="1"/>
    <col min="4885" max="4885" width="11.625" style="1" customWidth="1"/>
    <col min="4886" max="4886" width="5.625" style="1" customWidth="1"/>
    <col min="4887" max="4887" width="6" style="1" customWidth="1"/>
    <col min="4888" max="4888" width="6.625" style="1" customWidth="1"/>
    <col min="4889" max="4889" width="11.125" style="1" customWidth="1"/>
    <col min="4890" max="4890" width="7.125" style="1" customWidth="1"/>
    <col min="4891" max="4892" width="5.875" style="1" customWidth="1"/>
    <col min="4893" max="4893" width="6" style="1" customWidth="1"/>
    <col min="4894" max="4894" width="6.875" style="1" customWidth="1"/>
    <col min="4895" max="4895" width="6" style="1" customWidth="1"/>
    <col min="4896" max="4896" width="18.125" style="1" customWidth="1"/>
    <col min="4897" max="5134" width="9" style="1"/>
    <col min="5135" max="5135" width="2.125" style="1" customWidth="1"/>
    <col min="5136" max="5136" width="5.875" style="1" customWidth="1"/>
    <col min="5137" max="5137" width="6.875" style="1" customWidth="1"/>
    <col min="5138" max="5138" width="6.125" style="1" customWidth="1"/>
    <col min="5139" max="5139" width="6.875" style="1" customWidth="1"/>
    <col min="5140" max="5140" width="10.875" style="1" customWidth="1"/>
    <col min="5141" max="5141" width="11.625" style="1" customWidth="1"/>
    <col min="5142" max="5142" width="5.625" style="1" customWidth="1"/>
    <col min="5143" max="5143" width="6" style="1" customWidth="1"/>
    <col min="5144" max="5144" width="6.625" style="1" customWidth="1"/>
    <col min="5145" max="5145" width="11.125" style="1" customWidth="1"/>
    <col min="5146" max="5146" width="7.125" style="1" customWidth="1"/>
    <col min="5147" max="5148" width="5.875" style="1" customWidth="1"/>
    <col min="5149" max="5149" width="6" style="1" customWidth="1"/>
    <col min="5150" max="5150" width="6.875" style="1" customWidth="1"/>
    <col min="5151" max="5151" width="6" style="1" customWidth="1"/>
    <col min="5152" max="5152" width="18.125" style="1" customWidth="1"/>
    <col min="5153" max="5390" width="9" style="1"/>
    <col min="5391" max="5391" width="2.125" style="1" customWidth="1"/>
    <col min="5392" max="5392" width="5.875" style="1" customWidth="1"/>
    <col min="5393" max="5393" width="6.875" style="1" customWidth="1"/>
    <col min="5394" max="5394" width="6.125" style="1" customWidth="1"/>
    <col min="5395" max="5395" width="6.875" style="1" customWidth="1"/>
    <col min="5396" max="5396" width="10.875" style="1" customWidth="1"/>
    <col min="5397" max="5397" width="11.625" style="1" customWidth="1"/>
    <col min="5398" max="5398" width="5.625" style="1" customWidth="1"/>
    <col min="5399" max="5399" width="6" style="1" customWidth="1"/>
    <col min="5400" max="5400" width="6.625" style="1" customWidth="1"/>
    <col min="5401" max="5401" width="11.125" style="1" customWidth="1"/>
    <col min="5402" max="5402" width="7.125" style="1" customWidth="1"/>
    <col min="5403" max="5404" width="5.875" style="1" customWidth="1"/>
    <col min="5405" max="5405" width="6" style="1" customWidth="1"/>
    <col min="5406" max="5406" width="6.875" style="1" customWidth="1"/>
    <col min="5407" max="5407" width="6" style="1" customWidth="1"/>
    <col min="5408" max="5408" width="18.125" style="1" customWidth="1"/>
    <col min="5409" max="5646" width="9" style="1"/>
    <col min="5647" max="5647" width="2.125" style="1" customWidth="1"/>
    <col min="5648" max="5648" width="5.875" style="1" customWidth="1"/>
    <col min="5649" max="5649" width="6.875" style="1" customWidth="1"/>
    <col min="5650" max="5650" width="6.125" style="1" customWidth="1"/>
    <col min="5651" max="5651" width="6.875" style="1" customWidth="1"/>
    <col min="5652" max="5652" width="10.875" style="1" customWidth="1"/>
    <col min="5653" max="5653" width="11.625" style="1" customWidth="1"/>
    <col min="5654" max="5654" width="5.625" style="1" customWidth="1"/>
    <col min="5655" max="5655" width="6" style="1" customWidth="1"/>
    <col min="5656" max="5656" width="6.625" style="1" customWidth="1"/>
    <col min="5657" max="5657" width="11.125" style="1" customWidth="1"/>
    <col min="5658" max="5658" width="7.125" style="1" customWidth="1"/>
    <col min="5659" max="5660" width="5.875" style="1" customWidth="1"/>
    <col min="5661" max="5661" width="6" style="1" customWidth="1"/>
    <col min="5662" max="5662" width="6.875" style="1" customWidth="1"/>
    <col min="5663" max="5663" width="6" style="1" customWidth="1"/>
    <col min="5664" max="5664" width="18.125" style="1" customWidth="1"/>
    <col min="5665" max="5902" width="9" style="1"/>
    <col min="5903" max="5903" width="2.125" style="1" customWidth="1"/>
    <col min="5904" max="5904" width="5.875" style="1" customWidth="1"/>
    <col min="5905" max="5905" width="6.875" style="1" customWidth="1"/>
    <col min="5906" max="5906" width="6.125" style="1" customWidth="1"/>
    <col min="5907" max="5907" width="6.875" style="1" customWidth="1"/>
    <col min="5908" max="5908" width="10.875" style="1" customWidth="1"/>
    <col min="5909" max="5909" width="11.625" style="1" customWidth="1"/>
    <col min="5910" max="5910" width="5.625" style="1" customWidth="1"/>
    <col min="5911" max="5911" width="6" style="1" customWidth="1"/>
    <col min="5912" max="5912" width="6.625" style="1" customWidth="1"/>
    <col min="5913" max="5913" width="11.125" style="1" customWidth="1"/>
    <col min="5914" max="5914" width="7.125" style="1" customWidth="1"/>
    <col min="5915" max="5916" width="5.875" style="1" customWidth="1"/>
    <col min="5917" max="5917" width="6" style="1" customWidth="1"/>
    <col min="5918" max="5918" width="6.875" style="1" customWidth="1"/>
    <col min="5919" max="5919" width="6" style="1" customWidth="1"/>
    <col min="5920" max="5920" width="18.125" style="1" customWidth="1"/>
    <col min="5921" max="6158" width="9" style="1"/>
    <col min="6159" max="6159" width="2.125" style="1" customWidth="1"/>
    <col min="6160" max="6160" width="5.875" style="1" customWidth="1"/>
    <col min="6161" max="6161" width="6.875" style="1" customWidth="1"/>
    <col min="6162" max="6162" width="6.125" style="1" customWidth="1"/>
    <col min="6163" max="6163" width="6.875" style="1" customWidth="1"/>
    <col min="6164" max="6164" width="10.875" style="1" customWidth="1"/>
    <col min="6165" max="6165" width="11.625" style="1" customWidth="1"/>
    <col min="6166" max="6166" width="5.625" style="1" customWidth="1"/>
    <col min="6167" max="6167" width="6" style="1" customWidth="1"/>
    <col min="6168" max="6168" width="6.625" style="1" customWidth="1"/>
    <col min="6169" max="6169" width="11.125" style="1" customWidth="1"/>
    <col min="6170" max="6170" width="7.125" style="1" customWidth="1"/>
    <col min="6171" max="6172" width="5.875" style="1" customWidth="1"/>
    <col min="6173" max="6173" width="6" style="1" customWidth="1"/>
    <col min="6174" max="6174" width="6.875" style="1" customWidth="1"/>
    <col min="6175" max="6175" width="6" style="1" customWidth="1"/>
    <col min="6176" max="6176" width="18.125" style="1" customWidth="1"/>
    <col min="6177" max="6414" width="9" style="1"/>
    <col min="6415" max="6415" width="2.125" style="1" customWidth="1"/>
    <col min="6416" max="6416" width="5.875" style="1" customWidth="1"/>
    <col min="6417" max="6417" width="6.875" style="1" customWidth="1"/>
    <col min="6418" max="6418" width="6.125" style="1" customWidth="1"/>
    <col min="6419" max="6419" width="6.875" style="1" customWidth="1"/>
    <col min="6420" max="6420" width="10.875" style="1" customWidth="1"/>
    <col min="6421" max="6421" width="11.625" style="1" customWidth="1"/>
    <col min="6422" max="6422" width="5.625" style="1" customWidth="1"/>
    <col min="6423" max="6423" width="6" style="1" customWidth="1"/>
    <col min="6424" max="6424" width="6.625" style="1" customWidth="1"/>
    <col min="6425" max="6425" width="11.125" style="1" customWidth="1"/>
    <col min="6426" max="6426" width="7.125" style="1" customWidth="1"/>
    <col min="6427" max="6428" width="5.875" style="1" customWidth="1"/>
    <col min="6429" max="6429" width="6" style="1" customWidth="1"/>
    <col min="6430" max="6430" width="6.875" style="1" customWidth="1"/>
    <col min="6431" max="6431" width="6" style="1" customWidth="1"/>
    <col min="6432" max="6432" width="18.125" style="1" customWidth="1"/>
    <col min="6433" max="6670" width="9" style="1"/>
    <col min="6671" max="6671" width="2.125" style="1" customWidth="1"/>
    <col min="6672" max="6672" width="5.875" style="1" customWidth="1"/>
    <col min="6673" max="6673" width="6.875" style="1" customWidth="1"/>
    <col min="6674" max="6674" width="6.125" style="1" customWidth="1"/>
    <col min="6675" max="6675" width="6.875" style="1" customWidth="1"/>
    <col min="6676" max="6676" width="10.875" style="1" customWidth="1"/>
    <col min="6677" max="6677" width="11.625" style="1" customWidth="1"/>
    <col min="6678" max="6678" width="5.625" style="1" customWidth="1"/>
    <col min="6679" max="6679" width="6" style="1" customWidth="1"/>
    <col min="6680" max="6680" width="6.625" style="1" customWidth="1"/>
    <col min="6681" max="6681" width="11.125" style="1" customWidth="1"/>
    <col min="6682" max="6682" width="7.125" style="1" customWidth="1"/>
    <col min="6683" max="6684" width="5.875" style="1" customWidth="1"/>
    <col min="6685" max="6685" width="6" style="1" customWidth="1"/>
    <col min="6686" max="6686" width="6.875" style="1" customWidth="1"/>
    <col min="6687" max="6687" width="6" style="1" customWidth="1"/>
    <col min="6688" max="6688" width="18.125" style="1" customWidth="1"/>
    <col min="6689" max="6926" width="9" style="1"/>
    <col min="6927" max="6927" width="2.125" style="1" customWidth="1"/>
    <col min="6928" max="6928" width="5.875" style="1" customWidth="1"/>
    <col min="6929" max="6929" width="6.875" style="1" customWidth="1"/>
    <col min="6930" max="6930" width="6.125" style="1" customWidth="1"/>
    <col min="6931" max="6931" width="6.875" style="1" customWidth="1"/>
    <col min="6932" max="6932" width="10.875" style="1" customWidth="1"/>
    <col min="6933" max="6933" width="11.625" style="1" customWidth="1"/>
    <col min="6934" max="6934" width="5.625" style="1" customWidth="1"/>
    <col min="6935" max="6935" width="6" style="1" customWidth="1"/>
    <col min="6936" max="6936" width="6.625" style="1" customWidth="1"/>
    <col min="6937" max="6937" width="11.125" style="1" customWidth="1"/>
    <col min="6938" max="6938" width="7.125" style="1" customWidth="1"/>
    <col min="6939" max="6940" width="5.875" style="1" customWidth="1"/>
    <col min="6941" max="6941" width="6" style="1" customWidth="1"/>
    <col min="6942" max="6942" width="6.875" style="1" customWidth="1"/>
    <col min="6943" max="6943" width="6" style="1" customWidth="1"/>
    <col min="6944" max="6944" width="18.125" style="1" customWidth="1"/>
    <col min="6945" max="7182" width="9" style="1"/>
    <col min="7183" max="7183" width="2.125" style="1" customWidth="1"/>
    <col min="7184" max="7184" width="5.875" style="1" customWidth="1"/>
    <col min="7185" max="7185" width="6.875" style="1" customWidth="1"/>
    <col min="7186" max="7186" width="6.125" style="1" customWidth="1"/>
    <col min="7187" max="7187" width="6.875" style="1" customWidth="1"/>
    <col min="7188" max="7188" width="10.875" style="1" customWidth="1"/>
    <col min="7189" max="7189" width="11.625" style="1" customWidth="1"/>
    <col min="7190" max="7190" width="5.625" style="1" customWidth="1"/>
    <col min="7191" max="7191" width="6" style="1" customWidth="1"/>
    <col min="7192" max="7192" width="6.625" style="1" customWidth="1"/>
    <col min="7193" max="7193" width="11.125" style="1" customWidth="1"/>
    <col min="7194" max="7194" width="7.125" style="1" customWidth="1"/>
    <col min="7195" max="7196" width="5.875" style="1" customWidth="1"/>
    <col min="7197" max="7197" width="6" style="1" customWidth="1"/>
    <col min="7198" max="7198" width="6.875" style="1" customWidth="1"/>
    <col min="7199" max="7199" width="6" style="1" customWidth="1"/>
    <col min="7200" max="7200" width="18.125" style="1" customWidth="1"/>
    <col min="7201" max="7438" width="9" style="1"/>
    <col min="7439" max="7439" width="2.125" style="1" customWidth="1"/>
    <col min="7440" max="7440" width="5.875" style="1" customWidth="1"/>
    <col min="7441" max="7441" width="6.875" style="1" customWidth="1"/>
    <col min="7442" max="7442" width="6.125" style="1" customWidth="1"/>
    <col min="7443" max="7443" width="6.875" style="1" customWidth="1"/>
    <col min="7444" max="7444" width="10.875" style="1" customWidth="1"/>
    <col min="7445" max="7445" width="11.625" style="1" customWidth="1"/>
    <col min="7446" max="7446" width="5.625" style="1" customWidth="1"/>
    <col min="7447" max="7447" width="6" style="1" customWidth="1"/>
    <col min="7448" max="7448" width="6.625" style="1" customWidth="1"/>
    <col min="7449" max="7449" width="11.125" style="1" customWidth="1"/>
    <col min="7450" max="7450" width="7.125" style="1" customWidth="1"/>
    <col min="7451" max="7452" width="5.875" style="1" customWidth="1"/>
    <col min="7453" max="7453" width="6" style="1" customWidth="1"/>
    <col min="7454" max="7454" width="6.875" style="1" customWidth="1"/>
    <col min="7455" max="7455" width="6" style="1" customWidth="1"/>
    <col min="7456" max="7456" width="18.125" style="1" customWidth="1"/>
    <col min="7457" max="7694" width="9" style="1"/>
    <col min="7695" max="7695" width="2.125" style="1" customWidth="1"/>
    <col min="7696" max="7696" width="5.875" style="1" customWidth="1"/>
    <col min="7697" max="7697" width="6.875" style="1" customWidth="1"/>
    <col min="7698" max="7698" width="6.125" style="1" customWidth="1"/>
    <col min="7699" max="7699" width="6.875" style="1" customWidth="1"/>
    <col min="7700" max="7700" width="10.875" style="1" customWidth="1"/>
    <col min="7701" max="7701" width="11.625" style="1" customWidth="1"/>
    <col min="7702" max="7702" width="5.625" style="1" customWidth="1"/>
    <col min="7703" max="7703" width="6" style="1" customWidth="1"/>
    <col min="7704" max="7704" width="6.625" style="1" customWidth="1"/>
    <col min="7705" max="7705" width="11.125" style="1" customWidth="1"/>
    <col min="7706" max="7706" width="7.125" style="1" customWidth="1"/>
    <col min="7707" max="7708" width="5.875" style="1" customWidth="1"/>
    <col min="7709" max="7709" width="6" style="1" customWidth="1"/>
    <col min="7710" max="7710" width="6.875" style="1" customWidth="1"/>
    <col min="7711" max="7711" width="6" style="1" customWidth="1"/>
    <col min="7712" max="7712" width="18.125" style="1" customWidth="1"/>
    <col min="7713" max="7950" width="9" style="1"/>
    <col min="7951" max="7951" width="2.125" style="1" customWidth="1"/>
    <col min="7952" max="7952" width="5.875" style="1" customWidth="1"/>
    <col min="7953" max="7953" width="6.875" style="1" customWidth="1"/>
    <col min="7954" max="7954" width="6.125" style="1" customWidth="1"/>
    <col min="7955" max="7955" width="6.875" style="1" customWidth="1"/>
    <col min="7956" max="7956" width="10.875" style="1" customWidth="1"/>
    <col min="7957" max="7957" width="11.625" style="1" customWidth="1"/>
    <col min="7958" max="7958" width="5.625" style="1" customWidth="1"/>
    <col min="7959" max="7959" width="6" style="1" customWidth="1"/>
    <col min="7960" max="7960" width="6.625" style="1" customWidth="1"/>
    <col min="7961" max="7961" width="11.125" style="1" customWidth="1"/>
    <col min="7962" max="7962" width="7.125" style="1" customWidth="1"/>
    <col min="7963" max="7964" width="5.875" style="1" customWidth="1"/>
    <col min="7965" max="7965" width="6" style="1" customWidth="1"/>
    <col min="7966" max="7966" width="6.875" style="1" customWidth="1"/>
    <col min="7967" max="7967" width="6" style="1" customWidth="1"/>
    <col min="7968" max="7968" width="18.125" style="1" customWidth="1"/>
    <col min="7969" max="8206" width="9" style="1"/>
    <col min="8207" max="8207" width="2.125" style="1" customWidth="1"/>
    <col min="8208" max="8208" width="5.875" style="1" customWidth="1"/>
    <col min="8209" max="8209" width="6.875" style="1" customWidth="1"/>
    <col min="8210" max="8210" width="6.125" style="1" customWidth="1"/>
    <col min="8211" max="8211" width="6.875" style="1" customWidth="1"/>
    <col min="8212" max="8212" width="10.875" style="1" customWidth="1"/>
    <col min="8213" max="8213" width="11.625" style="1" customWidth="1"/>
    <col min="8214" max="8214" width="5.625" style="1" customWidth="1"/>
    <col min="8215" max="8215" width="6" style="1" customWidth="1"/>
    <col min="8216" max="8216" width="6.625" style="1" customWidth="1"/>
    <col min="8217" max="8217" width="11.125" style="1" customWidth="1"/>
    <col min="8218" max="8218" width="7.125" style="1" customWidth="1"/>
    <col min="8219" max="8220" width="5.875" style="1" customWidth="1"/>
    <col min="8221" max="8221" width="6" style="1" customWidth="1"/>
    <col min="8222" max="8222" width="6.875" style="1" customWidth="1"/>
    <col min="8223" max="8223" width="6" style="1" customWidth="1"/>
    <col min="8224" max="8224" width="18.125" style="1" customWidth="1"/>
    <col min="8225" max="8462" width="9" style="1"/>
    <col min="8463" max="8463" width="2.125" style="1" customWidth="1"/>
    <col min="8464" max="8464" width="5.875" style="1" customWidth="1"/>
    <col min="8465" max="8465" width="6.875" style="1" customWidth="1"/>
    <col min="8466" max="8466" width="6.125" style="1" customWidth="1"/>
    <col min="8467" max="8467" width="6.875" style="1" customWidth="1"/>
    <col min="8468" max="8468" width="10.875" style="1" customWidth="1"/>
    <col min="8469" max="8469" width="11.625" style="1" customWidth="1"/>
    <col min="8470" max="8470" width="5.625" style="1" customWidth="1"/>
    <col min="8471" max="8471" width="6" style="1" customWidth="1"/>
    <col min="8472" max="8472" width="6.625" style="1" customWidth="1"/>
    <col min="8473" max="8473" width="11.125" style="1" customWidth="1"/>
    <col min="8474" max="8474" width="7.125" style="1" customWidth="1"/>
    <col min="8475" max="8476" width="5.875" style="1" customWidth="1"/>
    <col min="8477" max="8477" width="6" style="1" customWidth="1"/>
    <col min="8478" max="8478" width="6.875" style="1" customWidth="1"/>
    <col min="8479" max="8479" width="6" style="1" customWidth="1"/>
    <col min="8480" max="8480" width="18.125" style="1" customWidth="1"/>
    <col min="8481" max="8718" width="9" style="1"/>
    <col min="8719" max="8719" width="2.125" style="1" customWidth="1"/>
    <col min="8720" max="8720" width="5.875" style="1" customWidth="1"/>
    <col min="8721" max="8721" width="6.875" style="1" customWidth="1"/>
    <col min="8722" max="8722" width="6.125" style="1" customWidth="1"/>
    <col min="8723" max="8723" width="6.875" style="1" customWidth="1"/>
    <col min="8724" max="8724" width="10.875" style="1" customWidth="1"/>
    <col min="8725" max="8725" width="11.625" style="1" customWidth="1"/>
    <col min="8726" max="8726" width="5.625" style="1" customWidth="1"/>
    <col min="8727" max="8727" width="6" style="1" customWidth="1"/>
    <col min="8728" max="8728" width="6.625" style="1" customWidth="1"/>
    <col min="8729" max="8729" width="11.125" style="1" customWidth="1"/>
    <col min="8730" max="8730" width="7.125" style="1" customWidth="1"/>
    <col min="8731" max="8732" width="5.875" style="1" customWidth="1"/>
    <col min="8733" max="8733" width="6" style="1" customWidth="1"/>
    <col min="8734" max="8734" width="6.875" style="1" customWidth="1"/>
    <col min="8735" max="8735" width="6" style="1" customWidth="1"/>
    <col min="8736" max="8736" width="18.125" style="1" customWidth="1"/>
    <col min="8737" max="8974" width="9" style="1"/>
    <col min="8975" max="8975" width="2.125" style="1" customWidth="1"/>
    <col min="8976" max="8976" width="5.875" style="1" customWidth="1"/>
    <col min="8977" max="8977" width="6.875" style="1" customWidth="1"/>
    <col min="8978" max="8978" width="6.125" style="1" customWidth="1"/>
    <col min="8979" max="8979" width="6.875" style="1" customWidth="1"/>
    <col min="8980" max="8980" width="10.875" style="1" customWidth="1"/>
    <col min="8981" max="8981" width="11.625" style="1" customWidth="1"/>
    <col min="8982" max="8982" width="5.625" style="1" customWidth="1"/>
    <col min="8983" max="8983" width="6" style="1" customWidth="1"/>
    <col min="8984" max="8984" width="6.625" style="1" customWidth="1"/>
    <col min="8985" max="8985" width="11.125" style="1" customWidth="1"/>
    <col min="8986" max="8986" width="7.125" style="1" customWidth="1"/>
    <col min="8987" max="8988" width="5.875" style="1" customWidth="1"/>
    <col min="8989" max="8989" width="6" style="1" customWidth="1"/>
    <col min="8990" max="8990" width="6.875" style="1" customWidth="1"/>
    <col min="8991" max="8991" width="6" style="1" customWidth="1"/>
    <col min="8992" max="8992" width="18.125" style="1" customWidth="1"/>
    <col min="8993" max="9230" width="9" style="1"/>
    <col min="9231" max="9231" width="2.125" style="1" customWidth="1"/>
    <col min="9232" max="9232" width="5.875" style="1" customWidth="1"/>
    <col min="9233" max="9233" width="6.875" style="1" customWidth="1"/>
    <col min="9234" max="9234" width="6.125" style="1" customWidth="1"/>
    <col min="9235" max="9235" width="6.875" style="1" customWidth="1"/>
    <col min="9236" max="9236" width="10.875" style="1" customWidth="1"/>
    <col min="9237" max="9237" width="11.625" style="1" customWidth="1"/>
    <col min="9238" max="9238" width="5.625" style="1" customWidth="1"/>
    <col min="9239" max="9239" width="6" style="1" customWidth="1"/>
    <col min="9240" max="9240" width="6.625" style="1" customWidth="1"/>
    <col min="9241" max="9241" width="11.125" style="1" customWidth="1"/>
    <col min="9242" max="9242" width="7.125" style="1" customWidth="1"/>
    <col min="9243" max="9244" width="5.875" style="1" customWidth="1"/>
    <col min="9245" max="9245" width="6" style="1" customWidth="1"/>
    <col min="9246" max="9246" width="6.875" style="1" customWidth="1"/>
    <col min="9247" max="9247" width="6" style="1" customWidth="1"/>
    <col min="9248" max="9248" width="18.125" style="1" customWidth="1"/>
    <col min="9249" max="9486" width="9" style="1"/>
    <col min="9487" max="9487" width="2.125" style="1" customWidth="1"/>
    <col min="9488" max="9488" width="5.875" style="1" customWidth="1"/>
    <col min="9489" max="9489" width="6.875" style="1" customWidth="1"/>
    <col min="9490" max="9490" width="6.125" style="1" customWidth="1"/>
    <col min="9491" max="9491" width="6.875" style="1" customWidth="1"/>
    <col min="9492" max="9492" width="10.875" style="1" customWidth="1"/>
    <col min="9493" max="9493" width="11.625" style="1" customWidth="1"/>
    <col min="9494" max="9494" width="5.625" style="1" customWidth="1"/>
    <col min="9495" max="9495" width="6" style="1" customWidth="1"/>
    <col min="9496" max="9496" width="6.625" style="1" customWidth="1"/>
    <col min="9497" max="9497" width="11.125" style="1" customWidth="1"/>
    <col min="9498" max="9498" width="7.125" style="1" customWidth="1"/>
    <col min="9499" max="9500" width="5.875" style="1" customWidth="1"/>
    <col min="9501" max="9501" width="6" style="1" customWidth="1"/>
    <col min="9502" max="9502" width="6.875" style="1" customWidth="1"/>
    <col min="9503" max="9503" width="6" style="1" customWidth="1"/>
    <col min="9504" max="9504" width="18.125" style="1" customWidth="1"/>
    <col min="9505" max="9742" width="9" style="1"/>
    <col min="9743" max="9743" width="2.125" style="1" customWidth="1"/>
    <col min="9744" max="9744" width="5.875" style="1" customWidth="1"/>
    <col min="9745" max="9745" width="6.875" style="1" customWidth="1"/>
    <col min="9746" max="9746" width="6.125" style="1" customWidth="1"/>
    <col min="9747" max="9747" width="6.875" style="1" customWidth="1"/>
    <col min="9748" max="9748" width="10.875" style="1" customWidth="1"/>
    <col min="9749" max="9749" width="11.625" style="1" customWidth="1"/>
    <col min="9750" max="9750" width="5.625" style="1" customWidth="1"/>
    <col min="9751" max="9751" width="6" style="1" customWidth="1"/>
    <col min="9752" max="9752" width="6.625" style="1" customWidth="1"/>
    <col min="9753" max="9753" width="11.125" style="1" customWidth="1"/>
    <col min="9754" max="9754" width="7.125" style="1" customWidth="1"/>
    <col min="9755" max="9756" width="5.875" style="1" customWidth="1"/>
    <col min="9757" max="9757" width="6" style="1" customWidth="1"/>
    <col min="9758" max="9758" width="6.875" style="1" customWidth="1"/>
    <col min="9759" max="9759" width="6" style="1" customWidth="1"/>
    <col min="9760" max="9760" width="18.125" style="1" customWidth="1"/>
    <col min="9761" max="9998" width="9" style="1"/>
    <col min="9999" max="9999" width="2.125" style="1" customWidth="1"/>
    <col min="10000" max="10000" width="5.875" style="1" customWidth="1"/>
    <col min="10001" max="10001" width="6.875" style="1" customWidth="1"/>
    <col min="10002" max="10002" width="6.125" style="1" customWidth="1"/>
    <col min="10003" max="10003" width="6.875" style="1" customWidth="1"/>
    <col min="10004" max="10004" width="10.875" style="1" customWidth="1"/>
    <col min="10005" max="10005" width="11.625" style="1" customWidth="1"/>
    <col min="10006" max="10006" width="5.625" style="1" customWidth="1"/>
    <col min="10007" max="10007" width="6" style="1" customWidth="1"/>
    <col min="10008" max="10008" width="6.625" style="1" customWidth="1"/>
    <col min="10009" max="10009" width="11.125" style="1" customWidth="1"/>
    <col min="10010" max="10010" width="7.125" style="1" customWidth="1"/>
    <col min="10011" max="10012" width="5.875" style="1" customWidth="1"/>
    <col min="10013" max="10013" width="6" style="1" customWidth="1"/>
    <col min="10014" max="10014" width="6.875" style="1" customWidth="1"/>
    <col min="10015" max="10015" width="6" style="1" customWidth="1"/>
    <col min="10016" max="10016" width="18.125" style="1" customWidth="1"/>
    <col min="10017" max="10254" width="9" style="1"/>
    <col min="10255" max="10255" width="2.125" style="1" customWidth="1"/>
    <col min="10256" max="10256" width="5.875" style="1" customWidth="1"/>
    <col min="10257" max="10257" width="6.875" style="1" customWidth="1"/>
    <col min="10258" max="10258" width="6.125" style="1" customWidth="1"/>
    <col min="10259" max="10259" width="6.875" style="1" customWidth="1"/>
    <col min="10260" max="10260" width="10.875" style="1" customWidth="1"/>
    <col min="10261" max="10261" width="11.625" style="1" customWidth="1"/>
    <col min="10262" max="10262" width="5.625" style="1" customWidth="1"/>
    <col min="10263" max="10263" width="6" style="1" customWidth="1"/>
    <col min="10264" max="10264" width="6.625" style="1" customWidth="1"/>
    <col min="10265" max="10265" width="11.125" style="1" customWidth="1"/>
    <col min="10266" max="10266" width="7.125" style="1" customWidth="1"/>
    <col min="10267" max="10268" width="5.875" style="1" customWidth="1"/>
    <col min="10269" max="10269" width="6" style="1" customWidth="1"/>
    <col min="10270" max="10270" width="6.875" style="1" customWidth="1"/>
    <col min="10271" max="10271" width="6" style="1" customWidth="1"/>
    <col min="10272" max="10272" width="18.125" style="1" customWidth="1"/>
    <col min="10273" max="10510" width="9" style="1"/>
    <col min="10511" max="10511" width="2.125" style="1" customWidth="1"/>
    <col min="10512" max="10512" width="5.875" style="1" customWidth="1"/>
    <col min="10513" max="10513" width="6.875" style="1" customWidth="1"/>
    <col min="10514" max="10514" width="6.125" style="1" customWidth="1"/>
    <col min="10515" max="10515" width="6.875" style="1" customWidth="1"/>
    <col min="10516" max="10516" width="10.875" style="1" customWidth="1"/>
    <col min="10517" max="10517" width="11.625" style="1" customWidth="1"/>
    <col min="10518" max="10518" width="5.625" style="1" customWidth="1"/>
    <col min="10519" max="10519" width="6" style="1" customWidth="1"/>
    <col min="10520" max="10520" width="6.625" style="1" customWidth="1"/>
    <col min="10521" max="10521" width="11.125" style="1" customWidth="1"/>
    <col min="10522" max="10522" width="7.125" style="1" customWidth="1"/>
    <col min="10523" max="10524" width="5.875" style="1" customWidth="1"/>
    <col min="10525" max="10525" width="6" style="1" customWidth="1"/>
    <col min="10526" max="10526" width="6.875" style="1" customWidth="1"/>
    <col min="10527" max="10527" width="6" style="1" customWidth="1"/>
    <col min="10528" max="10528" width="18.125" style="1" customWidth="1"/>
    <col min="10529" max="10766" width="9" style="1"/>
    <col min="10767" max="10767" width="2.125" style="1" customWidth="1"/>
    <col min="10768" max="10768" width="5.875" style="1" customWidth="1"/>
    <col min="10769" max="10769" width="6.875" style="1" customWidth="1"/>
    <col min="10770" max="10770" width="6.125" style="1" customWidth="1"/>
    <col min="10771" max="10771" width="6.875" style="1" customWidth="1"/>
    <col min="10772" max="10772" width="10.875" style="1" customWidth="1"/>
    <col min="10773" max="10773" width="11.625" style="1" customWidth="1"/>
    <col min="10774" max="10774" width="5.625" style="1" customWidth="1"/>
    <col min="10775" max="10775" width="6" style="1" customWidth="1"/>
    <col min="10776" max="10776" width="6.625" style="1" customWidth="1"/>
    <col min="10777" max="10777" width="11.125" style="1" customWidth="1"/>
    <col min="10778" max="10778" width="7.125" style="1" customWidth="1"/>
    <col min="10779" max="10780" width="5.875" style="1" customWidth="1"/>
    <col min="10781" max="10781" width="6" style="1" customWidth="1"/>
    <col min="10782" max="10782" width="6.875" style="1" customWidth="1"/>
    <col min="10783" max="10783" width="6" style="1" customWidth="1"/>
    <col min="10784" max="10784" width="18.125" style="1" customWidth="1"/>
    <col min="10785" max="11022" width="9" style="1"/>
    <col min="11023" max="11023" width="2.125" style="1" customWidth="1"/>
    <col min="11024" max="11024" width="5.875" style="1" customWidth="1"/>
    <col min="11025" max="11025" width="6.875" style="1" customWidth="1"/>
    <col min="11026" max="11026" width="6.125" style="1" customWidth="1"/>
    <col min="11027" max="11027" width="6.875" style="1" customWidth="1"/>
    <col min="11028" max="11028" width="10.875" style="1" customWidth="1"/>
    <col min="11029" max="11029" width="11.625" style="1" customWidth="1"/>
    <col min="11030" max="11030" width="5.625" style="1" customWidth="1"/>
    <col min="11031" max="11031" width="6" style="1" customWidth="1"/>
    <col min="11032" max="11032" width="6.625" style="1" customWidth="1"/>
    <col min="11033" max="11033" width="11.125" style="1" customWidth="1"/>
    <col min="11034" max="11034" width="7.125" style="1" customWidth="1"/>
    <col min="11035" max="11036" width="5.875" style="1" customWidth="1"/>
    <col min="11037" max="11037" width="6" style="1" customWidth="1"/>
    <col min="11038" max="11038" width="6.875" style="1" customWidth="1"/>
    <col min="11039" max="11039" width="6" style="1" customWidth="1"/>
    <col min="11040" max="11040" width="18.125" style="1" customWidth="1"/>
    <col min="11041" max="11278" width="9" style="1"/>
    <col min="11279" max="11279" width="2.125" style="1" customWidth="1"/>
    <col min="11280" max="11280" width="5.875" style="1" customWidth="1"/>
    <col min="11281" max="11281" width="6.875" style="1" customWidth="1"/>
    <col min="11282" max="11282" width="6.125" style="1" customWidth="1"/>
    <col min="11283" max="11283" width="6.875" style="1" customWidth="1"/>
    <col min="11284" max="11284" width="10.875" style="1" customWidth="1"/>
    <col min="11285" max="11285" width="11.625" style="1" customWidth="1"/>
    <col min="11286" max="11286" width="5.625" style="1" customWidth="1"/>
    <col min="11287" max="11287" width="6" style="1" customWidth="1"/>
    <col min="11288" max="11288" width="6.625" style="1" customWidth="1"/>
    <col min="11289" max="11289" width="11.125" style="1" customWidth="1"/>
    <col min="11290" max="11290" width="7.125" style="1" customWidth="1"/>
    <col min="11291" max="11292" width="5.875" style="1" customWidth="1"/>
    <col min="11293" max="11293" width="6" style="1" customWidth="1"/>
    <col min="11294" max="11294" width="6.875" style="1" customWidth="1"/>
    <col min="11295" max="11295" width="6" style="1" customWidth="1"/>
    <col min="11296" max="11296" width="18.125" style="1" customWidth="1"/>
    <col min="11297" max="11534" width="9" style="1"/>
    <col min="11535" max="11535" width="2.125" style="1" customWidth="1"/>
    <col min="11536" max="11536" width="5.875" style="1" customWidth="1"/>
    <col min="11537" max="11537" width="6.875" style="1" customWidth="1"/>
    <col min="11538" max="11538" width="6.125" style="1" customWidth="1"/>
    <col min="11539" max="11539" width="6.875" style="1" customWidth="1"/>
    <col min="11540" max="11540" width="10.875" style="1" customWidth="1"/>
    <col min="11541" max="11541" width="11.625" style="1" customWidth="1"/>
    <col min="11542" max="11542" width="5.625" style="1" customWidth="1"/>
    <col min="11543" max="11543" width="6" style="1" customWidth="1"/>
    <col min="11544" max="11544" width="6.625" style="1" customWidth="1"/>
    <col min="11545" max="11545" width="11.125" style="1" customWidth="1"/>
    <col min="11546" max="11546" width="7.125" style="1" customWidth="1"/>
    <col min="11547" max="11548" width="5.875" style="1" customWidth="1"/>
    <col min="11549" max="11549" width="6" style="1" customWidth="1"/>
    <col min="11550" max="11550" width="6.875" style="1" customWidth="1"/>
    <col min="11551" max="11551" width="6" style="1" customWidth="1"/>
    <col min="11552" max="11552" width="18.125" style="1" customWidth="1"/>
    <col min="11553" max="11790" width="9" style="1"/>
    <col min="11791" max="11791" width="2.125" style="1" customWidth="1"/>
    <col min="11792" max="11792" width="5.875" style="1" customWidth="1"/>
    <col min="11793" max="11793" width="6.875" style="1" customWidth="1"/>
    <col min="11794" max="11794" width="6.125" style="1" customWidth="1"/>
    <col min="11795" max="11795" width="6.875" style="1" customWidth="1"/>
    <col min="11796" max="11796" width="10.875" style="1" customWidth="1"/>
    <col min="11797" max="11797" width="11.625" style="1" customWidth="1"/>
    <col min="11798" max="11798" width="5.625" style="1" customWidth="1"/>
    <col min="11799" max="11799" width="6" style="1" customWidth="1"/>
    <col min="11800" max="11800" width="6.625" style="1" customWidth="1"/>
    <col min="11801" max="11801" width="11.125" style="1" customWidth="1"/>
    <col min="11802" max="11802" width="7.125" style="1" customWidth="1"/>
    <col min="11803" max="11804" width="5.875" style="1" customWidth="1"/>
    <col min="11805" max="11805" width="6" style="1" customWidth="1"/>
    <col min="11806" max="11806" width="6.875" style="1" customWidth="1"/>
    <col min="11807" max="11807" width="6" style="1" customWidth="1"/>
    <col min="11808" max="11808" width="18.125" style="1" customWidth="1"/>
    <col min="11809" max="12046" width="9" style="1"/>
    <col min="12047" max="12047" width="2.125" style="1" customWidth="1"/>
    <col min="12048" max="12048" width="5.875" style="1" customWidth="1"/>
    <col min="12049" max="12049" width="6.875" style="1" customWidth="1"/>
    <col min="12050" max="12050" width="6.125" style="1" customWidth="1"/>
    <col min="12051" max="12051" width="6.875" style="1" customWidth="1"/>
    <col min="12052" max="12052" width="10.875" style="1" customWidth="1"/>
    <col min="12053" max="12053" width="11.625" style="1" customWidth="1"/>
    <col min="12054" max="12054" width="5.625" style="1" customWidth="1"/>
    <col min="12055" max="12055" width="6" style="1" customWidth="1"/>
    <col min="12056" max="12056" width="6.625" style="1" customWidth="1"/>
    <col min="12057" max="12057" width="11.125" style="1" customWidth="1"/>
    <col min="12058" max="12058" width="7.125" style="1" customWidth="1"/>
    <col min="12059" max="12060" width="5.875" style="1" customWidth="1"/>
    <col min="12061" max="12061" width="6" style="1" customWidth="1"/>
    <col min="12062" max="12062" width="6.875" style="1" customWidth="1"/>
    <col min="12063" max="12063" width="6" style="1" customWidth="1"/>
    <col min="12064" max="12064" width="18.125" style="1" customWidth="1"/>
    <col min="12065" max="12302" width="9" style="1"/>
    <col min="12303" max="12303" width="2.125" style="1" customWidth="1"/>
    <col min="12304" max="12304" width="5.875" style="1" customWidth="1"/>
    <col min="12305" max="12305" width="6.875" style="1" customWidth="1"/>
    <col min="12306" max="12306" width="6.125" style="1" customWidth="1"/>
    <col min="12307" max="12307" width="6.875" style="1" customWidth="1"/>
    <col min="12308" max="12308" width="10.875" style="1" customWidth="1"/>
    <col min="12309" max="12309" width="11.625" style="1" customWidth="1"/>
    <col min="12310" max="12310" width="5.625" style="1" customWidth="1"/>
    <col min="12311" max="12311" width="6" style="1" customWidth="1"/>
    <col min="12312" max="12312" width="6.625" style="1" customWidth="1"/>
    <col min="12313" max="12313" width="11.125" style="1" customWidth="1"/>
    <col min="12314" max="12314" width="7.125" style="1" customWidth="1"/>
    <col min="12315" max="12316" width="5.875" style="1" customWidth="1"/>
    <col min="12317" max="12317" width="6" style="1" customWidth="1"/>
    <col min="12318" max="12318" width="6.875" style="1" customWidth="1"/>
    <col min="12319" max="12319" width="6" style="1" customWidth="1"/>
    <col min="12320" max="12320" width="18.125" style="1" customWidth="1"/>
    <col min="12321" max="12558" width="9" style="1"/>
    <col min="12559" max="12559" width="2.125" style="1" customWidth="1"/>
    <col min="12560" max="12560" width="5.875" style="1" customWidth="1"/>
    <col min="12561" max="12561" width="6.875" style="1" customWidth="1"/>
    <col min="12562" max="12562" width="6.125" style="1" customWidth="1"/>
    <col min="12563" max="12563" width="6.875" style="1" customWidth="1"/>
    <col min="12564" max="12564" width="10.875" style="1" customWidth="1"/>
    <col min="12565" max="12565" width="11.625" style="1" customWidth="1"/>
    <col min="12566" max="12566" width="5.625" style="1" customWidth="1"/>
    <col min="12567" max="12567" width="6" style="1" customWidth="1"/>
    <col min="12568" max="12568" width="6.625" style="1" customWidth="1"/>
    <col min="12569" max="12569" width="11.125" style="1" customWidth="1"/>
    <col min="12570" max="12570" width="7.125" style="1" customWidth="1"/>
    <col min="12571" max="12572" width="5.875" style="1" customWidth="1"/>
    <col min="12573" max="12573" width="6" style="1" customWidth="1"/>
    <col min="12574" max="12574" width="6.875" style="1" customWidth="1"/>
    <col min="12575" max="12575" width="6" style="1" customWidth="1"/>
    <col min="12576" max="12576" width="18.125" style="1" customWidth="1"/>
    <col min="12577" max="12814" width="9" style="1"/>
    <col min="12815" max="12815" width="2.125" style="1" customWidth="1"/>
    <col min="12816" max="12816" width="5.875" style="1" customWidth="1"/>
    <col min="12817" max="12817" width="6.875" style="1" customWidth="1"/>
    <col min="12818" max="12818" width="6.125" style="1" customWidth="1"/>
    <col min="12819" max="12819" width="6.875" style="1" customWidth="1"/>
    <col min="12820" max="12820" width="10.875" style="1" customWidth="1"/>
    <col min="12821" max="12821" width="11.625" style="1" customWidth="1"/>
    <col min="12822" max="12822" width="5.625" style="1" customWidth="1"/>
    <col min="12823" max="12823" width="6" style="1" customWidth="1"/>
    <col min="12824" max="12824" width="6.625" style="1" customWidth="1"/>
    <col min="12825" max="12825" width="11.125" style="1" customWidth="1"/>
    <col min="12826" max="12826" width="7.125" style="1" customWidth="1"/>
    <col min="12827" max="12828" width="5.875" style="1" customWidth="1"/>
    <col min="12829" max="12829" width="6" style="1" customWidth="1"/>
    <col min="12830" max="12830" width="6.875" style="1" customWidth="1"/>
    <col min="12831" max="12831" width="6" style="1" customWidth="1"/>
    <col min="12832" max="12832" width="18.125" style="1" customWidth="1"/>
    <col min="12833" max="13070" width="9" style="1"/>
    <col min="13071" max="13071" width="2.125" style="1" customWidth="1"/>
    <col min="13072" max="13072" width="5.875" style="1" customWidth="1"/>
    <col min="13073" max="13073" width="6.875" style="1" customWidth="1"/>
    <col min="13074" max="13074" width="6.125" style="1" customWidth="1"/>
    <col min="13075" max="13075" width="6.875" style="1" customWidth="1"/>
    <col min="13076" max="13076" width="10.875" style="1" customWidth="1"/>
    <col min="13077" max="13077" width="11.625" style="1" customWidth="1"/>
    <col min="13078" max="13078" width="5.625" style="1" customWidth="1"/>
    <col min="13079" max="13079" width="6" style="1" customWidth="1"/>
    <col min="13080" max="13080" width="6.625" style="1" customWidth="1"/>
    <col min="13081" max="13081" width="11.125" style="1" customWidth="1"/>
    <col min="13082" max="13082" width="7.125" style="1" customWidth="1"/>
    <col min="13083" max="13084" width="5.875" style="1" customWidth="1"/>
    <col min="13085" max="13085" width="6" style="1" customWidth="1"/>
    <col min="13086" max="13086" width="6.875" style="1" customWidth="1"/>
    <col min="13087" max="13087" width="6" style="1" customWidth="1"/>
    <col min="13088" max="13088" width="18.125" style="1" customWidth="1"/>
    <col min="13089" max="13326" width="9" style="1"/>
    <col min="13327" max="13327" width="2.125" style="1" customWidth="1"/>
    <col min="13328" max="13328" width="5.875" style="1" customWidth="1"/>
    <col min="13329" max="13329" width="6.875" style="1" customWidth="1"/>
    <col min="13330" max="13330" width="6.125" style="1" customWidth="1"/>
    <col min="13331" max="13331" width="6.875" style="1" customWidth="1"/>
    <col min="13332" max="13332" width="10.875" style="1" customWidth="1"/>
    <col min="13333" max="13333" width="11.625" style="1" customWidth="1"/>
    <col min="13334" max="13334" width="5.625" style="1" customWidth="1"/>
    <col min="13335" max="13335" width="6" style="1" customWidth="1"/>
    <col min="13336" max="13336" width="6.625" style="1" customWidth="1"/>
    <col min="13337" max="13337" width="11.125" style="1" customWidth="1"/>
    <col min="13338" max="13338" width="7.125" style="1" customWidth="1"/>
    <col min="13339" max="13340" width="5.875" style="1" customWidth="1"/>
    <col min="13341" max="13341" width="6" style="1" customWidth="1"/>
    <col min="13342" max="13342" width="6.875" style="1" customWidth="1"/>
    <col min="13343" max="13343" width="6" style="1" customWidth="1"/>
    <col min="13344" max="13344" width="18.125" style="1" customWidth="1"/>
    <col min="13345" max="13582" width="9" style="1"/>
    <col min="13583" max="13583" width="2.125" style="1" customWidth="1"/>
    <col min="13584" max="13584" width="5.875" style="1" customWidth="1"/>
    <col min="13585" max="13585" width="6.875" style="1" customWidth="1"/>
    <col min="13586" max="13586" width="6.125" style="1" customWidth="1"/>
    <col min="13587" max="13587" width="6.875" style="1" customWidth="1"/>
    <col min="13588" max="13588" width="10.875" style="1" customWidth="1"/>
    <col min="13589" max="13589" width="11.625" style="1" customWidth="1"/>
    <col min="13590" max="13590" width="5.625" style="1" customWidth="1"/>
    <col min="13591" max="13591" width="6" style="1" customWidth="1"/>
    <col min="13592" max="13592" width="6.625" style="1" customWidth="1"/>
    <col min="13593" max="13593" width="11.125" style="1" customWidth="1"/>
    <col min="13594" max="13594" width="7.125" style="1" customWidth="1"/>
    <col min="13595" max="13596" width="5.875" style="1" customWidth="1"/>
    <col min="13597" max="13597" width="6" style="1" customWidth="1"/>
    <col min="13598" max="13598" width="6.875" style="1" customWidth="1"/>
    <col min="13599" max="13599" width="6" style="1" customWidth="1"/>
    <col min="13600" max="13600" width="18.125" style="1" customWidth="1"/>
    <col min="13601" max="13838" width="9" style="1"/>
    <col min="13839" max="13839" width="2.125" style="1" customWidth="1"/>
    <col min="13840" max="13840" width="5.875" style="1" customWidth="1"/>
    <col min="13841" max="13841" width="6.875" style="1" customWidth="1"/>
    <col min="13842" max="13842" width="6.125" style="1" customWidth="1"/>
    <col min="13843" max="13843" width="6.875" style="1" customWidth="1"/>
    <col min="13844" max="13844" width="10.875" style="1" customWidth="1"/>
    <col min="13845" max="13845" width="11.625" style="1" customWidth="1"/>
    <col min="13846" max="13846" width="5.625" style="1" customWidth="1"/>
    <col min="13847" max="13847" width="6" style="1" customWidth="1"/>
    <col min="13848" max="13848" width="6.625" style="1" customWidth="1"/>
    <col min="13849" max="13849" width="11.125" style="1" customWidth="1"/>
    <col min="13850" max="13850" width="7.125" style="1" customWidth="1"/>
    <col min="13851" max="13852" width="5.875" style="1" customWidth="1"/>
    <col min="13853" max="13853" width="6" style="1" customWidth="1"/>
    <col min="13854" max="13854" width="6.875" style="1" customWidth="1"/>
    <col min="13855" max="13855" width="6" style="1" customWidth="1"/>
    <col min="13856" max="13856" width="18.125" style="1" customWidth="1"/>
    <col min="13857" max="14094" width="9" style="1"/>
    <col min="14095" max="14095" width="2.125" style="1" customWidth="1"/>
    <col min="14096" max="14096" width="5.875" style="1" customWidth="1"/>
    <col min="14097" max="14097" width="6.875" style="1" customWidth="1"/>
    <col min="14098" max="14098" width="6.125" style="1" customWidth="1"/>
    <col min="14099" max="14099" width="6.875" style="1" customWidth="1"/>
    <col min="14100" max="14100" width="10.875" style="1" customWidth="1"/>
    <col min="14101" max="14101" width="11.625" style="1" customWidth="1"/>
    <col min="14102" max="14102" width="5.625" style="1" customWidth="1"/>
    <col min="14103" max="14103" width="6" style="1" customWidth="1"/>
    <col min="14104" max="14104" width="6.625" style="1" customWidth="1"/>
    <col min="14105" max="14105" width="11.125" style="1" customWidth="1"/>
    <col min="14106" max="14106" width="7.125" style="1" customWidth="1"/>
    <col min="14107" max="14108" width="5.875" style="1" customWidth="1"/>
    <col min="14109" max="14109" width="6" style="1" customWidth="1"/>
    <col min="14110" max="14110" width="6.875" style="1" customWidth="1"/>
    <col min="14111" max="14111" width="6" style="1" customWidth="1"/>
    <col min="14112" max="14112" width="18.125" style="1" customWidth="1"/>
    <col min="14113" max="14350" width="9" style="1"/>
    <col min="14351" max="14351" width="2.125" style="1" customWidth="1"/>
    <col min="14352" max="14352" width="5.875" style="1" customWidth="1"/>
    <col min="14353" max="14353" width="6.875" style="1" customWidth="1"/>
    <col min="14354" max="14354" width="6.125" style="1" customWidth="1"/>
    <col min="14355" max="14355" width="6.875" style="1" customWidth="1"/>
    <col min="14356" max="14356" width="10.875" style="1" customWidth="1"/>
    <col min="14357" max="14357" width="11.625" style="1" customWidth="1"/>
    <col min="14358" max="14358" width="5.625" style="1" customWidth="1"/>
    <col min="14359" max="14359" width="6" style="1" customWidth="1"/>
    <col min="14360" max="14360" width="6.625" style="1" customWidth="1"/>
    <col min="14361" max="14361" width="11.125" style="1" customWidth="1"/>
    <col min="14362" max="14362" width="7.125" style="1" customWidth="1"/>
    <col min="14363" max="14364" width="5.875" style="1" customWidth="1"/>
    <col min="14365" max="14365" width="6" style="1" customWidth="1"/>
    <col min="14366" max="14366" width="6.875" style="1" customWidth="1"/>
    <col min="14367" max="14367" width="6" style="1" customWidth="1"/>
    <col min="14368" max="14368" width="18.125" style="1" customWidth="1"/>
    <col min="14369" max="14606" width="9" style="1"/>
    <col min="14607" max="14607" width="2.125" style="1" customWidth="1"/>
    <col min="14608" max="14608" width="5.875" style="1" customWidth="1"/>
    <col min="14609" max="14609" width="6.875" style="1" customWidth="1"/>
    <col min="14610" max="14610" width="6.125" style="1" customWidth="1"/>
    <col min="14611" max="14611" width="6.875" style="1" customWidth="1"/>
    <col min="14612" max="14612" width="10.875" style="1" customWidth="1"/>
    <col min="14613" max="14613" width="11.625" style="1" customWidth="1"/>
    <col min="14614" max="14614" width="5.625" style="1" customWidth="1"/>
    <col min="14615" max="14615" width="6" style="1" customWidth="1"/>
    <col min="14616" max="14616" width="6.625" style="1" customWidth="1"/>
    <col min="14617" max="14617" width="11.125" style="1" customWidth="1"/>
    <col min="14618" max="14618" width="7.125" style="1" customWidth="1"/>
    <col min="14619" max="14620" width="5.875" style="1" customWidth="1"/>
    <col min="14621" max="14621" width="6" style="1" customWidth="1"/>
    <col min="14622" max="14622" width="6.875" style="1" customWidth="1"/>
    <col min="14623" max="14623" width="6" style="1" customWidth="1"/>
    <col min="14624" max="14624" width="18.125" style="1" customWidth="1"/>
    <col min="14625" max="14862" width="9" style="1"/>
    <col min="14863" max="14863" width="2.125" style="1" customWidth="1"/>
    <col min="14864" max="14864" width="5.875" style="1" customWidth="1"/>
    <col min="14865" max="14865" width="6.875" style="1" customWidth="1"/>
    <col min="14866" max="14866" width="6.125" style="1" customWidth="1"/>
    <col min="14867" max="14867" width="6.875" style="1" customWidth="1"/>
    <col min="14868" max="14868" width="10.875" style="1" customWidth="1"/>
    <col min="14869" max="14869" width="11.625" style="1" customWidth="1"/>
    <col min="14870" max="14870" width="5.625" style="1" customWidth="1"/>
    <col min="14871" max="14871" width="6" style="1" customWidth="1"/>
    <col min="14872" max="14872" width="6.625" style="1" customWidth="1"/>
    <col min="14873" max="14873" width="11.125" style="1" customWidth="1"/>
    <col min="14874" max="14874" width="7.125" style="1" customWidth="1"/>
    <col min="14875" max="14876" width="5.875" style="1" customWidth="1"/>
    <col min="14877" max="14877" width="6" style="1" customWidth="1"/>
    <col min="14878" max="14878" width="6.875" style="1" customWidth="1"/>
    <col min="14879" max="14879" width="6" style="1" customWidth="1"/>
    <col min="14880" max="14880" width="18.125" style="1" customWidth="1"/>
    <col min="14881" max="15118" width="9" style="1"/>
    <col min="15119" max="15119" width="2.125" style="1" customWidth="1"/>
    <col min="15120" max="15120" width="5.875" style="1" customWidth="1"/>
    <col min="15121" max="15121" width="6.875" style="1" customWidth="1"/>
    <col min="15122" max="15122" width="6.125" style="1" customWidth="1"/>
    <col min="15123" max="15123" width="6.875" style="1" customWidth="1"/>
    <col min="15124" max="15124" width="10.875" style="1" customWidth="1"/>
    <col min="15125" max="15125" width="11.625" style="1" customWidth="1"/>
    <col min="15126" max="15126" width="5.625" style="1" customWidth="1"/>
    <col min="15127" max="15127" width="6" style="1" customWidth="1"/>
    <col min="15128" max="15128" width="6.625" style="1" customWidth="1"/>
    <col min="15129" max="15129" width="11.125" style="1" customWidth="1"/>
    <col min="15130" max="15130" width="7.125" style="1" customWidth="1"/>
    <col min="15131" max="15132" width="5.875" style="1" customWidth="1"/>
    <col min="15133" max="15133" width="6" style="1" customWidth="1"/>
    <col min="15134" max="15134" width="6.875" style="1" customWidth="1"/>
    <col min="15135" max="15135" width="6" style="1" customWidth="1"/>
    <col min="15136" max="15136" width="18.125" style="1" customWidth="1"/>
    <col min="15137" max="15374" width="9" style="1"/>
    <col min="15375" max="15375" width="2.125" style="1" customWidth="1"/>
    <col min="15376" max="15376" width="5.875" style="1" customWidth="1"/>
    <col min="15377" max="15377" width="6.875" style="1" customWidth="1"/>
    <col min="15378" max="15378" width="6.125" style="1" customWidth="1"/>
    <col min="15379" max="15379" width="6.875" style="1" customWidth="1"/>
    <col min="15380" max="15380" width="10.875" style="1" customWidth="1"/>
    <col min="15381" max="15381" width="11.625" style="1" customWidth="1"/>
    <col min="15382" max="15382" width="5.625" style="1" customWidth="1"/>
    <col min="15383" max="15383" width="6" style="1" customWidth="1"/>
    <col min="15384" max="15384" width="6.625" style="1" customWidth="1"/>
    <col min="15385" max="15385" width="11.125" style="1" customWidth="1"/>
    <col min="15386" max="15386" width="7.125" style="1" customWidth="1"/>
    <col min="15387" max="15388" width="5.875" style="1" customWidth="1"/>
    <col min="15389" max="15389" width="6" style="1" customWidth="1"/>
    <col min="15390" max="15390" width="6.875" style="1" customWidth="1"/>
    <col min="15391" max="15391" width="6" style="1" customWidth="1"/>
    <col min="15392" max="15392" width="18.125" style="1" customWidth="1"/>
    <col min="15393" max="15630" width="9" style="1"/>
    <col min="15631" max="15631" width="2.125" style="1" customWidth="1"/>
    <col min="15632" max="15632" width="5.875" style="1" customWidth="1"/>
    <col min="15633" max="15633" width="6.875" style="1" customWidth="1"/>
    <col min="15634" max="15634" width="6.125" style="1" customWidth="1"/>
    <col min="15635" max="15635" width="6.875" style="1" customWidth="1"/>
    <col min="15636" max="15636" width="10.875" style="1" customWidth="1"/>
    <col min="15637" max="15637" width="11.625" style="1" customWidth="1"/>
    <col min="15638" max="15638" width="5.625" style="1" customWidth="1"/>
    <col min="15639" max="15639" width="6" style="1" customWidth="1"/>
    <col min="15640" max="15640" width="6.625" style="1" customWidth="1"/>
    <col min="15641" max="15641" width="11.125" style="1" customWidth="1"/>
    <col min="15642" max="15642" width="7.125" style="1" customWidth="1"/>
    <col min="15643" max="15644" width="5.875" style="1" customWidth="1"/>
    <col min="15645" max="15645" width="6" style="1" customWidth="1"/>
    <col min="15646" max="15646" width="6.875" style="1" customWidth="1"/>
    <col min="15647" max="15647" width="6" style="1" customWidth="1"/>
    <col min="15648" max="15648" width="18.125" style="1" customWidth="1"/>
    <col min="15649" max="15886" width="9" style="1"/>
    <col min="15887" max="15887" width="2.125" style="1" customWidth="1"/>
    <col min="15888" max="15888" width="5.875" style="1" customWidth="1"/>
    <col min="15889" max="15889" width="6.875" style="1" customWidth="1"/>
    <col min="15890" max="15890" width="6.125" style="1" customWidth="1"/>
    <col min="15891" max="15891" width="6.875" style="1" customWidth="1"/>
    <col min="15892" max="15892" width="10.875" style="1" customWidth="1"/>
    <col min="15893" max="15893" width="11.625" style="1" customWidth="1"/>
    <col min="15894" max="15894" width="5.625" style="1" customWidth="1"/>
    <col min="15895" max="15895" width="6" style="1" customWidth="1"/>
    <col min="15896" max="15896" width="6.625" style="1" customWidth="1"/>
    <col min="15897" max="15897" width="11.125" style="1" customWidth="1"/>
    <col min="15898" max="15898" width="7.125" style="1" customWidth="1"/>
    <col min="15899" max="15900" width="5.875" style="1" customWidth="1"/>
    <col min="15901" max="15901" width="6" style="1" customWidth="1"/>
    <col min="15902" max="15902" width="6.875" style="1" customWidth="1"/>
    <col min="15903" max="15903" width="6" style="1" customWidth="1"/>
    <col min="15904" max="15904" width="18.125" style="1" customWidth="1"/>
    <col min="15905" max="16142" width="9" style="1"/>
    <col min="16143" max="16143" width="2.125" style="1" customWidth="1"/>
    <col min="16144" max="16144" width="5.875" style="1" customWidth="1"/>
    <col min="16145" max="16145" width="6.875" style="1" customWidth="1"/>
    <col min="16146" max="16146" width="6.125" style="1" customWidth="1"/>
    <col min="16147" max="16147" width="6.875" style="1" customWidth="1"/>
    <col min="16148" max="16148" width="10.875" style="1" customWidth="1"/>
    <col min="16149" max="16149" width="11.625" style="1" customWidth="1"/>
    <col min="16150" max="16150" width="5.625" style="1" customWidth="1"/>
    <col min="16151" max="16151" width="6" style="1" customWidth="1"/>
    <col min="16152" max="16152" width="6.625" style="1" customWidth="1"/>
    <col min="16153" max="16153" width="11.125" style="1" customWidth="1"/>
    <col min="16154" max="16154" width="7.125" style="1" customWidth="1"/>
    <col min="16155" max="16156" width="5.875" style="1" customWidth="1"/>
    <col min="16157" max="16157" width="6" style="1" customWidth="1"/>
    <col min="16158" max="16158" width="6.875" style="1" customWidth="1"/>
    <col min="16159" max="16159" width="6" style="1" customWidth="1"/>
    <col min="16160" max="16160" width="18.125" style="1" customWidth="1"/>
    <col min="16161" max="16384" width="9" style="1"/>
  </cols>
  <sheetData>
    <row r="1" spans="2:36" ht="9.9499999999999993" customHeight="1" x14ac:dyDescent="0.15"/>
    <row r="2" spans="2:36" ht="17.45" customHeight="1" thickBot="1" x14ac:dyDescent="0.2">
      <c r="B2" s="92" t="s">
        <v>140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</row>
    <row r="3" spans="2:36" s="2" customFormat="1" ht="17.45" customHeight="1" x14ac:dyDescent="0.15">
      <c r="B3" s="99" t="s">
        <v>11</v>
      </c>
      <c r="C3" s="100" t="s">
        <v>10</v>
      </c>
      <c r="D3" s="96" t="s">
        <v>42</v>
      </c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8"/>
      <c r="AA3" s="102" t="s">
        <v>92</v>
      </c>
      <c r="AB3" s="103"/>
      <c r="AC3" s="103"/>
      <c r="AD3" s="103"/>
      <c r="AE3" s="103"/>
      <c r="AF3" s="103"/>
      <c r="AG3" s="103"/>
      <c r="AH3" s="103"/>
      <c r="AI3" s="103"/>
      <c r="AJ3" s="104"/>
    </row>
    <row r="4" spans="2:36" s="2" customFormat="1" ht="17.45" customHeight="1" x14ac:dyDescent="0.15">
      <c r="B4" s="90"/>
      <c r="C4" s="87"/>
      <c r="D4" s="83" t="s">
        <v>135</v>
      </c>
      <c r="E4" s="84"/>
      <c r="F4" s="84"/>
      <c r="G4" s="84"/>
      <c r="H4" s="84"/>
      <c r="I4" s="84"/>
      <c r="J4" s="85" t="s">
        <v>79</v>
      </c>
      <c r="K4" s="75"/>
      <c r="L4" s="75"/>
      <c r="M4" s="75"/>
      <c r="N4" s="75"/>
      <c r="O4" s="75"/>
      <c r="P4" s="75"/>
      <c r="Q4" s="75"/>
      <c r="R4" s="75"/>
      <c r="S4" s="75"/>
      <c r="T4" s="76"/>
      <c r="U4" s="77" t="s">
        <v>41</v>
      </c>
      <c r="V4" s="75"/>
      <c r="W4" s="75"/>
      <c r="X4" s="75"/>
      <c r="Y4" s="75"/>
      <c r="Z4" s="76"/>
      <c r="AA4" s="77" t="s">
        <v>81</v>
      </c>
      <c r="AB4" s="113" t="s">
        <v>82</v>
      </c>
      <c r="AC4" s="79" t="s">
        <v>83</v>
      </c>
      <c r="AD4" s="79" t="s">
        <v>36</v>
      </c>
      <c r="AE4" s="79" t="s">
        <v>85</v>
      </c>
      <c r="AF4" s="80" t="s">
        <v>86</v>
      </c>
      <c r="AG4" s="79" t="s">
        <v>87</v>
      </c>
      <c r="AH4" s="80" t="s">
        <v>88</v>
      </c>
      <c r="AI4" s="79" t="s">
        <v>90</v>
      </c>
      <c r="AJ4" s="101" t="s">
        <v>91</v>
      </c>
    </row>
    <row r="5" spans="2:36" s="2" customFormat="1" ht="37.5" customHeight="1" x14ac:dyDescent="0.15">
      <c r="B5" s="91"/>
      <c r="C5" s="88"/>
      <c r="D5" s="15" t="s">
        <v>0</v>
      </c>
      <c r="E5" s="3" t="s">
        <v>71</v>
      </c>
      <c r="F5" s="3" t="s">
        <v>72</v>
      </c>
      <c r="G5" s="3" t="s">
        <v>40</v>
      </c>
      <c r="H5" s="3" t="s">
        <v>73</v>
      </c>
      <c r="I5" s="44" t="s">
        <v>76</v>
      </c>
      <c r="J5" s="15" t="s">
        <v>3</v>
      </c>
      <c r="K5" s="3" t="s">
        <v>141</v>
      </c>
      <c r="L5" s="3" t="s">
        <v>136</v>
      </c>
      <c r="M5" s="3" t="s">
        <v>137</v>
      </c>
      <c r="N5" s="3" t="s">
        <v>137</v>
      </c>
      <c r="O5" s="3" t="s">
        <v>73</v>
      </c>
      <c r="P5" s="3" t="s">
        <v>74</v>
      </c>
      <c r="Q5" s="3" t="s">
        <v>75</v>
      </c>
      <c r="R5" s="3" t="s">
        <v>76</v>
      </c>
      <c r="S5" s="3" t="s">
        <v>77</v>
      </c>
      <c r="T5" s="9" t="s">
        <v>78</v>
      </c>
      <c r="U5" s="15" t="s">
        <v>3</v>
      </c>
      <c r="V5" s="108" t="s">
        <v>141</v>
      </c>
      <c r="W5" s="3" t="s">
        <v>136</v>
      </c>
      <c r="X5" s="3" t="s">
        <v>73</v>
      </c>
      <c r="Y5" s="3" t="s">
        <v>76</v>
      </c>
      <c r="Z5" s="9" t="s">
        <v>80</v>
      </c>
      <c r="AA5" s="78"/>
      <c r="AB5" s="114"/>
      <c r="AC5" s="70"/>
      <c r="AD5" s="70"/>
      <c r="AE5" s="70"/>
      <c r="AF5" s="70"/>
      <c r="AG5" s="70"/>
      <c r="AH5" s="70"/>
      <c r="AI5" s="70"/>
      <c r="AJ5" s="82"/>
    </row>
    <row r="6" spans="2:36" s="2" customFormat="1" ht="17.45" customHeight="1" x14ac:dyDescent="0.15">
      <c r="B6" s="89" t="s">
        <v>68</v>
      </c>
      <c r="C6" s="86" t="s">
        <v>67</v>
      </c>
      <c r="D6" s="12" t="s">
        <v>1</v>
      </c>
      <c r="E6" s="4" t="s">
        <v>1</v>
      </c>
      <c r="F6" s="4" t="s">
        <v>7</v>
      </c>
      <c r="G6" s="117" t="s">
        <v>1</v>
      </c>
      <c r="H6" s="4" t="s">
        <v>2</v>
      </c>
      <c r="I6" s="45" t="s">
        <v>2</v>
      </c>
      <c r="J6" s="12" t="s">
        <v>1</v>
      </c>
      <c r="K6" s="4" t="s">
        <v>1</v>
      </c>
      <c r="L6" s="4" t="s">
        <v>2</v>
      </c>
      <c r="M6" s="4" t="s">
        <v>2</v>
      </c>
      <c r="N6" s="4" t="s">
        <v>2</v>
      </c>
      <c r="O6" s="4" t="s">
        <v>2</v>
      </c>
      <c r="P6" s="4" t="s">
        <v>2</v>
      </c>
      <c r="Q6" s="4" t="s">
        <v>2</v>
      </c>
      <c r="R6" s="4" t="s">
        <v>2</v>
      </c>
      <c r="S6" s="4" t="s">
        <v>2</v>
      </c>
      <c r="T6" s="10" t="s">
        <v>2</v>
      </c>
      <c r="U6" s="12" t="s">
        <v>1</v>
      </c>
      <c r="V6" s="109" t="s">
        <v>1</v>
      </c>
      <c r="W6" s="4" t="s">
        <v>2</v>
      </c>
      <c r="X6" s="4" t="s">
        <v>2</v>
      </c>
      <c r="Y6" s="4" t="s">
        <v>2</v>
      </c>
      <c r="Z6" s="10" t="s">
        <v>2</v>
      </c>
      <c r="AA6" s="12" t="s">
        <v>43</v>
      </c>
      <c r="AB6" s="4" t="s">
        <v>43</v>
      </c>
      <c r="AC6" s="4" t="s">
        <v>37</v>
      </c>
      <c r="AD6" s="4" t="s">
        <v>43</v>
      </c>
      <c r="AE6" s="6" t="s">
        <v>37</v>
      </c>
      <c r="AF6" s="7" t="s">
        <v>84</v>
      </c>
      <c r="AG6" s="4" t="s">
        <v>43</v>
      </c>
      <c r="AH6" s="7" t="s">
        <v>89</v>
      </c>
      <c r="AI6" s="6" t="s">
        <v>37</v>
      </c>
      <c r="AJ6" s="17" t="s">
        <v>37</v>
      </c>
    </row>
    <row r="7" spans="2:36" s="2" customFormat="1" ht="15" customHeight="1" x14ac:dyDescent="0.15">
      <c r="B7" s="90"/>
      <c r="C7" s="87"/>
      <c r="D7" s="26">
        <f>J7+U7</f>
        <v>0</v>
      </c>
      <c r="E7" s="27">
        <f>K7+V7</f>
        <v>0</v>
      </c>
      <c r="F7" s="27"/>
      <c r="G7" s="27"/>
      <c r="H7" s="27"/>
      <c r="I7" s="46"/>
      <c r="J7" s="64"/>
      <c r="K7" s="65"/>
      <c r="L7" s="65"/>
      <c r="M7" s="65"/>
      <c r="N7" s="65"/>
      <c r="O7" s="65"/>
      <c r="P7" s="65"/>
      <c r="Q7" s="65"/>
      <c r="R7" s="65"/>
      <c r="S7" s="66"/>
      <c r="T7" s="67"/>
      <c r="U7" s="68"/>
      <c r="V7" s="110"/>
      <c r="W7" s="111"/>
      <c r="X7" s="112"/>
      <c r="Y7" s="112"/>
      <c r="Z7" s="63" t="e">
        <f>U7/D7</f>
        <v>#DIV/0!</v>
      </c>
      <c r="AA7" s="47"/>
      <c r="AB7" s="31"/>
      <c r="AC7" s="27"/>
      <c r="AD7" s="27"/>
      <c r="AE7" s="29"/>
      <c r="AF7" s="30"/>
      <c r="AG7" s="29"/>
      <c r="AH7" s="30"/>
      <c r="AI7" s="29"/>
      <c r="AJ7" s="32"/>
    </row>
    <row r="8" spans="2:36" s="2" customFormat="1" ht="17.45" customHeight="1" x14ac:dyDescent="0.15">
      <c r="B8" s="90"/>
      <c r="C8" s="87"/>
      <c r="D8" s="77" t="s">
        <v>9</v>
      </c>
      <c r="E8" s="75"/>
      <c r="F8" s="76"/>
      <c r="G8" s="77" t="s">
        <v>18</v>
      </c>
      <c r="H8" s="75"/>
      <c r="I8" s="75"/>
      <c r="J8" s="75"/>
      <c r="K8" s="75"/>
      <c r="L8" s="75"/>
      <c r="M8" s="75"/>
      <c r="N8" s="75"/>
      <c r="O8" s="76"/>
      <c r="P8" s="77" t="s">
        <v>105</v>
      </c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6"/>
      <c r="AE8" s="74" t="s">
        <v>54</v>
      </c>
      <c r="AF8" s="75"/>
      <c r="AG8" s="75"/>
      <c r="AH8" s="75"/>
      <c r="AI8" s="75"/>
      <c r="AJ8" s="81"/>
    </row>
    <row r="9" spans="2:36" s="2" customFormat="1" ht="15" customHeight="1" x14ac:dyDescent="0.15">
      <c r="B9" s="90"/>
      <c r="C9" s="87"/>
      <c r="D9" s="94" t="s">
        <v>8</v>
      </c>
      <c r="E9" s="95" t="s">
        <v>93</v>
      </c>
      <c r="F9" s="107" t="s">
        <v>94</v>
      </c>
      <c r="G9" s="94" t="s">
        <v>12</v>
      </c>
      <c r="H9" s="70"/>
      <c r="I9" s="71" t="s">
        <v>53</v>
      </c>
      <c r="J9" s="71" t="s">
        <v>97</v>
      </c>
      <c r="K9" s="71" t="s">
        <v>98</v>
      </c>
      <c r="L9" s="71" t="s">
        <v>99</v>
      </c>
      <c r="M9" s="71" t="s">
        <v>100</v>
      </c>
      <c r="N9" s="71" t="s">
        <v>101</v>
      </c>
      <c r="O9" s="72" t="s">
        <v>102</v>
      </c>
      <c r="P9" s="94" t="s">
        <v>47</v>
      </c>
      <c r="Q9" s="70"/>
      <c r="R9" s="95" t="s">
        <v>48</v>
      </c>
      <c r="S9" s="70"/>
      <c r="T9" s="70"/>
      <c r="U9" s="95" t="s">
        <v>51</v>
      </c>
      <c r="V9" s="105" t="s">
        <v>49</v>
      </c>
      <c r="W9" s="70"/>
      <c r="X9" s="105" t="s">
        <v>50</v>
      </c>
      <c r="Y9" s="70"/>
      <c r="Z9" s="70"/>
      <c r="AA9" s="105" t="s">
        <v>106</v>
      </c>
      <c r="AB9" s="95" t="s">
        <v>107</v>
      </c>
      <c r="AC9" s="106" t="s">
        <v>108</v>
      </c>
      <c r="AD9" s="107" t="s">
        <v>109</v>
      </c>
      <c r="AE9" s="69" t="s">
        <v>24</v>
      </c>
      <c r="AF9" s="70"/>
      <c r="AG9" s="70"/>
      <c r="AH9" s="71" t="s">
        <v>110</v>
      </c>
      <c r="AI9" s="70"/>
      <c r="AJ9" s="82"/>
    </row>
    <row r="10" spans="2:36" s="2" customFormat="1" ht="15" customHeight="1" x14ac:dyDescent="0.15">
      <c r="B10" s="90"/>
      <c r="C10" s="87"/>
      <c r="D10" s="78"/>
      <c r="E10" s="70"/>
      <c r="F10" s="73"/>
      <c r="G10" s="11" t="s">
        <v>13</v>
      </c>
      <c r="H10" s="8" t="s">
        <v>14</v>
      </c>
      <c r="I10" s="70"/>
      <c r="J10" s="70"/>
      <c r="K10" s="70"/>
      <c r="L10" s="70"/>
      <c r="M10" s="70"/>
      <c r="N10" s="70"/>
      <c r="O10" s="73"/>
      <c r="P10" s="11" t="s">
        <v>44</v>
      </c>
      <c r="Q10" s="8" t="s">
        <v>45</v>
      </c>
      <c r="R10" s="8" t="s">
        <v>45</v>
      </c>
      <c r="S10" s="8" t="s">
        <v>46</v>
      </c>
      <c r="T10" s="14" t="s">
        <v>104</v>
      </c>
      <c r="U10" s="70"/>
      <c r="V10" s="14" t="s">
        <v>44</v>
      </c>
      <c r="W10" s="8" t="s">
        <v>45</v>
      </c>
      <c r="X10" s="14" t="s">
        <v>45</v>
      </c>
      <c r="Y10" s="8" t="s">
        <v>46</v>
      </c>
      <c r="Z10" s="14" t="s">
        <v>104</v>
      </c>
      <c r="AA10" s="70"/>
      <c r="AB10" s="70"/>
      <c r="AC10" s="70"/>
      <c r="AD10" s="73"/>
      <c r="AE10" s="15" t="s">
        <v>25</v>
      </c>
      <c r="AF10" s="3" t="s">
        <v>26</v>
      </c>
      <c r="AG10" s="3" t="s">
        <v>27</v>
      </c>
      <c r="AH10" s="5" t="s">
        <v>19</v>
      </c>
      <c r="AI10" s="3" t="s">
        <v>28</v>
      </c>
      <c r="AJ10" s="41" t="s">
        <v>21</v>
      </c>
    </row>
    <row r="11" spans="2:36" s="2" customFormat="1" ht="17.45" customHeight="1" x14ac:dyDescent="0.15">
      <c r="B11" s="90"/>
      <c r="C11" s="87"/>
      <c r="D11" s="11" t="s">
        <v>7</v>
      </c>
      <c r="E11" s="8" t="s">
        <v>7</v>
      </c>
      <c r="F11" s="34" t="s">
        <v>7</v>
      </c>
      <c r="G11" s="12" t="s">
        <v>5</v>
      </c>
      <c r="H11" s="4" t="s">
        <v>4</v>
      </c>
      <c r="I11" s="4" t="s">
        <v>15</v>
      </c>
      <c r="J11" s="4" t="s">
        <v>5</v>
      </c>
      <c r="K11" s="23" t="s">
        <v>16</v>
      </c>
      <c r="L11" s="4" t="s">
        <v>17</v>
      </c>
      <c r="M11" s="23" t="s">
        <v>16</v>
      </c>
      <c r="N11" s="23" t="s">
        <v>16</v>
      </c>
      <c r="O11" s="10" t="s">
        <v>17</v>
      </c>
      <c r="P11" s="12" t="s">
        <v>2</v>
      </c>
      <c r="Q11" s="6" t="s">
        <v>2</v>
      </c>
      <c r="R11" s="4" t="s">
        <v>2</v>
      </c>
      <c r="S11" s="6" t="s">
        <v>2</v>
      </c>
      <c r="T11" s="7" t="s">
        <v>7</v>
      </c>
      <c r="U11" s="6" t="s">
        <v>4</v>
      </c>
      <c r="V11" s="7" t="s">
        <v>2</v>
      </c>
      <c r="W11" s="6" t="s">
        <v>4</v>
      </c>
      <c r="X11" s="7" t="s">
        <v>4</v>
      </c>
      <c r="Y11" s="6" t="s">
        <v>4</v>
      </c>
      <c r="Z11" s="51" t="s">
        <v>7</v>
      </c>
      <c r="AA11" s="51" t="s">
        <v>15</v>
      </c>
      <c r="AB11" s="23" t="s">
        <v>96</v>
      </c>
      <c r="AC11" s="23" t="s">
        <v>96</v>
      </c>
      <c r="AD11" s="13" t="s">
        <v>7</v>
      </c>
      <c r="AE11" s="33" t="s">
        <v>17</v>
      </c>
      <c r="AF11" s="18" t="s">
        <v>16</v>
      </c>
      <c r="AG11" s="5" t="s">
        <v>2</v>
      </c>
      <c r="AH11" s="5" t="s">
        <v>20</v>
      </c>
      <c r="AI11" s="5" t="s">
        <v>20</v>
      </c>
      <c r="AJ11" s="25" t="s">
        <v>20</v>
      </c>
    </row>
    <row r="12" spans="2:36" s="2" customFormat="1" ht="17.45" customHeight="1" x14ac:dyDescent="0.15">
      <c r="B12" s="90"/>
      <c r="C12" s="87"/>
      <c r="D12" s="48" t="s">
        <v>95</v>
      </c>
      <c r="E12" s="49"/>
      <c r="F12" s="50"/>
      <c r="G12" s="26"/>
      <c r="H12" s="27"/>
      <c r="I12" s="27"/>
      <c r="J12" s="42"/>
      <c r="K12" s="27"/>
      <c r="L12" s="27"/>
      <c r="M12" s="31"/>
      <c r="N12" s="20"/>
      <c r="O12" s="28"/>
      <c r="P12" s="36">
        <v>29.1</v>
      </c>
      <c r="Q12" s="22" t="s">
        <v>103</v>
      </c>
      <c r="R12" s="27"/>
      <c r="S12" s="27">
        <f>R12-33.1</f>
        <v>-33.1</v>
      </c>
      <c r="T12" s="30"/>
      <c r="U12" s="40" t="s">
        <v>52</v>
      </c>
      <c r="V12" s="37">
        <v>1.6</v>
      </c>
      <c r="W12" s="22">
        <v>17.600000000000001</v>
      </c>
      <c r="X12" s="112"/>
      <c r="Y12" s="27">
        <f>X12-W12</f>
        <v>-17.600000000000001</v>
      </c>
      <c r="Z12" s="27"/>
      <c r="AA12" s="22">
        <v>6.28</v>
      </c>
      <c r="AB12" s="27"/>
      <c r="AC12" s="27">
        <f>AB12-AA12</f>
        <v>-6.28</v>
      </c>
      <c r="AD12" s="28"/>
      <c r="AE12" s="52"/>
      <c r="AF12" s="37"/>
      <c r="AG12" s="29"/>
      <c r="AH12" s="30"/>
      <c r="AI12" s="29"/>
      <c r="AJ12" s="53"/>
    </row>
    <row r="13" spans="2:36" s="2" customFormat="1" ht="15" customHeight="1" x14ac:dyDescent="0.15">
      <c r="B13" s="90"/>
      <c r="C13" s="87"/>
      <c r="D13" s="77" t="s">
        <v>54</v>
      </c>
      <c r="E13" s="76"/>
      <c r="F13" s="77" t="s">
        <v>55</v>
      </c>
      <c r="G13" s="75"/>
      <c r="H13" s="75"/>
      <c r="I13" s="75"/>
      <c r="J13" s="75"/>
      <c r="K13" s="75"/>
      <c r="L13" s="75"/>
      <c r="M13" s="76"/>
      <c r="N13" s="77" t="s">
        <v>56</v>
      </c>
      <c r="O13" s="75"/>
      <c r="P13" s="75"/>
      <c r="Q13" s="75"/>
      <c r="R13" s="75"/>
      <c r="S13" s="75"/>
      <c r="T13" s="75"/>
      <c r="U13" s="76"/>
      <c r="V13" s="74" t="s">
        <v>57</v>
      </c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81"/>
    </row>
    <row r="14" spans="2:36" s="2" customFormat="1" ht="15" customHeight="1" x14ac:dyDescent="0.15">
      <c r="B14" s="90"/>
      <c r="C14" s="87"/>
      <c r="D14" s="94" t="s">
        <v>110</v>
      </c>
      <c r="E14" s="73"/>
      <c r="F14" s="94" t="s">
        <v>31</v>
      </c>
      <c r="G14" s="70"/>
      <c r="H14" s="70"/>
      <c r="I14" s="70"/>
      <c r="J14" s="70"/>
      <c r="K14" s="71" t="s">
        <v>112</v>
      </c>
      <c r="L14" s="70"/>
      <c r="M14" s="73"/>
      <c r="N14" s="94" t="s">
        <v>38</v>
      </c>
      <c r="O14" s="70"/>
      <c r="P14" s="70"/>
      <c r="Q14" s="70"/>
      <c r="R14" s="70"/>
      <c r="S14" s="95" t="s">
        <v>117</v>
      </c>
      <c r="T14" s="70"/>
      <c r="U14" s="73"/>
      <c r="V14" s="69" t="s">
        <v>32</v>
      </c>
      <c r="W14" s="70"/>
      <c r="X14" s="70"/>
      <c r="Y14" s="70"/>
      <c r="Z14" s="71" t="s">
        <v>130</v>
      </c>
      <c r="AA14" s="70"/>
      <c r="AB14" s="70"/>
      <c r="AC14" s="70"/>
      <c r="AD14" s="70"/>
      <c r="AE14" s="70"/>
      <c r="AF14" s="70"/>
      <c r="AG14" s="70"/>
      <c r="AH14" s="70"/>
      <c r="AI14" s="70"/>
      <c r="AJ14" s="82"/>
    </row>
    <row r="15" spans="2:36" s="2" customFormat="1" ht="24.95" customHeight="1" x14ac:dyDescent="0.15">
      <c r="B15" s="90"/>
      <c r="C15" s="87"/>
      <c r="D15" s="11" t="s">
        <v>22</v>
      </c>
      <c r="E15" s="34" t="s">
        <v>23</v>
      </c>
      <c r="F15" s="11" t="s">
        <v>39</v>
      </c>
      <c r="G15" s="8" t="s">
        <v>69</v>
      </c>
      <c r="H15" s="8" t="s">
        <v>113</v>
      </c>
      <c r="I15" s="3" t="s">
        <v>27</v>
      </c>
      <c r="J15" s="5" t="s">
        <v>23</v>
      </c>
      <c r="K15" s="3" t="s">
        <v>29</v>
      </c>
      <c r="L15" s="3" t="s">
        <v>30</v>
      </c>
      <c r="M15" s="34" t="s">
        <v>114</v>
      </c>
      <c r="N15" s="11" t="s">
        <v>39</v>
      </c>
      <c r="O15" s="8" t="s">
        <v>69</v>
      </c>
      <c r="P15" s="8" t="s">
        <v>113</v>
      </c>
      <c r="Q15" s="8" t="s">
        <v>27</v>
      </c>
      <c r="R15" s="14" t="s">
        <v>23</v>
      </c>
      <c r="S15" s="3" t="s">
        <v>29</v>
      </c>
      <c r="T15" s="3" t="s">
        <v>30</v>
      </c>
      <c r="U15" s="34" t="s">
        <v>114</v>
      </c>
      <c r="V15" s="15" t="s">
        <v>70</v>
      </c>
      <c r="W15" s="3" t="s">
        <v>69</v>
      </c>
      <c r="X15" s="3" t="s">
        <v>118</v>
      </c>
      <c r="Y15" s="3" t="s">
        <v>119</v>
      </c>
      <c r="Z15" s="3" t="s">
        <v>120</v>
      </c>
      <c r="AA15" s="3" t="s">
        <v>122</v>
      </c>
      <c r="AB15" s="3" t="s">
        <v>121</v>
      </c>
      <c r="AC15" s="3" t="s">
        <v>123</v>
      </c>
      <c r="AD15" s="3" t="s">
        <v>124</v>
      </c>
      <c r="AE15" s="3" t="s">
        <v>33</v>
      </c>
      <c r="AF15" s="3" t="s">
        <v>126</v>
      </c>
      <c r="AG15" s="3" t="s">
        <v>127</v>
      </c>
      <c r="AH15" s="3" t="s">
        <v>36</v>
      </c>
      <c r="AI15" s="3" t="s">
        <v>129</v>
      </c>
      <c r="AJ15" s="24" t="s">
        <v>128</v>
      </c>
    </row>
    <row r="16" spans="2:36" s="2" customFormat="1" ht="15" customHeight="1" x14ac:dyDescent="0.15">
      <c r="B16" s="90"/>
      <c r="C16" s="87"/>
      <c r="D16" s="33" t="s">
        <v>20</v>
      </c>
      <c r="E16" s="16" t="s">
        <v>7</v>
      </c>
      <c r="F16" s="19" t="s">
        <v>16</v>
      </c>
      <c r="G16" s="18" t="s">
        <v>16</v>
      </c>
      <c r="H16" s="18" t="s">
        <v>16</v>
      </c>
      <c r="I16" s="5" t="s">
        <v>2</v>
      </c>
      <c r="J16" s="5" t="s">
        <v>7</v>
      </c>
      <c r="K16" s="5" t="s">
        <v>2</v>
      </c>
      <c r="L16" s="5" t="s">
        <v>2</v>
      </c>
      <c r="M16" s="10" t="s">
        <v>2</v>
      </c>
      <c r="N16" s="35" t="s">
        <v>16</v>
      </c>
      <c r="O16" s="8" t="s">
        <v>16</v>
      </c>
      <c r="P16" s="23" t="s">
        <v>16</v>
      </c>
      <c r="Q16" s="4" t="s">
        <v>2</v>
      </c>
      <c r="R16" s="4" t="s">
        <v>7</v>
      </c>
      <c r="S16" s="5" t="s">
        <v>2</v>
      </c>
      <c r="T16" s="5" t="s">
        <v>2</v>
      </c>
      <c r="U16" s="10" t="s">
        <v>2</v>
      </c>
      <c r="V16" s="19" t="s">
        <v>16</v>
      </c>
      <c r="W16" s="18" t="s">
        <v>16</v>
      </c>
      <c r="X16" s="5" t="s">
        <v>17</v>
      </c>
      <c r="Y16" s="5" t="s">
        <v>2</v>
      </c>
      <c r="Z16" s="5" t="s">
        <v>6</v>
      </c>
      <c r="AA16" s="5" t="s">
        <v>5</v>
      </c>
      <c r="AB16" s="5" t="s">
        <v>6</v>
      </c>
      <c r="AC16" s="18" t="s">
        <v>5</v>
      </c>
      <c r="AD16" s="18" t="s">
        <v>4</v>
      </c>
      <c r="AE16" s="18" t="s">
        <v>7</v>
      </c>
      <c r="AF16" s="5" t="s">
        <v>35</v>
      </c>
      <c r="AG16" s="5" t="s">
        <v>34</v>
      </c>
      <c r="AH16" s="5" t="s">
        <v>43</v>
      </c>
      <c r="AI16" s="5" t="s">
        <v>43</v>
      </c>
      <c r="AJ16" s="25" t="s">
        <v>7</v>
      </c>
    </row>
    <row r="17" spans="2:36" s="2" customFormat="1" ht="15" customHeight="1" x14ac:dyDescent="0.15">
      <c r="B17" s="90"/>
      <c r="C17" s="87"/>
      <c r="D17" s="21"/>
      <c r="E17" s="54"/>
      <c r="F17" s="55" t="s">
        <v>111</v>
      </c>
      <c r="G17" s="30">
        <v>21</v>
      </c>
      <c r="H17" s="29">
        <f>G17-F17</f>
        <v>4</v>
      </c>
      <c r="I17" s="22"/>
      <c r="J17" s="27"/>
      <c r="K17" s="27">
        <v>93.5</v>
      </c>
      <c r="L17" s="27">
        <v>4.24</v>
      </c>
      <c r="M17" s="56">
        <f>K17+L17</f>
        <v>97.74</v>
      </c>
      <c r="N17" s="26">
        <v>20</v>
      </c>
      <c r="O17" s="27">
        <v>23</v>
      </c>
      <c r="P17" s="43">
        <f>O17-N17</f>
        <v>3</v>
      </c>
      <c r="Q17" s="38"/>
      <c r="R17" s="38"/>
      <c r="S17" s="38" t="s">
        <v>115</v>
      </c>
      <c r="T17" s="38" t="s">
        <v>116</v>
      </c>
      <c r="U17" s="57">
        <f>S17+T17</f>
        <v>97.45</v>
      </c>
      <c r="V17" s="39"/>
      <c r="W17" s="38"/>
      <c r="X17" s="38"/>
      <c r="Y17" s="38"/>
      <c r="Z17" s="38"/>
      <c r="AA17" s="38"/>
      <c r="AB17" s="38"/>
      <c r="AC17" s="38"/>
      <c r="AD17" s="38"/>
      <c r="AE17" s="115" t="e">
        <f>Z17/AB17</f>
        <v>#DIV/0!</v>
      </c>
      <c r="AF17" s="38"/>
      <c r="AG17" s="38"/>
      <c r="AH17" s="115" t="e">
        <f>AF17/(Z17-AB17)</f>
        <v>#DIV/0!</v>
      </c>
      <c r="AI17" s="116" t="s">
        <v>138</v>
      </c>
      <c r="AJ17" s="62"/>
    </row>
    <row r="18" spans="2:36" s="2" customFormat="1" ht="15" customHeight="1" x14ac:dyDescent="0.15">
      <c r="B18" s="90"/>
      <c r="C18" s="87"/>
      <c r="D18" s="74" t="s">
        <v>66</v>
      </c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6"/>
      <c r="R18" s="58" t="s">
        <v>7</v>
      </c>
      <c r="S18" s="59" t="s">
        <v>7</v>
      </c>
      <c r="T18" s="59" t="s">
        <v>7</v>
      </c>
      <c r="U18" s="59" t="s">
        <v>125</v>
      </c>
      <c r="V18" s="59" t="s">
        <v>125</v>
      </c>
      <c r="W18" s="59" t="s">
        <v>125</v>
      </c>
      <c r="X18" s="59" t="s">
        <v>125</v>
      </c>
      <c r="Y18" s="59" t="s">
        <v>125</v>
      </c>
      <c r="Z18" s="59" t="s">
        <v>125</v>
      </c>
      <c r="AA18" s="59" t="s">
        <v>125</v>
      </c>
      <c r="AB18" s="59" t="s">
        <v>125</v>
      </c>
      <c r="AC18" s="59" t="s">
        <v>125</v>
      </c>
      <c r="AD18" s="59" t="s">
        <v>125</v>
      </c>
      <c r="AE18" s="59" t="s">
        <v>125</v>
      </c>
      <c r="AF18" s="60" t="s">
        <v>125</v>
      </c>
      <c r="AG18" s="60" t="s">
        <v>125</v>
      </c>
      <c r="AH18" s="60" t="s">
        <v>125</v>
      </c>
      <c r="AI18" s="60" t="s">
        <v>125</v>
      </c>
      <c r="AJ18" s="61" t="s">
        <v>125</v>
      </c>
    </row>
    <row r="19" spans="2:36" s="2" customFormat="1" ht="15" customHeight="1" x14ac:dyDescent="0.15">
      <c r="B19" s="90"/>
      <c r="C19" s="87"/>
      <c r="D19" s="69" t="s">
        <v>131</v>
      </c>
      <c r="E19" s="70"/>
      <c r="F19" s="70"/>
      <c r="G19" s="71" t="s">
        <v>132</v>
      </c>
      <c r="H19" s="70"/>
      <c r="I19" s="70"/>
      <c r="J19" s="71" t="s">
        <v>133</v>
      </c>
      <c r="K19" s="70"/>
      <c r="L19" s="70"/>
      <c r="M19" s="71" t="s">
        <v>61</v>
      </c>
      <c r="N19" s="71" t="s">
        <v>62</v>
      </c>
      <c r="O19" s="71" t="s">
        <v>63</v>
      </c>
      <c r="P19" s="71" t="s">
        <v>65</v>
      </c>
      <c r="Q19" s="72" t="s">
        <v>134</v>
      </c>
      <c r="R19" s="12" t="s">
        <v>7</v>
      </c>
      <c r="S19" s="4" t="s">
        <v>7</v>
      </c>
      <c r="T19" s="4" t="s">
        <v>7</v>
      </c>
      <c r="U19" s="4" t="s">
        <v>125</v>
      </c>
      <c r="V19" s="4" t="s">
        <v>125</v>
      </c>
      <c r="W19" s="4" t="s">
        <v>125</v>
      </c>
      <c r="X19" s="4" t="s">
        <v>125</v>
      </c>
      <c r="Y19" s="4" t="s">
        <v>125</v>
      </c>
      <c r="Z19" s="4" t="s">
        <v>125</v>
      </c>
      <c r="AA19" s="4" t="s">
        <v>125</v>
      </c>
      <c r="AB19" s="4" t="s">
        <v>125</v>
      </c>
      <c r="AC19" s="4" t="s">
        <v>125</v>
      </c>
      <c r="AD19" s="4" t="s">
        <v>125</v>
      </c>
      <c r="AE19" s="4" t="s">
        <v>125</v>
      </c>
      <c r="AF19" s="7" t="s">
        <v>125</v>
      </c>
      <c r="AG19" s="7" t="s">
        <v>125</v>
      </c>
      <c r="AH19" s="7" t="s">
        <v>125</v>
      </c>
      <c r="AI19" s="7" t="s">
        <v>125</v>
      </c>
      <c r="AJ19" s="17" t="s">
        <v>125</v>
      </c>
    </row>
    <row r="20" spans="2:36" s="2" customFormat="1" ht="24.95" customHeight="1" x14ac:dyDescent="0.15">
      <c r="B20" s="90"/>
      <c r="C20" s="87"/>
      <c r="D20" s="15" t="s">
        <v>59</v>
      </c>
      <c r="E20" s="3" t="s">
        <v>60</v>
      </c>
      <c r="F20" s="3" t="s">
        <v>58</v>
      </c>
      <c r="G20" s="3" t="s">
        <v>59</v>
      </c>
      <c r="H20" s="3" t="s">
        <v>60</v>
      </c>
      <c r="I20" s="3" t="s">
        <v>58</v>
      </c>
      <c r="J20" s="3" t="s">
        <v>59</v>
      </c>
      <c r="K20" s="3" t="s">
        <v>60</v>
      </c>
      <c r="L20" s="3" t="s">
        <v>58</v>
      </c>
      <c r="M20" s="70"/>
      <c r="N20" s="70"/>
      <c r="O20" s="70"/>
      <c r="P20" s="70"/>
      <c r="Q20" s="73"/>
      <c r="R20" s="11" t="s">
        <v>7</v>
      </c>
      <c r="S20" s="8" t="s">
        <v>7</v>
      </c>
      <c r="T20" s="8" t="s">
        <v>7</v>
      </c>
      <c r="U20" s="8" t="s">
        <v>125</v>
      </c>
      <c r="V20" s="8" t="s">
        <v>125</v>
      </c>
      <c r="W20" s="3" t="s">
        <v>125</v>
      </c>
      <c r="X20" s="8" t="s">
        <v>125</v>
      </c>
      <c r="Y20" s="8" t="s">
        <v>125</v>
      </c>
      <c r="Z20" s="3" t="s">
        <v>125</v>
      </c>
      <c r="AA20" s="4" t="s">
        <v>125</v>
      </c>
      <c r="AB20" s="4" t="s">
        <v>125</v>
      </c>
      <c r="AC20" s="4" t="s">
        <v>125</v>
      </c>
      <c r="AD20" s="4" t="s">
        <v>125</v>
      </c>
      <c r="AE20" s="4" t="s">
        <v>125</v>
      </c>
      <c r="AF20" s="7" t="s">
        <v>125</v>
      </c>
      <c r="AG20" s="7" t="s">
        <v>125</v>
      </c>
      <c r="AH20" s="7" t="s">
        <v>125</v>
      </c>
      <c r="AI20" s="7" t="s">
        <v>125</v>
      </c>
      <c r="AJ20" s="17" t="s">
        <v>125</v>
      </c>
    </row>
    <row r="21" spans="2:36" s="2" customFormat="1" ht="15" customHeight="1" x14ac:dyDescent="0.15">
      <c r="B21" s="90"/>
      <c r="C21" s="87"/>
      <c r="D21" s="19" t="s">
        <v>2</v>
      </c>
      <c r="E21" s="18" t="s">
        <v>2</v>
      </c>
      <c r="F21" s="5" t="s">
        <v>2</v>
      </c>
      <c r="G21" s="5" t="s">
        <v>4</v>
      </c>
      <c r="H21" s="4" t="s">
        <v>4</v>
      </c>
      <c r="I21" s="4" t="s">
        <v>4</v>
      </c>
      <c r="J21" s="5" t="s">
        <v>4</v>
      </c>
      <c r="K21" s="4" t="s">
        <v>4</v>
      </c>
      <c r="L21" s="4" t="s">
        <v>4</v>
      </c>
      <c r="M21" s="4" t="s">
        <v>35</v>
      </c>
      <c r="N21" s="4" t="s">
        <v>1</v>
      </c>
      <c r="O21" s="5" t="s">
        <v>64</v>
      </c>
      <c r="P21" s="5" t="s">
        <v>7</v>
      </c>
      <c r="Q21" s="16" t="s">
        <v>7</v>
      </c>
      <c r="R21" s="12" t="s">
        <v>7</v>
      </c>
      <c r="S21" s="4" t="s">
        <v>7</v>
      </c>
      <c r="T21" s="4" t="s">
        <v>7</v>
      </c>
      <c r="U21" s="4" t="s">
        <v>125</v>
      </c>
      <c r="V21" s="4" t="s">
        <v>125</v>
      </c>
      <c r="W21" s="4" t="s">
        <v>125</v>
      </c>
      <c r="X21" s="4" t="s">
        <v>125</v>
      </c>
      <c r="Y21" s="4" t="s">
        <v>125</v>
      </c>
      <c r="Z21" s="4" t="s">
        <v>125</v>
      </c>
      <c r="AA21" s="4" t="s">
        <v>125</v>
      </c>
      <c r="AB21" s="4" t="s">
        <v>125</v>
      </c>
      <c r="AC21" s="4" t="s">
        <v>125</v>
      </c>
      <c r="AD21" s="4" t="s">
        <v>125</v>
      </c>
      <c r="AE21" s="6" t="s">
        <v>125</v>
      </c>
      <c r="AF21" s="7" t="s">
        <v>125</v>
      </c>
      <c r="AG21" s="7" t="s">
        <v>125</v>
      </c>
      <c r="AH21" s="7" t="s">
        <v>125</v>
      </c>
      <c r="AI21" s="7" t="s">
        <v>125</v>
      </c>
      <c r="AJ21" s="17" t="s">
        <v>125</v>
      </c>
    </row>
    <row r="22" spans="2:36" s="2" customFormat="1" ht="15" customHeight="1" x14ac:dyDescent="0.15">
      <c r="B22" s="90"/>
      <c r="C22" s="87"/>
      <c r="D22" s="118"/>
      <c r="E22" s="119"/>
      <c r="F22" s="119">
        <f>D22-E22</f>
        <v>0</v>
      </c>
      <c r="G22" s="119"/>
      <c r="H22" s="119"/>
      <c r="I22" s="119">
        <f>G22-H22</f>
        <v>0</v>
      </c>
      <c r="J22" s="119"/>
      <c r="K22" s="119"/>
      <c r="L22" s="119">
        <f>J22-K22</f>
        <v>0</v>
      </c>
      <c r="M22" s="119"/>
      <c r="N22" s="119"/>
      <c r="O22" s="120" t="e">
        <f>N22/M22</f>
        <v>#DIV/0!</v>
      </c>
      <c r="P22" s="119"/>
      <c r="Q22" s="121">
        <v>301</v>
      </c>
      <c r="R22" s="118" t="s">
        <v>7</v>
      </c>
      <c r="S22" s="119" t="s">
        <v>7</v>
      </c>
      <c r="T22" s="119" t="s">
        <v>7</v>
      </c>
      <c r="U22" s="119" t="s">
        <v>125</v>
      </c>
      <c r="V22" s="119" t="s">
        <v>125</v>
      </c>
      <c r="W22" s="119" t="s">
        <v>125</v>
      </c>
      <c r="X22" s="119" t="s">
        <v>125</v>
      </c>
      <c r="Y22" s="119" t="s">
        <v>125</v>
      </c>
      <c r="Z22" s="119" t="s">
        <v>125</v>
      </c>
      <c r="AA22" s="119" t="s">
        <v>125</v>
      </c>
      <c r="AB22" s="119" t="s">
        <v>125</v>
      </c>
      <c r="AC22" s="119" t="s">
        <v>125</v>
      </c>
      <c r="AD22" s="119" t="s">
        <v>125</v>
      </c>
      <c r="AE22" s="122" t="s">
        <v>125</v>
      </c>
      <c r="AF22" s="123" t="s">
        <v>125</v>
      </c>
      <c r="AG22" s="123" t="s">
        <v>125</v>
      </c>
      <c r="AH22" s="123" t="s">
        <v>125</v>
      </c>
      <c r="AI22" s="123" t="s">
        <v>125</v>
      </c>
      <c r="AJ22" s="124" t="s">
        <v>125</v>
      </c>
    </row>
    <row r="23" spans="2:36" s="2" customFormat="1" ht="7.5" customHeight="1" x14ac:dyDescent="0.15">
      <c r="B23" s="133"/>
      <c r="C23" s="134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6"/>
      <c r="AF23" s="137"/>
      <c r="AG23" s="136"/>
      <c r="AH23" s="137"/>
      <c r="AI23" s="137"/>
      <c r="AJ23" s="138"/>
    </row>
    <row r="24" spans="2:36" s="2" customFormat="1" ht="17.45" customHeight="1" x14ac:dyDescent="0.15">
      <c r="B24" s="125" t="s">
        <v>11</v>
      </c>
      <c r="C24" s="126" t="s">
        <v>10</v>
      </c>
      <c r="D24" s="127" t="s">
        <v>42</v>
      </c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9"/>
      <c r="AA24" s="130" t="s">
        <v>92</v>
      </c>
      <c r="AB24" s="131"/>
      <c r="AC24" s="131"/>
      <c r="AD24" s="131"/>
      <c r="AE24" s="131"/>
      <c r="AF24" s="131"/>
      <c r="AG24" s="131"/>
      <c r="AH24" s="131"/>
      <c r="AI24" s="131"/>
      <c r="AJ24" s="132"/>
    </row>
    <row r="25" spans="2:36" s="2" customFormat="1" ht="17.45" customHeight="1" x14ac:dyDescent="0.15">
      <c r="B25" s="90"/>
      <c r="C25" s="87"/>
      <c r="D25" s="83" t="s">
        <v>135</v>
      </c>
      <c r="E25" s="84"/>
      <c r="F25" s="84"/>
      <c r="G25" s="84"/>
      <c r="H25" s="84"/>
      <c r="I25" s="84"/>
      <c r="J25" s="85" t="s">
        <v>79</v>
      </c>
      <c r="K25" s="75"/>
      <c r="L25" s="75"/>
      <c r="M25" s="75"/>
      <c r="N25" s="75"/>
      <c r="O25" s="75"/>
      <c r="P25" s="75"/>
      <c r="Q25" s="75"/>
      <c r="R25" s="75"/>
      <c r="S25" s="75"/>
      <c r="T25" s="76"/>
      <c r="U25" s="77" t="s">
        <v>41</v>
      </c>
      <c r="V25" s="75"/>
      <c r="W25" s="75"/>
      <c r="X25" s="75"/>
      <c r="Y25" s="75"/>
      <c r="Z25" s="76"/>
      <c r="AA25" s="77" t="s">
        <v>81</v>
      </c>
      <c r="AB25" s="113" t="s">
        <v>82</v>
      </c>
      <c r="AC25" s="79" t="s">
        <v>83</v>
      </c>
      <c r="AD25" s="79" t="s">
        <v>36</v>
      </c>
      <c r="AE25" s="79" t="s">
        <v>85</v>
      </c>
      <c r="AF25" s="80" t="s">
        <v>86</v>
      </c>
      <c r="AG25" s="79" t="s">
        <v>87</v>
      </c>
      <c r="AH25" s="80" t="s">
        <v>88</v>
      </c>
      <c r="AI25" s="79" t="s">
        <v>90</v>
      </c>
      <c r="AJ25" s="101" t="s">
        <v>91</v>
      </c>
    </row>
    <row r="26" spans="2:36" s="2" customFormat="1" ht="37.5" customHeight="1" x14ac:dyDescent="0.15">
      <c r="B26" s="91"/>
      <c r="C26" s="88"/>
      <c r="D26" s="15" t="s">
        <v>0</v>
      </c>
      <c r="E26" s="3" t="s">
        <v>71</v>
      </c>
      <c r="F26" s="3" t="s">
        <v>72</v>
      </c>
      <c r="G26" s="3" t="s">
        <v>40</v>
      </c>
      <c r="H26" s="3" t="s">
        <v>73</v>
      </c>
      <c r="I26" s="44" t="s">
        <v>76</v>
      </c>
      <c r="J26" s="15" t="s">
        <v>3</v>
      </c>
      <c r="K26" s="3" t="s">
        <v>141</v>
      </c>
      <c r="L26" s="3" t="s">
        <v>136</v>
      </c>
      <c r="M26" s="3" t="s">
        <v>137</v>
      </c>
      <c r="N26" s="3" t="s">
        <v>137</v>
      </c>
      <c r="O26" s="3" t="s">
        <v>73</v>
      </c>
      <c r="P26" s="3" t="s">
        <v>74</v>
      </c>
      <c r="Q26" s="3" t="s">
        <v>75</v>
      </c>
      <c r="R26" s="3" t="s">
        <v>76</v>
      </c>
      <c r="S26" s="3" t="s">
        <v>77</v>
      </c>
      <c r="T26" s="9" t="s">
        <v>78</v>
      </c>
      <c r="U26" s="15" t="s">
        <v>3</v>
      </c>
      <c r="V26" s="108" t="s">
        <v>141</v>
      </c>
      <c r="W26" s="3" t="s">
        <v>136</v>
      </c>
      <c r="X26" s="3" t="s">
        <v>73</v>
      </c>
      <c r="Y26" s="3" t="s">
        <v>76</v>
      </c>
      <c r="Z26" s="9" t="s">
        <v>80</v>
      </c>
      <c r="AA26" s="78"/>
      <c r="AB26" s="114"/>
      <c r="AC26" s="70"/>
      <c r="AD26" s="70"/>
      <c r="AE26" s="70"/>
      <c r="AF26" s="70"/>
      <c r="AG26" s="70"/>
      <c r="AH26" s="70"/>
      <c r="AI26" s="70"/>
      <c r="AJ26" s="82"/>
    </row>
    <row r="27" spans="2:36" s="2" customFormat="1" ht="17.45" customHeight="1" x14ac:dyDescent="0.15">
      <c r="B27" s="89" t="s">
        <v>68</v>
      </c>
      <c r="C27" s="86" t="s">
        <v>139</v>
      </c>
      <c r="D27" s="12" t="s">
        <v>1</v>
      </c>
      <c r="E27" s="4" t="s">
        <v>1</v>
      </c>
      <c r="F27" s="4" t="s">
        <v>7</v>
      </c>
      <c r="G27" s="117" t="s">
        <v>1</v>
      </c>
      <c r="H27" s="4" t="s">
        <v>2</v>
      </c>
      <c r="I27" s="45" t="s">
        <v>2</v>
      </c>
      <c r="J27" s="12" t="s">
        <v>1</v>
      </c>
      <c r="K27" s="4" t="s">
        <v>1</v>
      </c>
      <c r="L27" s="4" t="s">
        <v>2</v>
      </c>
      <c r="M27" s="4" t="s">
        <v>2</v>
      </c>
      <c r="N27" s="4" t="s">
        <v>2</v>
      </c>
      <c r="O27" s="4" t="s">
        <v>2</v>
      </c>
      <c r="P27" s="4" t="s">
        <v>2</v>
      </c>
      <c r="Q27" s="4" t="s">
        <v>2</v>
      </c>
      <c r="R27" s="4" t="s">
        <v>2</v>
      </c>
      <c r="S27" s="4" t="s">
        <v>2</v>
      </c>
      <c r="T27" s="10" t="s">
        <v>2</v>
      </c>
      <c r="U27" s="12" t="s">
        <v>1</v>
      </c>
      <c r="V27" s="109" t="s">
        <v>1</v>
      </c>
      <c r="W27" s="4" t="s">
        <v>2</v>
      </c>
      <c r="X27" s="4" t="s">
        <v>2</v>
      </c>
      <c r="Y27" s="4" t="s">
        <v>2</v>
      </c>
      <c r="Z27" s="10" t="s">
        <v>2</v>
      </c>
      <c r="AA27" s="12" t="s">
        <v>43</v>
      </c>
      <c r="AB27" s="4" t="s">
        <v>43</v>
      </c>
      <c r="AC27" s="4" t="s">
        <v>37</v>
      </c>
      <c r="AD27" s="4" t="s">
        <v>43</v>
      </c>
      <c r="AE27" s="6" t="s">
        <v>37</v>
      </c>
      <c r="AF27" s="7" t="s">
        <v>84</v>
      </c>
      <c r="AG27" s="4" t="s">
        <v>43</v>
      </c>
      <c r="AH27" s="7" t="s">
        <v>89</v>
      </c>
      <c r="AI27" s="6" t="s">
        <v>37</v>
      </c>
      <c r="AJ27" s="17" t="s">
        <v>37</v>
      </c>
    </row>
    <row r="28" spans="2:36" s="2" customFormat="1" ht="15" customHeight="1" x14ac:dyDescent="0.15">
      <c r="B28" s="90"/>
      <c r="C28" s="87"/>
      <c r="D28" s="26">
        <f>J28+U28</f>
        <v>0</v>
      </c>
      <c r="E28" s="27">
        <f>K28+V28</f>
        <v>0</v>
      </c>
      <c r="F28" s="27"/>
      <c r="G28" s="27"/>
      <c r="H28" s="27"/>
      <c r="I28" s="46"/>
      <c r="J28" s="64"/>
      <c r="K28" s="65"/>
      <c r="L28" s="65"/>
      <c r="M28" s="65"/>
      <c r="N28" s="65"/>
      <c r="O28" s="65"/>
      <c r="P28" s="65"/>
      <c r="Q28" s="65"/>
      <c r="R28" s="65"/>
      <c r="S28" s="66"/>
      <c r="T28" s="67"/>
      <c r="U28" s="68"/>
      <c r="V28" s="110"/>
      <c r="W28" s="111"/>
      <c r="X28" s="112"/>
      <c r="Y28" s="112"/>
      <c r="Z28" s="63" t="e">
        <f>U28/D28</f>
        <v>#DIV/0!</v>
      </c>
      <c r="AA28" s="47"/>
      <c r="AB28" s="31"/>
      <c r="AC28" s="27"/>
      <c r="AD28" s="27"/>
      <c r="AE28" s="29"/>
      <c r="AF28" s="30"/>
      <c r="AG28" s="29"/>
      <c r="AH28" s="30"/>
      <c r="AI28" s="29"/>
      <c r="AJ28" s="32"/>
    </row>
    <row r="29" spans="2:36" s="2" customFormat="1" ht="17.45" customHeight="1" x14ac:dyDescent="0.15">
      <c r="B29" s="90"/>
      <c r="C29" s="87"/>
      <c r="D29" s="77" t="s">
        <v>9</v>
      </c>
      <c r="E29" s="75"/>
      <c r="F29" s="76"/>
      <c r="G29" s="77" t="s">
        <v>18</v>
      </c>
      <c r="H29" s="75"/>
      <c r="I29" s="75"/>
      <c r="J29" s="75"/>
      <c r="K29" s="75"/>
      <c r="L29" s="75"/>
      <c r="M29" s="75"/>
      <c r="N29" s="75"/>
      <c r="O29" s="76"/>
      <c r="P29" s="77" t="s">
        <v>105</v>
      </c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6"/>
      <c r="AE29" s="74" t="s">
        <v>54</v>
      </c>
      <c r="AF29" s="75"/>
      <c r="AG29" s="75"/>
      <c r="AH29" s="75"/>
      <c r="AI29" s="75"/>
      <c r="AJ29" s="81"/>
    </row>
    <row r="30" spans="2:36" s="2" customFormat="1" ht="15" customHeight="1" x14ac:dyDescent="0.15">
      <c r="B30" s="90"/>
      <c r="C30" s="87"/>
      <c r="D30" s="94" t="s">
        <v>8</v>
      </c>
      <c r="E30" s="95" t="s">
        <v>93</v>
      </c>
      <c r="F30" s="107" t="s">
        <v>94</v>
      </c>
      <c r="G30" s="94" t="s">
        <v>12</v>
      </c>
      <c r="H30" s="70"/>
      <c r="I30" s="71" t="s">
        <v>53</v>
      </c>
      <c r="J30" s="71" t="s">
        <v>97</v>
      </c>
      <c r="K30" s="71" t="s">
        <v>98</v>
      </c>
      <c r="L30" s="71" t="s">
        <v>99</v>
      </c>
      <c r="M30" s="71" t="s">
        <v>100</v>
      </c>
      <c r="N30" s="71" t="s">
        <v>101</v>
      </c>
      <c r="O30" s="72" t="s">
        <v>102</v>
      </c>
      <c r="P30" s="94" t="s">
        <v>47</v>
      </c>
      <c r="Q30" s="70"/>
      <c r="R30" s="95" t="s">
        <v>48</v>
      </c>
      <c r="S30" s="70"/>
      <c r="T30" s="70"/>
      <c r="U30" s="95" t="s">
        <v>51</v>
      </c>
      <c r="V30" s="105" t="s">
        <v>49</v>
      </c>
      <c r="W30" s="70"/>
      <c r="X30" s="105" t="s">
        <v>50</v>
      </c>
      <c r="Y30" s="70"/>
      <c r="Z30" s="70"/>
      <c r="AA30" s="105" t="s">
        <v>106</v>
      </c>
      <c r="AB30" s="95" t="s">
        <v>107</v>
      </c>
      <c r="AC30" s="106" t="s">
        <v>108</v>
      </c>
      <c r="AD30" s="107" t="s">
        <v>109</v>
      </c>
      <c r="AE30" s="69" t="s">
        <v>24</v>
      </c>
      <c r="AF30" s="70"/>
      <c r="AG30" s="70"/>
      <c r="AH30" s="71" t="s">
        <v>110</v>
      </c>
      <c r="AI30" s="70"/>
      <c r="AJ30" s="82"/>
    </row>
    <row r="31" spans="2:36" s="2" customFormat="1" ht="15" customHeight="1" x14ac:dyDescent="0.15">
      <c r="B31" s="90"/>
      <c r="C31" s="87"/>
      <c r="D31" s="78"/>
      <c r="E31" s="70"/>
      <c r="F31" s="73"/>
      <c r="G31" s="11" t="s">
        <v>13</v>
      </c>
      <c r="H31" s="8" t="s">
        <v>14</v>
      </c>
      <c r="I31" s="70"/>
      <c r="J31" s="70"/>
      <c r="K31" s="70"/>
      <c r="L31" s="70"/>
      <c r="M31" s="70"/>
      <c r="N31" s="70"/>
      <c r="O31" s="73"/>
      <c r="P31" s="11" t="s">
        <v>44</v>
      </c>
      <c r="Q31" s="8" t="s">
        <v>45</v>
      </c>
      <c r="R31" s="8" t="s">
        <v>45</v>
      </c>
      <c r="S31" s="8" t="s">
        <v>46</v>
      </c>
      <c r="T31" s="14" t="s">
        <v>104</v>
      </c>
      <c r="U31" s="70"/>
      <c r="V31" s="14" t="s">
        <v>44</v>
      </c>
      <c r="W31" s="8" t="s">
        <v>45</v>
      </c>
      <c r="X31" s="14" t="s">
        <v>45</v>
      </c>
      <c r="Y31" s="8" t="s">
        <v>46</v>
      </c>
      <c r="Z31" s="14" t="s">
        <v>104</v>
      </c>
      <c r="AA31" s="70"/>
      <c r="AB31" s="70"/>
      <c r="AC31" s="70"/>
      <c r="AD31" s="73"/>
      <c r="AE31" s="15" t="s">
        <v>25</v>
      </c>
      <c r="AF31" s="3" t="s">
        <v>26</v>
      </c>
      <c r="AG31" s="3" t="s">
        <v>27</v>
      </c>
      <c r="AH31" s="5" t="s">
        <v>19</v>
      </c>
      <c r="AI31" s="3" t="s">
        <v>28</v>
      </c>
      <c r="AJ31" s="41" t="s">
        <v>21</v>
      </c>
    </row>
    <row r="32" spans="2:36" s="2" customFormat="1" ht="17.45" customHeight="1" x14ac:dyDescent="0.15">
      <c r="B32" s="90"/>
      <c r="C32" s="87"/>
      <c r="D32" s="11" t="s">
        <v>7</v>
      </c>
      <c r="E32" s="8" t="s">
        <v>7</v>
      </c>
      <c r="F32" s="34" t="s">
        <v>7</v>
      </c>
      <c r="G32" s="12" t="s">
        <v>5</v>
      </c>
      <c r="H32" s="4" t="s">
        <v>4</v>
      </c>
      <c r="I32" s="4" t="s">
        <v>15</v>
      </c>
      <c r="J32" s="4" t="s">
        <v>5</v>
      </c>
      <c r="K32" s="23" t="s">
        <v>16</v>
      </c>
      <c r="L32" s="4" t="s">
        <v>17</v>
      </c>
      <c r="M32" s="23" t="s">
        <v>16</v>
      </c>
      <c r="N32" s="23" t="s">
        <v>16</v>
      </c>
      <c r="O32" s="10" t="s">
        <v>17</v>
      </c>
      <c r="P32" s="12" t="s">
        <v>2</v>
      </c>
      <c r="Q32" s="6" t="s">
        <v>2</v>
      </c>
      <c r="R32" s="4" t="s">
        <v>2</v>
      </c>
      <c r="S32" s="6" t="s">
        <v>2</v>
      </c>
      <c r="T32" s="7" t="s">
        <v>7</v>
      </c>
      <c r="U32" s="6" t="s">
        <v>4</v>
      </c>
      <c r="V32" s="7" t="s">
        <v>2</v>
      </c>
      <c r="W32" s="6" t="s">
        <v>4</v>
      </c>
      <c r="X32" s="7" t="s">
        <v>4</v>
      </c>
      <c r="Y32" s="6" t="s">
        <v>4</v>
      </c>
      <c r="Z32" s="51" t="s">
        <v>7</v>
      </c>
      <c r="AA32" s="51" t="s">
        <v>15</v>
      </c>
      <c r="AB32" s="23" t="s">
        <v>96</v>
      </c>
      <c r="AC32" s="23" t="s">
        <v>96</v>
      </c>
      <c r="AD32" s="13" t="s">
        <v>7</v>
      </c>
      <c r="AE32" s="33" t="s">
        <v>17</v>
      </c>
      <c r="AF32" s="18" t="s">
        <v>16</v>
      </c>
      <c r="AG32" s="5" t="s">
        <v>2</v>
      </c>
      <c r="AH32" s="5" t="s">
        <v>20</v>
      </c>
      <c r="AI32" s="5" t="s">
        <v>20</v>
      </c>
      <c r="AJ32" s="25" t="s">
        <v>20</v>
      </c>
    </row>
    <row r="33" spans="2:36" s="2" customFormat="1" ht="17.45" customHeight="1" x14ac:dyDescent="0.15">
      <c r="B33" s="90"/>
      <c r="C33" s="87"/>
      <c r="D33" s="48" t="s">
        <v>95</v>
      </c>
      <c r="E33" s="49"/>
      <c r="F33" s="50"/>
      <c r="G33" s="26"/>
      <c r="H33" s="27"/>
      <c r="I33" s="27"/>
      <c r="J33" s="42"/>
      <c r="K33" s="27"/>
      <c r="L33" s="27"/>
      <c r="M33" s="31"/>
      <c r="N33" s="20"/>
      <c r="O33" s="28"/>
      <c r="P33" s="36">
        <v>29.1</v>
      </c>
      <c r="Q33" s="22" t="s">
        <v>103</v>
      </c>
      <c r="R33" s="27"/>
      <c r="S33" s="27">
        <f>R33-33.1</f>
        <v>-33.1</v>
      </c>
      <c r="T33" s="30"/>
      <c r="U33" s="40" t="s">
        <v>52</v>
      </c>
      <c r="V33" s="37">
        <v>1.6</v>
      </c>
      <c r="W33" s="22">
        <v>17.600000000000001</v>
      </c>
      <c r="X33" s="112"/>
      <c r="Y33" s="27">
        <f>X33-W33</f>
        <v>-17.600000000000001</v>
      </c>
      <c r="Z33" s="27"/>
      <c r="AA33" s="22">
        <v>6.28</v>
      </c>
      <c r="AB33" s="27"/>
      <c r="AC33" s="27">
        <f>AB33-AA33</f>
        <v>-6.28</v>
      </c>
      <c r="AD33" s="28"/>
      <c r="AE33" s="52"/>
      <c r="AF33" s="37"/>
      <c r="AG33" s="29"/>
      <c r="AH33" s="30"/>
      <c r="AI33" s="29"/>
      <c r="AJ33" s="53"/>
    </row>
    <row r="34" spans="2:36" s="2" customFormat="1" ht="15" customHeight="1" x14ac:dyDescent="0.15">
      <c r="B34" s="90"/>
      <c r="C34" s="87"/>
      <c r="D34" s="77" t="s">
        <v>54</v>
      </c>
      <c r="E34" s="76"/>
      <c r="F34" s="77" t="s">
        <v>55</v>
      </c>
      <c r="G34" s="75"/>
      <c r="H34" s="75"/>
      <c r="I34" s="75"/>
      <c r="J34" s="75"/>
      <c r="K34" s="75"/>
      <c r="L34" s="75"/>
      <c r="M34" s="76"/>
      <c r="N34" s="77" t="s">
        <v>56</v>
      </c>
      <c r="O34" s="75"/>
      <c r="P34" s="75"/>
      <c r="Q34" s="75"/>
      <c r="R34" s="75"/>
      <c r="S34" s="75"/>
      <c r="T34" s="75"/>
      <c r="U34" s="76"/>
      <c r="V34" s="74" t="s">
        <v>57</v>
      </c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81"/>
    </row>
    <row r="35" spans="2:36" s="2" customFormat="1" ht="15" customHeight="1" x14ac:dyDescent="0.15">
      <c r="B35" s="90"/>
      <c r="C35" s="87"/>
      <c r="D35" s="94" t="s">
        <v>110</v>
      </c>
      <c r="E35" s="73"/>
      <c r="F35" s="94" t="s">
        <v>31</v>
      </c>
      <c r="G35" s="70"/>
      <c r="H35" s="70"/>
      <c r="I35" s="70"/>
      <c r="J35" s="70"/>
      <c r="K35" s="71" t="s">
        <v>112</v>
      </c>
      <c r="L35" s="70"/>
      <c r="M35" s="73"/>
      <c r="N35" s="94" t="s">
        <v>38</v>
      </c>
      <c r="O35" s="70"/>
      <c r="P35" s="70"/>
      <c r="Q35" s="70"/>
      <c r="R35" s="70"/>
      <c r="S35" s="95" t="s">
        <v>117</v>
      </c>
      <c r="T35" s="70"/>
      <c r="U35" s="73"/>
      <c r="V35" s="69" t="s">
        <v>32</v>
      </c>
      <c r="W35" s="70"/>
      <c r="X35" s="70"/>
      <c r="Y35" s="70"/>
      <c r="Z35" s="71" t="s">
        <v>130</v>
      </c>
      <c r="AA35" s="70"/>
      <c r="AB35" s="70"/>
      <c r="AC35" s="70"/>
      <c r="AD35" s="70"/>
      <c r="AE35" s="70"/>
      <c r="AF35" s="70"/>
      <c r="AG35" s="70"/>
      <c r="AH35" s="70"/>
      <c r="AI35" s="70"/>
      <c r="AJ35" s="82"/>
    </row>
    <row r="36" spans="2:36" s="2" customFormat="1" ht="24.95" customHeight="1" x14ac:dyDescent="0.15">
      <c r="B36" s="90"/>
      <c r="C36" s="87"/>
      <c r="D36" s="11" t="s">
        <v>22</v>
      </c>
      <c r="E36" s="34" t="s">
        <v>23</v>
      </c>
      <c r="F36" s="11" t="s">
        <v>39</v>
      </c>
      <c r="G36" s="8" t="s">
        <v>69</v>
      </c>
      <c r="H36" s="8" t="s">
        <v>113</v>
      </c>
      <c r="I36" s="3" t="s">
        <v>27</v>
      </c>
      <c r="J36" s="5" t="s">
        <v>23</v>
      </c>
      <c r="K36" s="3" t="s">
        <v>29</v>
      </c>
      <c r="L36" s="3" t="s">
        <v>30</v>
      </c>
      <c r="M36" s="34" t="s">
        <v>114</v>
      </c>
      <c r="N36" s="11" t="s">
        <v>39</v>
      </c>
      <c r="O36" s="8" t="s">
        <v>69</v>
      </c>
      <c r="P36" s="8" t="s">
        <v>113</v>
      </c>
      <c r="Q36" s="8" t="s">
        <v>27</v>
      </c>
      <c r="R36" s="14" t="s">
        <v>23</v>
      </c>
      <c r="S36" s="3" t="s">
        <v>29</v>
      </c>
      <c r="T36" s="3" t="s">
        <v>30</v>
      </c>
      <c r="U36" s="34" t="s">
        <v>114</v>
      </c>
      <c r="V36" s="15" t="s">
        <v>70</v>
      </c>
      <c r="W36" s="3" t="s">
        <v>69</v>
      </c>
      <c r="X36" s="3" t="s">
        <v>118</v>
      </c>
      <c r="Y36" s="3" t="s">
        <v>119</v>
      </c>
      <c r="Z36" s="3" t="s">
        <v>120</v>
      </c>
      <c r="AA36" s="3" t="s">
        <v>122</v>
      </c>
      <c r="AB36" s="3" t="s">
        <v>121</v>
      </c>
      <c r="AC36" s="3" t="s">
        <v>123</v>
      </c>
      <c r="AD36" s="3" t="s">
        <v>124</v>
      </c>
      <c r="AE36" s="3" t="s">
        <v>33</v>
      </c>
      <c r="AF36" s="3" t="s">
        <v>126</v>
      </c>
      <c r="AG36" s="3" t="s">
        <v>127</v>
      </c>
      <c r="AH36" s="3" t="s">
        <v>36</v>
      </c>
      <c r="AI36" s="3" t="s">
        <v>129</v>
      </c>
      <c r="AJ36" s="24" t="s">
        <v>128</v>
      </c>
    </row>
    <row r="37" spans="2:36" s="2" customFormat="1" ht="15" customHeight="1" x14ac:dyDescent="0.15">
      <c r="B37" s="90"/>
      <c r="C37" s="87"/>
      <c r="D37" s="33" t="s">
        <v>20</v>
      </c>
      <c r="E37" s="16" t="s">
        <v>7</v>
      </c>
      <c r="F37" s="19" t="s">
        <v>16</v>
      </c>
      <c r="G37" s="18" t="s">
        <v>16</v>
      </c>
      <c r="H37" s="18" t="s">
        <v>16</v>
      </c>
      <c r="I37" s="5" t="s">
        <v>2</v>
      </c>
      <c r="J37" s="5" t="s">
        <v>7</v>
      </c>
      <c r="K37" s="5" t="s">
        <v>2</v>
      </c>
      <c r="L37" s="5" t="s">
        <v>2</v>
      </c>
      <c r="M37" s="10" t="s">
        <v>2</v>
      </c>
      <c r="N37" s="35" t="s">
        <v>16</v>
      </c>
      <c r="O37" s="8" t="s">
        <v>16</v>
      </c>
      <c r="P37" s="23" t="s">
        <v>16</v>
      </c>
      <c r="Q37" s="4" t="s">
        <v>2</v>
      </c>
      <c r="R37" s="4" t="s">
        <v>7</v>
      </c>
      <c r="S37" s="5" t="s">
        <v>2</v>
      </c>
      <c r="T37" s="5" t="s">
        <v>2</v>
      </c>
      <c r="U37" s="10" t="s">
        <v>2</v>
      </c>
      <c r="V37" s="19" t="s">
        <v>16</v>
      </c>
      <c r="W37" s="18" t="s">
        <v>16</v>
      </c>
      <c r="X37" s="5" t="s">
        <v>17</v>
      </c>
      <c r="Y37" s="5" t="s">
        <v>2</v>
      </c>
      <c r="Z37" s="5" t="s">
        <v>6</v>
      </c>
      <c r="AA37" s="5" t="s">
        <v>5</v>
      </c>
      <c r="AB37" s="5" t="s">
        <v>6</v>
      </c>
      <c r="AC37" s="18" t="s">
        <v>5</v>
      </c>
      <c r="AD37" s="18" t="s">
        <v>4</v>
      </c>
      <c r="AE37" s="18" t="s">
        <v>7</v>
      </c>
      <c r="AF37" s="5" t="s">
        <v>35</v>
      </c>
      <c r="AG37" s="5" t="s">
        <v>34</v>
      </c>
      <c r="AH37" s="5" t="s">
        <v>43</v>
      </c>
      <c r="AI37" s="5" t="s">
        <v>43</v>
      </c>
      <c r="AJ37" s="25" t="s">
        <v>7</v>
      </c>
    </row>
    <row r="38" spans="2:36" s="2" customFormat="1" ht="15" customHeight="1" x14ac:dyDescent="0.15">
      <c r="B38" s="90"/>
      <c r="C38" s="87"/>
      <c r="D38" s="21"/>
      <c r="E38" s="54"/>
      <c r="F38" s="55" t="s">
        <v>111</v>
      </c>
      <c r="G38" s="30">
        <v>21</v>
      </c>
      <c r="H38" s="29">
        <f>G38-F38</f>
        <v>4</v>
      </c>
      <c r="I38" s="22"/>
      <c r="J38" s="27"/>
      <c r="K38" s="27">
        <v>93.5</v>
      </c>
      <c r="L38" s="27">
        <v>4.24</v>
      </c>
      <c r="M38" s="56">
        <f>K38+L38</f>
        <v>97.74</v>
      </c>
      <c r="N38" s="26">
        <v>20</v>
      </c>
      <c r="O38" s="27">
        <v>23</v>
      </c>
      <c r="P38" s="43">
        <f>O38-N38</f>
        <v>3</v>
      </c>
      <c r="Q38" s="38"/>
      <c r="R38" s="38"/>
      <c r="S38" s="38" t="s">
        <v>115</v>
      </c>
      <c r="T38" s="38" t="s">
        <v>116</v>
      </c>
      <c r="U38" s="57">
        <f>S38+T38</f>
        <v>97.45</v>
      </c>
      <c r="V38" s="39"/>
      <c r="W38" s="38"/>
      <c r="X38" s="38"/>
      <c r="Y38" s="38"/>
      <c r="Z38" s="38"/>
      <c r="AA38" s="38"/>
      <c r="AB38" s="38"/>
      <c r="AC38" s="38"/>
      <c r="AD38" s="38"/>
      <c r="AE38" s="115" t="e">
        <f>Z38/AB38</f>
        <v>#DIV/0!</v>
      </c>
      <c r="AF38" s="38"/>
      <c r="AG38" s="38"/>
      <c r="AH38" s="115" t="e">
        <f>AF38/(Z38-AB38)</f>
        <v>#DIV/0!</v>
      </c>
      <c r="AI38" s="116" t="s">
        <v>138</v>
      </c>
      <c r="AJ38" s="62"/>
    </row>
    <row r="39" spans="2:36" s="2" customFormat="1" ht="15" customHeight="1" x14ac:dyDescent="0.15">
      <c r="B39" s="90"/>
      <c r="C39" s="87"/>
      <c r="D39" s="74" t="s">
        <v>66</v>
      </c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6"/>
      <c r="R39" s="58" t="s">
        <v>7</v>
      </c>
      <c r="S39" s="59" t="s">
        <v>7</v>
      </c>
      <c r="T39" s="59" t="s">
        <v>7</v>
      </c>
      <c r="U39" s="59" t="s">
        <v>125</v>
      </c>
      <c r="V39" s="59" t="s">
        <v>125</v>
      </c>
      <c r="W39" s="59" t="s">
        <v>125</v>
      </c>
      <c r="X39" s="59" t="s">
        <v>125</v>
      </c>
      <c r="Y39" s="59" t="s">
        <v>125</v>
      </c>
      <c r="Z39" s="59" t="s">
        <v>125</v>
      </c>
      <c r="AA39" s="59" t="s">
        <v>125</v>
      </c>
      <c r="AB39" s="59" t="s">
        <v>125</v>
      </c>
      <c r="AC39" s="59" t="s">
        <v>125</v>
      </c>
      <c r="AD39" s="59" t="s">
        <v>125</v>
      </c>
      <c r="AE39" s="59" t="s">
        <v>125</v>
      </c>
      <c r="AF39" s="60" t="s">
        <v>125</v>
      </c>
      <c r="AG39" s="60" t="s">
        <v>125</v>
      </c>
      <c r="AH39" s="60" t="s">
        <v>125</v>
      </c>
      <c r="AI39" s="60" t="s">
        <v>125</v>
      </c>
      <c r="AJ39" s="61" t="s">
        <v>125</v>
      </c>
    </row>
    <row r="40" spans="2:36" s="2" customFormat="1" ht="15" customHeight="1" x14ac:dyDescent="0.15">
      <c r="B40" s="90"/>
      <c r="C40" s="87"/>
      <c r="D40" s="69" t="s">
        <v>131</v>
      </c>
      <c r="E40" s="70"/>
      <c r="F40" s="70"/>
      <c r="G40" s="71" t="s">
        <v>132</v>
      </c>
      <c r="H40" s="70"/>
      <c r="I40" s="70"/>
      <c r="J40" s="71" t="s">
        <v>133</v>
      </c>
      <c r="K40" s="70"/>
      <c r="L40" s="70"/>
      <c r="M40" s="71" t="s">
        <v>61</v>
      </c>
      <c r="N40" s="71" t="s">
        <v>62</v>
      </c>
      <c r="O40" s="71" t="s">
        <v>63</v>
      </c>
      <c r="P40" s="71" t="s">
        <v>65</v>
      </c>
      <c r="Q40" s="72" t="s">
        <v>134</v>
      </c>
      <c r="R40" s="12" t="s">
        <v>7</v>
      </c>
      <c r="S40" s="4" t="s">
        <v>7</v>
      </c>
      <c r="T40" s="4" t="s">
        <v>7</v>
      </c>
      <c r="U40" s="4" t="s">
        <v>125</v>
      </c>
      <c r="V40" s="4" t="s">
        <v>125</v>
      </c>
      <c r="W40" s="4" t="s">
        <v>125</v>
      </c>
      <c r="X40" s="4" t="s">
        <v>125</v>
      </c>
      <c r="Y40" s="4" t="s">
        <v>125</v>
      </c>
      <c r="Z40" s="4" t="s">
        <v>125</v>
      </c>
      <c r="AA40" s="4" t="s">
        <v>125</v>
      </c>
      <c r="AB40" s="4" t="s">
        <v>125</v>
      </c>
      <c r="AC40" s="4" t="s">
        <v>125</v>
      </c>
      <c r="AD40" s="4" t="s">
        <v>125</v>
      </c>
      <c r="AE40" s="4" t="s">
        <v>125</v>
      </c>
      <c r="AF40" s="7" t="s">
        <v>125</v>
      </c>
      <c r="AG40" s="7" t="s">
        <v>125</v>
      </c>
      <c r="AH40" s="7" t="s">
        <v>125</v>
      </c>
      <c r="AI40" s="7" t="s">
        <v>125</v>
      </c>
      <c r="AJ40" s="17" t="s">
        <v>125</v>
      </c>
    </row>
    <row r="41" spans="2:36" s="2" customFormat="1" ht="24.95" customHeight="1" x14ac:dyDescent="0.15">
      <c r="B41" s="90"/>
      <c r="C41" s="87"/>
      <c r="D41" s="15" t="s">
        <v>59</v>
      </c>
      <c r="E41" s="3" t="s">
        <v>60</v>
      </c>
      <c r="F41" s="3" t="s">
        <v>58</v>
      </c>
      <c r="G41" s="3" t="s">
        <v>59</v>
      </c>
      <c r="H41" s="3" t="s">
        <v>60</v>
      </c>
      <c r="I41" s="3" t="s">
        <v>58</v>
      </c>
      <c r="J41" s="3" t="s">
        <v>59</v>
      </c>
      <c r="K41" s="3" t="s">
        <v>60</v>
      </c>
      <c r="L41" s="3" t="s">
        <v>58</v>
      </c>
      <c r="M41" s="70"/>
      <c r="N41" s="70"/>
      <c r="O41" s="70"/>
      <c r="P41" s="70"/>
      <c r="Q41" s="73"/>
      <c r="R41" s="11" t="s">
        <v>7</v>
      </c>
      <c r="S41" s="8" t="s">
        <v>7</v>
      </c>
      <c r="T41" s="8" t="s">
        <v>7</v>
      </c>
      <c r="U41" s="8" t="s">
        <v>125</v>
      </c>
      <c r="V41" s="8" t="s">
        <v>125</v>
      </c>
      <c r="W41" s="3" t="s">
        <v>125</v>
      </c>
      <c r="X41" s="8" t="s">
        <v>125</v>
      </c>
      <c r="Y41" s="8" t="s">
        <v>125</v>
      </c>
      <c r="Z41" s="3" t="s">
        <v>125</v>
      </c>
      <c r="AA41" s="4" t="s">
        <v>125</v>
      </c>
      <c r="AB41" s="4" t="s">
        <v>125</v>
      </c>
      <c r="AC41" s="4" t="s">
        <v>125</v>
      </c>
      <c r="AD41" s="4" t="s">
        <v>125</v>
      </c>
      <c r="AE41" s="4" t="s">
        <v>125</v>
      </c>
      <c r="AF41" s="7" t="s">
        <v>125</v>
      </c>
      <c r="AG41" s="7" t="s">
        <v>125</v>
      </c>
      <c r="AH41" s="7" t="s">
        <v>125</v>
      </c>
      <c r="AI41" s="7" t="s">
        <v>125</v>
      </c>
      <c r="AJ41" s="17" t="s">
        <v>125</v>
      </c>
    </row>
    <row r="42" spans="2:36" s="2" customFormat="1" ht="15" customHeight="1" x14ac:dyDescent="0.15">
      <c r="B42" s="90"/>
      <c r="C42" s="87"/>
      <c r="D42" s="19" t="s">
        <v>2</v>
      </c>
      <c r="E42" s="18" t="s">
        <v>2</v>
      </c>
      <c r="F42" s="5" t="s">
        <v>2</v>
      </c>
      <c r="G42" s="5" t="s">
        <v>4</v>
      </c>
      <c r="H42" s="4" t="s">
        <v>4</v>
      </c>
      <c r="I42" s="4" t="s">
        <v>4</v>
      </c>
      <c r="J42" s="5" t="s">
        <v>4</v>
      </c>
      <c r="K42" s="4" t="s">
        <v>4</v>
      </c>
      <c r="L42" s="4" t="s">
        <v>4</v>
      </c>
      <c r="M42" s="4" t="s">
        <v>35</v>
      </c>
      <c r="N42" s="4" t="s">
        <v>1</v>
      </c>
      <c r="O42" s="5" t="s">
        <v>64</v>
      </c>
      <c r="P42" s="5" t="s">
        <v>7</v>
      </c>
      <c r="Q42" s="16" t="s">
        <v>7</v>
      </c>
      <c r="R42" s="12" t="s">
        <v>7</v>
      </c>
      <c r="S42" s="4" t="s">
        <v>7</v>
      </c>
      <c r="T42" s="4" t="s">
        <v>7</v>
      </c>
      <c r="U42" s="4" t="s">
        <v>125</v>
      </c>
      <c r="V42" s="4" t="s">
        <v>125</v>
      </c>
      <c r="W42" s="4" t="s">
        <v>125</v>
      </c>
      <c r="X42" s="4" t="s">
        <v>125</v>
      </c>
      <c r="Y42" s="4" t="s">
        <v>125</v>
      </c>
      <c r="Z42" s="4" t="s">
        <v>125</v>
      </c>
      <c r="AA42" s="4" t="s">
        <v>125</v>
      </c>
      <c r="AB42" s="4" t="s">
        <v>125</v>
      </c>
      <c r="AC42" s="4" t="s">
        <v>125</v>
      </c>
      <c r="AD42" s="4" t="s">
        <v>125</v>
      </c>
      <c r="AE42" s="6" t="s">
        <v>125</v>
      </c>
      <c r="AF42" s="7" t="s">
        <v>125</v>
      </c>
      <c r="AG42" s="7" t="s">
        <v>125</v>
      </c>
      <c r="AH42" s="7" t="s">
        <v>125</v>
      </c>
      <c r="AI42" s="7" t="s">
        <v>125</v>
      </c>
      <c r="AJ42" s="17" t="s">
        <v>125</v>
      </c>
    </row>
    <row r="43" spans="2:36" s="2" customFormat="1" ht="15" customHeight="1" thickBot="1" x14ac:dyDescent="0.2">
      <c r="B43" s="139"/>
      <c r="C43" s="140"/>
      <c r="D43" s="141"/>
      <c r="E43" s="142"/>
      <c r="F43" s="142">
        <f>D43-E43</f>
        <v>0</v>
      </c>
      <c r="G43" s="142"/>
      <c r="H43" s="142"/>
      <c r="I43" s="142">
        <f>G43-H43</f>
        <v>0</v>
      </c>
      <c r="J43" s="142"/>
      <c r="K43" s="142"/>
      <c r="L43" s="142">
        <f>J43-K43</f>
        <v>0</v>
      </c>
      <c r="M43" s="142"/>
      <c r="N43" s="142"/>
      <c r="O43" s="143" t="e">
        <f>N43/M43</f>
        <v>#DIV/0!</v>
      </c>
      <c r="P43" s="142"/>
      <c r="Q43" s="144">
        <v>301</v>
      </c>
      <c r="R43" s="141" t="s">
        <v>7</v>
      </c>
      <c r="S43" s="142" t="s">
        <v>7</v>
      </c>
      <c r="T43" s="142" t="s">
        <v>7</v>
      </c>
      <c r="U43" s="142" t="s">
        <v>125</v>
      </c>
      <c r="V43" s="142" t="s">
        <v>125</v>
      </c>
      <c r="W43" s="142" t="s">
        <v>125</v>
      </c>
      <c r="X43" s="142" t="s">
        <v>125</v>
      </c>
      <c r="Y43" s="142" t="s">
        <v>125</v>
      </c>
      <c r="Z43" s="142" t="s">
        <v>125</v>
      </c>
      <c r="AA43" s="142" t="s">
        <v>125</v>
      </c>
      <c r="AB43" s="142" t="s">
        <v>125</v>
      </c>
      <c r="AC43" s="142" t="s">
        <v>125</v>
      </c>
      <c r="AD43" s="142" t="s">
        <v>125</v>
      </c>
      <c r="AE43" s="145" t="s">
        <v>125</v>
      </c>
      <c r="AF43" s="146" t="s">
        <v>125</v>
      </c>
      <c r="AG43" s="146" t="s">
        <v>125</v>
      </c>
      <c r="AH43" s="146" t="s">
        <v>125</v>
      </c>
      <c r="AI43" s="146" t="s">
        <v>125</v>
      </c>
      <c r="AJ43" s="147" t="s">
        <v>125</v>
      </c>
    </row>
    <row r="44" spans="2:36" ht="15" customHeight="1" x14ac:dyDescent="0.15"/>
    <row r="45" spans="2:36" ht="18" customHeight="1" x14ac:dyDescent="0.15"/>
    <row r="46" spans="2:36" ht="18" customHeight="1" x14ac:dyDescent="0.15"/>
    <row r="47" spans="2:36" ht="18" customHeight="1" x14ac:dyDescent="0.15"/>
    <row r="48" spans="2:36" ht="18" customHeight="1" x14ac:dyDescent="0.15"/>
    <row r="49" ht="18" customHeight="1" x14ac:dyDescent="0.15"/>
    <row r="50" ht="18" customHeight="1" x14ac:dyDescent="0.15"/>
    <row r="51" ht="18" customHeight="1" x14ac:dyDescent="0.15"/>
    <row r="52" ht="18" customHeight="1" x14ac:dyDescent="0.15"/>
    <row r="53" ht="18" customHeight="1" x14ac:dyDescent="0.15"/>
    <row r="54" ht="18" customHeight="1" x14ac:dyDescent="0.15"/>
    <row r="55" ht="18" customHeight="1" x14ac:dyDescent="0.15"/>
    <row r="56" ht="18" customHeight="1" x14ac:dyDescent="0.15"/>
    <row r="57" ht="18" customHeight="1" x14ac:dyDescent="0.15"/>
    <row r="58" ht="18" customHeight="1" x14ac:dyDescent="0.15"/>
    <row r="59" ht="18" customHeight="1" x14ac:dyDescent="0.15"/>
    <row r="60" ht="18" customHeight="1" x14ac:dyDescent="0.15"/>
    <row r="61" ht="18" customHeight="1" x14ac:dyDescent="0.15"/>
    <row r="62" ht="18" customHeight="1" x14ac:dyDescent="0.15"/>
    <row r="63" ht="18" customHeight="1" x14ac:dyDescent="0.15"/>
    <row r="64" ht="18" customHeight="1" x14ac:dyDescent="0.15"/>
    <row r="65" ht="18" customHeight="1" x14ac:dyDescent="0.15"/>
    <row r="66" ht="18" customHeight="1" x14ac:dyDescent="0.15"/>
    <row r="67" ht="18" customHeight="1" x14ac:dyDescent="0.15"/>
    <row r="68" ht="18" customHeight="1" x14ac:dyDescent="0.15"/>
    <row r="69" ht="18" customHeight="1" x14ac:dyDescent="0.15"/>
    <row r="70" ht="18" customHeight="1" x14ac:dyDescent="0.15"/>
    <row r="71" ht="18" customHeight="1" x14ac:dyDescent="0.15"/>
    <row r="72" ht="18" customHeight="1" x14ac:dyDescent="0.15"/>
    <row r="73" ht="18" customHeight="1" x14ac:dyDescent="0.15"/>
    <row r="74" ht="18" customHeight="1" x14ac:dyDescent="0.15"/>
    <row r="75" ht="18" customHeight="1" x14ac:dyDescent="0.15"/>
    <row r="76" ht="18" customHeight="1" x14ac:dyDescent="0.15"/>
    <row r="77" ht="18" customHeight="1" x14ac:dyDescent="0.15"/>
    <row r="78" ht="18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</sheetData>
  <mergeCells count="131">
    <mergeCell ref="D40:F40"/>
    <mergeCell ref="G40:I40"/>
    <mergeCell ref="J40:L40"/>
    <mergeCell ref="M40:M41"/>
    <mergeCell ref="N40:N41"/>
    <mergeCell ref="O40:O41"/>
    <mergeCell ref="P40:P41"/>
    <mergeCell ref="Q40:Q41"/>
    <mergeCell ref="D34:E34"/>
    <mergeCell ref="F34:M34"/>
    <mergeCell ref="N34:U34"/>
    <mergeCell ref="V34:AJ34"/>
    <mergeCell ref="F35:J35"/>
    <mergeCell ref="K35:M35"/>
    <mergeCell ref="N35:R35"/>
    <mergeCell ref="S35:U35"/>
    <mergeCell ref="V35:Y35"/>
    <mergeCell ref="Z35:AJ35"/>
    <mergeCell ref="D25:I25"/>
    <mergeCell ref="J25:T25"/>
    <mergeCell ref="U25:Z25"/>
    <mergeCell ref="D29:F29"/>
    <mergeCell ref="G29:O29"/>
    <mergeCell ref="P29:AD29"/>
    <mergeCell ref="AE29:AJ29"/>
    <mergeCell ref="D30:D31"/>
    <mergeCell ref="E30:E31"/>
    <mergeCell ref="F30:F31"/>
    <mergeCell ref="G30:H30"/>
    <mergeCell ref="I30:I31"/>
    <mergeCell ref="J30:J31"/>
    <mergeCell ref="K30:K31"/>
    <mergeCell ref="L30:L31"/>
    <mergeCell ref="P30:Q30"/>
    <mergeCell ref="R30:T30"/>
    <mergeCell ref="X30:Z30"/>
    <mergeCell ref="AE30:AG30"/>
    <mergeCell ref="AH30:AJ30"/>
    <mergeCell ref="D13:E13"/>
    <mergeCell ref="F13:M13"/>
    <mergeCell ref="N13:U13"/>
    <mergeCell ref="N9:N10"/>
    <mergeCell ref="O9:O10"/>
    <mergeCell ref="G8:O8"/>
    <mergeCell ref="P9:Q9"/>
    <mergeCell ref="R9:T9"/>
    <mergeCell ref="U9:U10"/>
    <mergeCell ref="D9:D10"/>
    <mergeCell ref="E9:E10"/>
    <mergeCell ref="F9:F10"/>
    <mergeCell ref="G9:H9"/>
    <mergeCell ref="I9:I10"/>
    <mergeCell ref="J9:J10"/>
    <mergeCell ref="K9:K10"/>
    <mergeCell ref="L9:L10"/>
    <mergeCell ref="M9:M10"/>
    <mergeCell ref="D39:Q39"/>
    <mergeCell ref="D35:E35"/>
    <mergeCell ref="AA30:AA31"/>
    <mergeCell ref="AB30:AB31"/>
    <mergeCell ref="AC30:AC31"/>
    <mergeCell ref="AD30:AD31"/>
    <mergeCell ref="U30:U31"/>
    <mergeCell ref="V30:W30"/>
    <mergeCell ref="AA3:AJ3"/>
    <mergeCell ref="AF25:AF26"/>
    <mergeCell ref="AG25:AG26"/>
    <mergeCell ref="AH25:AH26"/>
    <mergeCell ref="AI25:AI26"/>
    <mergeCell ref="AJ25:AJ26"/>
    <mergeCell ref="B27:B43"/>
    <mergeCell ref="C27:C43"/>
    <mergeCell ref="AA25:AA26"/>
    <mergeCell ref="AB25:AB26"/>
    <mergeCell ref="AC25:AC26"/>
    <mergeCell ref="AD25:AD26"/>
    <mergeCell ref="AE25:AE26"/>
    <mergeCell ref="M30:M31"/>
    <mergeCell ref="N30:N31"/>
    <mergeCell ref="O30:O31"/>
    <mergeCell ref="D4:I4"/>
    <mergeCell ref="J4:T4"/>
    <mergeCell ref="C6:C22"/>
    <mergeCell ref="B6:B22"/>
    <mergeCell ref="B2:AJ2"/>
    <mergeCell ref="B24:B26"/>
    <mergeCell ref="C24:C26"/>
    <mergeCell ref="D24:Z24"/>
    <mergeCell ref="AA24:AJ24"/>
    <mergeCell ref="D14:E14"/>
    <mergeCell ref="F14:J14"/>
    <mergeCell ref="K14:M14"/>
    <mergeCell ref="N14:R14"/>
    <mergeCell ref="S14:U14"/>
    <mergeCell ref="D8:F8"/>
    <mergeCell ref="D3:Z3"/>
    <mergeCell ref="AD4:AD5"/>
    <mergeCell ref="B3:B5"/>
    <mergeCell ref="C3:C5"/>
    <mergeCell ref="AH4:AH5"/>
    <mergeCell ref="AI4:AI5"/>
    <mergeCell ref="AJ4:AJ5"/>
    <mergeCell ref="AA4:AA5"/>
    <mergeCell ref="AB4:AB5"/>
    <mergeCell ref="AC4:AC5"/>
    <mergeCell ref="AE4:AE5"/>
    <mergeCell ref="AF4:AF5"/>
    <mergeCell ref="AG4:AG5"/>
    <mergeCell ref="U4:Z4"/>
    <mergeCell ref="V14:Y14"/>
    <mergeCell ref="V13:AJ13"/>
    <mergeCell ref="Z14:AJ14"/>
    <mergeCell ref="AA9:AA10"/>
    <mergeCell ref="AB9:AB10"/>
    <mergeCell ref="AC9:AC10"/>
    <mergeCell ref="AD9:AD10"/>
    <mergeCell ref="P8:AD8"/>
    <mergeCell ref="AE9:AG9"/>
    <mergeCell ref="AH9:AJ9"/>
    <mergeCell ref="AE8:AJ8"/>
    <mergeCell ref="V9:W9"/>
    <mergeCell ref="X9:Z9"/>
    <mergeCell ref="D19:F19"/>
    <mergeCell ref="G19:I19"/>
    <mergeCell ref="J19:L19"/>
    <mergeCell ref="M19:M20"/>
    <mergeCell ref="N19:N20"/>
    <mergeCell ref="O19:O20"/>
    <mergeCell ref="P19:P20"/>
    <mergeCell ref="Q19:Q20"/>
    <mergeCell ref="D18:Q18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班组＆日生产过程运行质量考评表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2026-02-26T06:23:08Z</dcterms:modified>
</cp:coreProperties>
</file>