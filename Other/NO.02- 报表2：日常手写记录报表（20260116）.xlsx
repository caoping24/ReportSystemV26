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NO.03- 国内项目\NO.15- 四川区域\NO.02- 和邦生物\NO.01- 二乙腈中试数智化改造项目\NO.09- 报表系统\NO.01- 新报表系统\NO.02- 审核定稿版本\"/>
    </mc:Choice>
  </mc:AlternateContent>
  <xr:revisionPtr revIDLastSave="0" documentId="13_ncr:1_{2279A35D-3D67-4C5E-A9D5-72588F7E0F0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闪发器冷凝液检测数据" sheetId="1" r:id="rId1"/>
    <sheet name="反应液检测数据" sheetId="2" r:id="rId2"/>
    <sheet name="结晶检测数据" sheetId="3" r:id="rId3"/>
    <sheet name="一次母液检测数据" sheetId="4" r:id="rId4"/>
    <sheet name="母液脱色检测数据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J16" i="3"/>
  <c r="J10" i="3"/>
  <c r="N16" i="3"/>
  <c r="G16" i="3"/>
  <c r="N10" i="3"/>
  <c r="H5" i="3"/>
  <c r="R10" i="3"/>
  <c r="Q10" i="3"/>
  <c r="K10" i="3"/>
  <c r="K16" i="3"/>
  <c r="H8" i="3"/>
  <c r="H6" i="3"/>
  <c r="H7" i="3"/>
  <c r="R16" i="3"/>
  <c r="Q16" i="3"/>
  <c r="R17" i="3"/>
  <c r="Q17" i="3"/>
  <c r="K17" i="3" l="1"/>
</calcChain>
</file>

<file path=xl/sharedStrings.xml><?xml version="1.0" encoding="utf-8"?>
<sst xmlns="http://schemas.openxmlformats.org/spreadsheetml/2006/main" count="116" uniqueCount="44">
  <si>
    <t>COD</t>
    <phoneticPr fontId="1" type="noConversion"/>
  </si>
  <si>
    <t>mg/L</t>
    <phoneticPr fontId="1" type="noConversion"/>
  </si>
  <si>
    <t>TCN/总腈</t>
    <phoneticPr fontId="1" type="noConversion"/>
  </si>
  <si>
    <t>NH3-N/氨氮</t>
    <phoneticPr fontId="1" type="noConversion"/>
  </si>
  <si>
    <t>HCHO/甲醛</t>
    <phoneticPr fontId="1" type="noConversion"/>
  </si>
  <si>
    <t>pH</t>
    <phoneticPr fontId="1" type="noConversion"/>
  </si>
  <si>
    <t>/</t>
    <phoneticPr fontId="1" type="noConversion"/>
  </si>
  <si>
    <t>二乙腈含量</t>
    <phoneticPr fontId="1" type="noConversion"/>
  </si>
  <si>
    <t>羟基乙腈残余</t>
    <phoneticPr fontId="1" type="noConversion"/>
  </si>
  <si>
    <t>%</t>
    <phoneticPr fontId="1" type="noConversion"/>
  </si>
  <si>
    <t>g/L</t>
    <phoneticPr fontId="1" type="noConversion"/>
  </si>
  <si>
    <t>化分
（%）</t>
    <phoneticPr fontId="1" type="noConversion"/>
  </si>
  <si>
    <t>色谱
（%）</t>
    <phoneticPr fontId="1" type="noConversion"/>
  </si>
  <si>
    <t>化分
%</t>
    <phoneticPr fontId="1" type="noConversion"/>
  </si>
  <si>
    <t>色谱
%</t>
    <phoneticPr fontId="1" type="noConversion"/>
  </si>
  <si>
    <t>白班</t>
    <phoneticPr fontId="1" type="noConversion"/>
  </si>
  <si>
    <t>日期</t>
    <phoneticPr fontId="1" type="noConversion"/>
  </si>
  <si>
    <t>班次</t>
    <phoneticPr fontId="1" type="noConversion"/>
  </si>
  <si>
    <t>序号</t>
    <phoneticPr fontId="1" type="noConversion"/>
  </si>
  <si>
    <t>夜班</t>
    <phoneticPr fontId="1" type="noConversion"/>
  </si>
  <si>
    <t>kg</t>
    <phoneticPr fontId="1" type="noConversion"/>
  </si>
  <si>
    <t>一次结晶物/一次产品</t>
    <phoneticPr fontId="1" type="noConversion"/>
  </si>
  <si>
    <t>二次结晶物/二次产品</t>
    <phoneticPr fontId="1" type="noConversion"/>
  </si>
  <si>
    <t>两班合计/平均</t>
    <phoneticPr fontId="1" type="noConversion"/>
  </si>
  <si>
    <t>二乙腈
含量</t>
    <phoneticPr fontId="1" type="noConversion"/>
  </si>
  <si>
    <t>水分
含量</t>
    <phoneticPr fontId="1" type="noConversion"/>
  </si>
  <si>
    <t>未知物
含量</t>
    <phoneticPr fontId="1" type="noConversion"/>
  </si>
  <si>
    <t>平均
汇总</t>
    <phoneticPr fontId="1" type="noConversion"/>
  </si>
  <si>
    <t>二乙腈+水</t>
  </si>
  <si>
    <t>二乙腈+水</t>
    <phoneticPr fontId="1" type="noConversion"/>
  </si>
  <si>
    <t>折百产量</t>
  </si>
  <si>
    <t>折百产量</t>
    <phoneticPr fontId="1" type="noConversion"/>
  </si>
  <si>
    <t>产量</t>
    <phoneticPr fontId="1" type="noConversion"/>
  </si>
  <si>
    <t>甘氨腈</t>
    <phoneticPr fontId="1" type="noConversion"/>
  </si>
  <si>
    <t>g/L</t>
  </si>
  <si>
    <t>三乙腈</t>
    <phoneticPr fontId="1" type="noConversion"/>
  </si>
  <si>
    <t>硫铵</t>
  </si>
  <si>
    <t>硫铵</t>
    <phoneticPr fontId="1" type="noConversion"/>
  </si>
  <si>
    <t>透光率</t>
    <phoneticPr fontId="1" type="noConversion"/>
  </si>
  <si>
    <t>闪发器冷凝液检测数据记录表</t>
    <phoneticPr fontId="1" type="noConversion"/>
  </si>
  <si>
    <t>反应液检测数据记录表</t>
    <phoneticPr fontId="1" type="noConversion"/>
  </si>
  <si>
    <t>一次母液检测数据记录表</t>
    <phoneticPr fontId="1" type="noConversion"/>
  </si>
  <si>
    <t>母液脱色前检测数据记录表</t>
    <phoneticPr fontId="1" type="noConversion"/>
  </si>
  <si>
    <t>母液脱色后检测数据记录表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</si>
</sst>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4"/>
      <color rgb="FFFF0000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"/>
  <sheetViews>
    <sheetView tabSelected="1" workbookViewId="0">
      <selection activeCell="L7" sqref="L7"/>
    </sheetView>
  </sheetViews>
  <sheetFormatPr defaultRowHeight="14.25" x14ac:dyDescent="0.2"/>
  <cols>
    <col min="1" max="1" width="3.25" style="1" customWidth="1"/>
    <col min="2" max="4" width="9" style="1"/>
    <col min="5" max="5" width="8.625" style="1" customWidth="1"/>
    <col min="6" max="9" width="12.625" style="1" customWidth="1"/>
    <col min="10" max="10" width="16.125" style="1" customWidth="1"/>
    <col min="11" max="16384" width="9" style="1"/>
  </cols>
  <sheetData>
    <row r="1" spans="2:13" ht="18" customHeight="1" thickBot="1" x14ac:dyDescent="0.25"/>
    <row r="2" spans="2:13" s="15" customFormat="1" ht="30" customHeight="1" x14ac:dyDescent="0.2">
      <c r="B2" s="12">
        <v>2025</v>
      </c>
      <c r="C2" s="67" t="s">
        <v>39</v>
      </c>
      <c r="D2" s="67"/>
      <c r="E2" s="67"/>
      <c r="F2" s="67"/>
      <c r="G2" s="67"/>
      <c r="H2" s="67"/>
      <c r="I2" s="68"/>
    </row>
    <row r="3" spans="2:13" ht="24.95" customHeight="1" x14ac:dyDescent="0.2">
      <c r="B3" s="64" t="s">
        <v>16</v>
      </c>
      <c r="C3" s="69" t="s">
        <v>17</v>
      </c>
      <c r="D3" s="69" t="s">
        <v>18</v>
      </c>
      <c r="E3" s="2" t="s">
        <v>0</v>
      </c>
      <c r="F3" s="2" t="s">
        <v>2</v>
      </c>
      <c r="G3" s="2" t="s">
        <v>3</v>
      </c>
      <c r="H3" s="2" t="s">
        <v>4</v>
      </c>
      <c r="I3" s="3" t="s">
        <v>5</v>
      </c>
      <c r="L3" s="15"/>
      <c r="M3" s="15"/>
    </row>
    <row r="4" spans="2:13" ht="24.95" customHeight="1" x14ac:dyDescent="0.2">
      <c r="B4" s="66"/>
      <c r="C4" s="70"/>
      <c r="D4" s="70"/>
      <c r="E4" s="8" t="s">
        <v>1</v>
      </c>
      <c r="F4" s="8" t="s">
        <v>1</v>
      </c>
      <c r="G4" s="8" t="s">
        <v>1</v>
      </c>
      <c r="H4" s="8" t="s">
        <v>1</v>
      </c>
      <c r="I4" s="9" t="s">
        <v>6</v>
      </c>
    </row>
    <row r="5" spans="2:13" ht="24.95" customHeight="1" x14ac:dyDescent="0.2">
      <c r="B5" s="63">
        <v>1201</v>
      </c>
      <c r="C5" s="71" t="s">
        <v>15</v>
      </c>
      <c r="D5" s="10">
        <v>1</v>
      </c>
      <c r="E5" s="10"/>
      <c r="F5" s="10"/>
      <c r="G5" s="10"/>
      <c r="H5" s="10"/>
      <c r="I5" s="11"/>
    </row>
    <row r="6" spans="2:13" ht="24.95" customHeight="1" x14ac:dyDescent="0.2">
      <c r="B6" s="64"/>
      <c r="C6" s="69"/>
      <c r="D6" s="2">
        <v>2</v>
      </c>
      <c r="E6" s="2"/>
      <c r="F6" s="2"/>
      <c r="G6" s="2"/>
      <c r="H6" s="2"/>
      <c r="I6" s="3"/>
    </row>
    <row r="7" spans="2:13" ht="24.95" customHeight="1" x14ac:dyDescent="0.2">
      <c r="B7" s="64"/>
      <c r="C7" s="69"/>
      <c r="D7" s="6">
        <v>3</v>
      </c>
      <c r="E7" s="6"/>
      <c r="F7" s="6"/>
      <c r="G7" s="6"/>
      <c r="H7" s="6"/>
      <c r="I7" s="7"/>
    </row>
    <row r="8" spans="2:13" ht="24.95" customHeight="1" x14ac:dyDescent="0.2">
      <c r="B8" s="64"/>
      <c r="C8" s="69"/>
      <c r="D8" s="2">
        <v>4</v>
      </c>
      <c r="E8" s="2"/>
      <c r="F8" s="2"/>
      <c r="G8" s="2"/>
      <c r="H8" s="2"/>
      <c r="I8" s="3"/>
    </row>
    <row r="9" spans="2:13" ht="24.95" customHeight="1" x14ac:dyDescent="0.2">
      <c r="B9" s="64"/>
      <c r="C9" s="69" t="s">
        <v>19</v>
      </c>
      <c r="D9" s="6">
        <v>1</v>
      </c>
      <c r="E9" s="6"/>
      <c r="F9" s="6"/>
      <c r="G9" s="6"/>
      <c r="H9" s="6"/>
      <c r="I9" s="7"/>
    </row>
    <row r="10" spans="2:13" ht="24.95" customHeight="1" x14ac:dyDescent="0.2">
      <c r="B10" s="64"/>
      <c r="C10" s="69"/>
      <c r="D10" s="2">
        <v>2</v>
      </c>
      <c r="E10" s="2"/>
      <c r="F10" s="2"/>
      <c r="G10" s="2"/>
      <c r="H10" s="2"/>
      <c r="I10" s="3"/>
    </row>
    <row r="11" spans="2:13" ht="24.95" customHeight="1" x14ac:dyDescent="0.2">
      <c r="B11" s="64"/>
      <c r="C11" s="69"/>
      <c r="D11" s="6">
        <v>3</v>
      </c>
      <c r="E11" s="6"/>
      <c r="F11" s="6"/>
      <c r="G11" s="6"/>
      <c r="H11" s="6"/>
      <c r="I11" s="7"/>
    </row>
    <row r="12" spans="2:13" ht="24.95" customHeight="1" thickBot="1" x14ac:dyDescent="0.25">
      <c r="B12" s="65"/>
      <c r="C12" s="72"/>
      <c r="D12" s="4">
        <v>4</v>
      </c>
      <c r="E12" s="4"/>
      <c r="F12" s="4"/>
      <c r="G12" s="4"/>
      <c r="H12" s="4"/>
      <c r="I12" s="5"/>
    </row>
    <row r="13" spans="2:13" ht="24.95" customHeight="1" x14ac:dyDescent="0.2"/>
    <row r="14" spans="2:13" ht="24.95" customHeight="1" x14ac:dyDescent="0.2"/>
    <row r="15" spans="2:13" ht="24.95" customHeight="1" x14ac:dyDescent="0.2"/>
    <row r="16" spans="2:13" ht="24.95" customHeight="1" x14ac:dyDescent="0.2"/>
    <row r="17" ht="24.95" customHeight="1" x14ac:dyDescent="0.2"/>
    <row r="18" ht="24.95" customHeight="1" x14ac:dyDescent="0.2"/>
    <row r="19" ht="24.95" customHeight="1" x14ac:dyDescent="0.2"/>
    <row r="20" ht="24.95" customHeight="1" x14ac:dyDescent="0.2"/>
  </sheetData>
  <mergeCells count="7">
    <mergeCell ref="B5:B12"/>
    <mergeCell ref="B3:B4"/>
    <mergeCell ref="C2:I2"/>
    <mergeCell ref="D3:D4"/>
    <mergeCell ref="C5:C8"/>
    <mergeCell ref="C9:C12"/>
    <mergeCell ref="C3:C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1513-CAA0-45A5-A920-B84DC4A4E0E2}">
  <dimension ref="B1:K15"/>
  <sheetViews>
    <sheetView workbookViewId="0">
      <selection activeCell="M10" sqref="M10"/>
    </sheetView>
  </sheetViews>
  <sheetFormatPr defaultRowHeight="14.25" x14ac:dyDescent="0.2"/>
  <cols>
    <col min="1" max="1" width="2.625" style="1" customWidth="1"/>
    <col min="2" max="10" width="9" style="1"/>
    <col min="11" max="11" width="15.625" style="1" customWidth="1"/>
    <col min="12" max="12" width="9" style="1"/>
    <col min="13" max="13" width="93.125" style="1" customWidth="1"/>
    <col min="14" max="16384" width="9" style="1"/>
  </cols>
  <sheetData>
    <row r="1" spans="2:11" ht="15" thickBot="1" x14ac:dyDescent="0.25"/>
    <row r="2" spans="2:11" s="16" customFormat="1" ht="30" customHeight="1" x14ac:dyDescent="0.2">
      <c r="B2" s="17">
        <v>2025</v>
      </c>
      <c r="C2" s="73" t="s">
        <v>40</v>
      </c>
      <c r="D2" s="73"/>
      <c r="E2" s="73"/>
      <c r="F2" s="73"/>
      <c r="G2" s="73"/>
      <c r="H2" s="73"/>
      <c r="I2" s="88"/>
      <c r="J2" s="88"/>
      <c r="K2" s="74"/>
    </row>
    <row r="3" spans="2:11" ht="24.95" customHeight="1" x14ac:dyDescent="0.2">
      <c r="B3" s="64" t="s">
        <v>16</v>
      </c>
      <c r="C3" s="69" t="s">
        <v>17</v>
      </c>
      <c r="D3" s="69" t="s">
        <v>18</v>
      </c>
      <c r="E3" s="69" t="s">
        <v>7</v>
      </c>
      <c r="F3" s="69"/>
      <c r="G3" s="69" t="s">
        <v>8</v>
      </c>
      <c r="H3" s="69"/>
      <c r="I3" s="89" t="s">
        <v>33</v>
      </c>
      <c r="J3" s="89" t="s">
        <v>35</v>
      </c>
      <c r="K3" s="3" t="s">
        <v>5</v>
      </c>
    </row>
    <row r="4" spans="2:11" ht="30.75" customHeight="1" x14ac:dyDescent="0.2">
      <c r="B4" s="66"/>
      <c r="C4" s="70"/>
      <c r="D4" s="70"/>
      <c r="E4" s="18" t="s">
        <v>11</v>
      </c>
      <c r="F4" s="18" t="s">
        <v>12</v>
      </c>
      <c r="G4" s="8" t="s">
        <v>9</v>
      </c>
      <c r="H4" s="8" t="s">
        <v>10</v>
      </c>
      <c r="I4" s="90" t="s">
        <v>34</v>
      </c>
      <c r="J4" s="90" t="s">
        <v>34</v>
      </c>
      <c r="K4" s="9" t="s">
        <v>6</v>
      </c>
    </row>
    <row r="5" spans="2:11" ht="24.95" customHeight="1" x14ac:dyDescent="0.2">
      <c r="B5" s="63">
        <v>1201</v>
      </c>
      <c r="C5" s="71" t="s">
        <v>15</v>
      </c>
      <c r="D5" s="10">
        <v>1</v>
      </c>
      <c r="E5" s="10"/>
      <c r="F5" s="10"/>
      <c r="G5" s="10"/>
      <c r="H5" s="10"/>
      <c r="I5" s="91"/>
      <c r="J5" s="91"/>
      <c r="K5" s="11"/>
    </row>
    <row r="6" spans="2:11" ht="24.95" customHeight="1" x14ac:dyDescent="0.2">
      <c r="B6" s="64"/>
      <c r="C6" s="69"/>
      <c r="D6" s="2">
        <v>2</v>
      </c>
      <c r="E6" s="2"/>
      <c r="F6" s="2"/>
      <c r="G6" s="2"/>
      <c r="H6" s="2"/>
      <c r="I6" s="89"/>
      <c r="J6" s="89"/>
      <c r="K6" s="3"/>
    </row>
    <row r="7" spans="2:11" ht="24.95" customHeight="1" x14ac:dyDescent="0.2">
      <c r="B7" s="64"/>
      <c r="C7" s="69"/>
      <c r="D7" s="6">
        <v>3</v>
      </c>
      <c r="E7" s="6"/>
      <c r="F7" s="6"/>
      <c r="G7" s="6"/>
      <c r="H7" s="6"/>
      <c r="I7" s="92"/>
      <c r="J7" s="92"/>
      <c r="K7" s="7"/>
    </row>
    <row r="8" spans="2:11" ht="24.95" customHeight="1" x14ac:dyDescent="0.2">
      <c r="B8" s="64"/>
      <c r="C8" s="69"/>
      <c r="D8" s="2">
        <v>4</v>
      </c>
      <c r="E8" s="2"/>
      <c r="F8" s="2"/>
      <c r="G8" s="2"/>
      <c r="H8" s="2"/>
      <c r="I8" s="89"/>
      <c r="J8" s="89"/>
      <c r="K8" s="3"/>
    </row>
    <row r="9" spans="2:11" ht="24.95" customHeight="1" x14ac:dyDescent="0.2">
      <c r="B9" s="64"/>
      <c r="C9" s="69" t="s">
        <v>19</v>
      </c>
      <c r="D9" s="6">
        <v>1</v>
      </c>
      <c r="E9" s="6"/>
      <c r="F9" s="6"/>
      <c r="G9" s="6"/>
      <c r="H9" s="6"/>
      <c r="I9" s="92"/>
      <c r="J9" s="92"/>
      <c r="K9" s="7"/>
    </row>
    <row r="10" spans="2:11" ht="24.95" customHeight="1" x14ac:dyDescent="0.2">
      <c r="B10" s="64"/>
      <c r="C10" s="69"/>
      <c r="D10" s="2">
        <v>2</v>
      </c>
      <c r="E10" s="2"/>
      <c r="F10" s="2"/>
      <c r="G10" s="2"/>
      <c r="H10" s="2"/>
      <c r="I10" s="89"/>
      <c r="J10" s="89"/>
      <c r="K10" s="3"/>
    </row>
    <row r="11" spans="2:11" ht="24.95" customHeight="1" x14ac:dyDescent="0.2">
      <c r="B11" s="64"/>
      <c r="C11" s="69"/>
      <c r="D11" s="6">
        <v>3</v>
      </c>
      <c r="E11" s="6"/>
      <c r="F11" s="6"/>
      <c r="G11" s="6"/>
      <c r="H11" s="6"/>
      <c r="I11" s="92"/>
      <c r="J11" s="92"/>
      <c r="K11" s="7"/>
    </row>
    <row r="12" spans="2:11" ht="24.95" customHeight="1" thickBot="1" x14ac:dyDescent="0.25">
      <c r="B12" s="65"/>
      <c r="C12" s="72"/>
      <c r="D12" s="4">
        <v>4</v>
      </c>
      <c r="E12" s="4"/>
      <c r="F12" s="4"/>
      <c r="G12" s="4"/>
      <c r="H12" s="4"/>
      <c r="I12" s="93"/>
      <c r="J12" s="93"/>
      <c r="K12" s="5"/>
    </row>
    <row r="13" spans="2:11" ht="24.95" customHeight="1" x14ac:dyDescent="0.2"/>
    <row r="14" spans="2:11" ht="24.95" customHeight="1" x14ac:dyDescent="0.2"/>
    <row r="15" spans="2:11" ht="24.95" customHeight="1" x14ac:dyDescent="0.2"/>
  </sheetData>
  <mergeCells count="9">
    <mergeCell ref="C9:C12"/>
    <mergeCell ref="B3:B4"/>
    <mergeCell ref="B5:B12"/>
    <mergeCell ref="C2:K2"/>
    <mergeCell ref="E3:F3"/>
    <mergeCell ref="G3:H3"/>
    <mergeCell ref="D3:D4"/>
    <mergeCell ref="C3:C4"/>
    <mergeCell ref="C5:C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C9B9-8B3A-481E-868C-56929214469D}">
  <dimension ref="B1:R17"/>
  <sheetViews>
    <sheetView workbookViewId="0">
      <selection activeCell="V11" sqref="V11"/>
    </sheetView>
  </sheetViews>
  <sheetFormatPr defaultRowHeight="14.25" x14ac:dyDescent="0.2"/>
  <cols>
    <col min="1" max="1" width="2.25" style="1" customWidth="1"/>
    <col min="2" max="2" width="9" style="1"/>
    <col min="3" max="3" width="6.625" style="1" customWidth="1"/>
    <col min="4" max="4" width="9.875" style="1" customWidth="1"/>
    <col min="5" max="6" width="5.625" style="1" customWidth="1"/>
    <col min="7" max="7" width="6.625" style="1" customWidth="1"/>
    <col min="8" max="9" width="5.625" style="1" customWidth="1"/>
    <col min="10" max="10" width="12.625" style="1" customWidth="1"/>
    <col min="11" max="11" width="8.625" style="1" customWidth="1"/>
    <col min="12" max="13" width="5.625" style="1" customWidth="1"/>
    <col min="14" max="15" width="6.625" style="1" customWidth="1"/>
    <col min="16" max="16" width="10" style="1" customWidth="1"/>
    <col min="17" max="17" width="12.625" style="1" customWidth="1"/>
    <col min="18" max="18" width="9" style="1"/>
    <col min="19" max="19" width="11.125" style="1" customWidth="1"/>
    <col min="20" max="16384" width="9" style="1"/>
  </cols>
  <sheetData>
    <row r="1" spans="2:18" ht="15" thickBot="1" x14ac:dyDescent="0.25"/>
    <row r="2" spans="2:18" s="15" customFormat="1" ht="30" customHeight="1" x14ac:dyDescent="0.2">
      <c r="B2" s="12">
        <v>2025</v>
      </c>
      <c r="C2" s="13"/>
      <c r="D2" s="14"/>
      <c r="E2" s="83" t="s">
        <v>21</v>
      </c>
      <c r="F2" s="67"/>
      <c r="G2" s="67"/>
      <c r="H2" s="67"/>
      <c r="I2" s="67"/>
      <c r="J2" s="67"/>
      <c r="K2" s="84"/>
      <c r="L2" s="75" t="s">
        <v>22</v>
      </c>
      <c r="M2" s="67"/>
      <c r="N2" s="67"/>
      <c r="O2" s="67"/>
      <c r="P2" s="67"/>
      <c r="Q2" s="67"/>
      <c r="R2" s="68"/>
    </row>
    <row r="3" spans="2:18" s="26" customFormat="1" ht="33.75" customHeight="1" x14ac:dyDescent="0.2">
      <c r="B3" s="81" t="s">
        <v>16</v>
      </c>
      <c r="C3" s="77" t="s">
        <v>17</v>
      </c>
      <c r="D3" s="86" t="s">
        <v>18</v>
      </c>
      <c r="E3" s="85" t="s">
        <v>24</v>
      </c>
      <c r="F3" s="77"/>
      <c r="G3" s="22" t="s">
        <v>25</v>
      </c>
      <c r="H3" s="22" t="s">
        <v>29</v>
      </c>
      <c r="I3" s="22" t="s">
        <v>26</v>
      </c>
      <c r="J3" s="22" t="s">
        <v>32</v>
      </c>
      <c r="K3" s="23" t="s">
        <v>31</v>
      </c>
      <c r="L3" s="76" t="s">
        <v>24</v>
      </c>
      <c r="M3" s="77"/>
      <c r="N3" s="22" t="s">
        <v>25</v>
      </c>
      <c r="O3" s="22" t="s">
        <v>28</v>
      </c>
      <c r="P3" s="22" t="s">
        <v>26</v>
      </c>
      <c r="Q3" s="22" t="s">
        <v>32</v>
      </c>
      <c r="R3" s="25" t="s">
        <v>30</v>
      </c>
    </row>
    <row r="4" spans="2:18" s="26" customFormat="1" ht="27" customHeight="1" x14ac:dyDescent="0.2">
      <c r="B4" s="81"/>
      <c r="C4" s="77"/>
      <c r="D4" s="86"/>
      <c r="E4" s="21" t="s">
        <v>13</v>
      </c>
      <c r="F4" s="22" t="s">
        <v>14</v>
      </c>
      <c r="G4" s="19" t="s">
        <v>9</v>
      </c>
      <c r="H4" s="19" t="s">
        <v>9</v>
      </c>
      <c r="I4" s="19" t="s">
        <v>9</v>
      </c>
      <c r="J4" s="19" t="s">
        <v>20</v>
      </c>
      <c r="K4" s="27" t="s">
        <v>20</v>
      </c>
      <c r="L4" s="24" t="s">
        <v>13</v>
      </c>
      <c r="M4" s="22" t="s">
        <v>14</v>
      </c>
      <c r="N4" s="19" t="s">
        <v>9</v>
      </c>
      <c r="O4" s="19" t="s">
        <v>9</v>
      </c>
      <c r="P4" s="19" t="s">
        <v>9</v>
      </c>
      <c r="Q4" s="19" t="s">
        <v>20</v>
      </c>
      <c r="R4" s="28" t="s">
        <v>20</v>
      </c>
    </row>
    <row r="5" spans="2:18" s="26" customFormat="1" ht="24.95" customHeight="1" x14ac:dyDescent="0.2">
      <c r="B5" s="81">
        <v>1201</v>
      </c>
      <c r="C5" s="77" t="s">
        <v>15</v>
      </c>
      <c r="D5" s="29">
        <v>1</v>
      </c>
      <c r="E5" s="30">
        <v>98.55</v>
      </c>
      <c r="F5" s="31"/>
      <c r="G5" s="31">
        <v>1.2</v>
      </c>
      <c r="H5" s="31">
        <f>G5+E5</f>
        <v>99.75</v>
      </c>
      <c r="I5" s="31"/>
      <c r="J5" s="31"/>
      <c r="K5" s="32"/>
      <c r="L5" s="33"/>
      <c r="M5" s="31"/>
      <c r="N5" s="31"/>
      <c r="O5" s="31"/>
      <c r="P5" s="31"/>
      <c r="Q5" s="31"/>
      <c r="R5" s="34"/>
    </row>
    <row r="6" spans="2:18" s="26" customFormat="1" ht="24.95" customHeight="1" x14ac:dyDescent="0.2">
      <c r="B6" s="81"/>
      <c r="C6" s="77"/>
      <c r="D6" s="20">
        <v>2</v>
      </c>
      <c r="E6" s="35"/>
      <c r="F6" s="19"/>
      <c r="G6" s="19"/>
      <c r="H6" s="19">
        <f>G6+E6</f>
        <v>0</v>
      </c>
      <c r="I6" s="19"/>
      <c r="J6" s="19"/>
      <c r="K6" s="27"/>
      <c r="L6" s="36"/>
      <c r="M6" s="19"/>
      <c r="N6" s="19"/>
      <c r="O6" s="19"/>
      <c r="P6" s="19"/>
      <c r="Q6" s="19"/>
      <c r="R6" s="28"/>
    </row>
    <row r="7" spans="2:18" s="26" customFormat="1" ht="24.95" customHeight="1" x14ac:dyDescent="0.2">
      <c r="B7" s="81"/>
      <c r="C7" s="77"/>
      <c r="D7" s="29">
        <v>3</v>
      </c>
      <c r="E7" s="30"/>
      <c r="F7" s="31"/>
      <c r="G7" s="31"/>
      <c r="H7" s="31">
        <f>G7+E7</f>
        <v>0</v>
      </c>
      <c r="I7" s="31"/>
      <c r="J7" s="31"/>
      <c r="K7" s="32"/>
      <c r="L7" s="33"/>
      <c r="M7" s="31"/>
      <c r="N7" s="31"/>
      <c r="O7" s="31"/>
      <c r="P7" s="31"/>
      <c r="Q7" s="31"/>
      <c r="R7" s="34"/>
    </row>
    <row r="8" spans="2:18" s="26" customFormat="1" ht="24.95" customHeight="1" x14ac:dyDescent="0.2">
      <c r="B8" s="81"/>
      <c r="C8" s="77"/>
      <c r="D8" s="20">
        <v>4</v>
      </c>
      <c r="E8" s="35"/>
      <c r="F8" s="19"/>
      <c r="G8" s="19"/>
      <c r="H8" s="19">
        <f>G8+E8</f>
        <v>0</v>
      </c>
      <c r="I8" s="19"/>
      <c r="J8" s="19"/>
      <c r="K8" s="27"/>
      <c r="L8" s="36"/>
      <c r="M8" s="19"/>
      <c r="N8" s="19"/>
      <c r="O8" s="19"/>
      <c r="P8" s="19"/>
      <c r="Q8" s="19"/>
      <c r="R8" s="28"/>
    </row>
    <row r="9" spans="2:18" s="26" customFormat="1" ht="24.95" customHeight="1" x14ac:dyDescent="0.2">
      <c r="B9" s="81"/>
      <c r="C9" s="87"/>
      <c r="D9" s="38">
        <v>5</v>
      </c>
      <c r="E9" s="39"/>
      <c r="F9" s="40"/>
      <c r="G9" s="40"/>
      <c r="H9" s="40"/>
      <c r="I9" s="40"/>
      <c r="J9" s="40"/>
      <c r="K9" s="41"/>
      <c r="L9" s="42"/>
      <c r="M9" s="40"/>
      <c r="N9" s="40"/>
      <c r="O9" s="40"/>
      <c r="P9" s="40"/>
      <c r="Q9" s="40"/>
      <c r="R9" s="43"/>
    </row>
    <row r="10" spans="2:18" s="26" customFormat="1" ht="30" customHeight="1" x14ac:dyDescent="0.2">
      <c r="B10" s="81"/>
      <c r="C10" s="87"/>
      <c r="D10" s="44" t="s">
        <v>27</v>
      </c>
      <c r="E10" s="45"/>
      <c r="F10" s="37"/>
      <c r="G10" s="46" t="e">
        <f>(G5*J5+G6*J6+G7*J7+G8*J8+G9*J9)/J10</f>
        <v>#DIV/0!</v>
      </c>
      <c r="H10" s="37"/>
      <c r="I10" s="37"/>
      <c r="J10" s="37">
        <f>SUM(J5:J9)</f>
        <v>0</v>
      </c>
      <c r="K10" s="47">
        <f>SUM(K5:K8)</f>
        <v>0</v>
      </c>
      <c r="L10" s="48"/>
      <c r="M10" s="37"/>
      <c r="N10" s="46" t="e">
        <f>(N5*Q5+N7*Q7+N6*Q6+N8*Q8+N9*P10)/Q10</f>
        <v>#DIV/0!</v>
      </c>
      <c r="O10" s="37"/>
      <c r="P10" s="37"/>
      <c r="Q10" s="37">
        <f>SUM(Q5:Q8)</f>
        <v>0</v>
      </c>
      <c r="R10" s="49">
        <f>SUM(R5:R8)</f>
        <v>0</v>
      </c>
    </row>
    <row r="11" spans="2:18" s="26" customFormat="1" ht="24.95" customHeight="1" x14ac:dyDescent="0.2">
      <c r="B11" s="81"/>
      <c r="C11" s="78" t="s">
        <v>19</v>
      </c>
      <c r="D11" s="50">
        <v>1</v>
      </c>
      <c r="E11" s="51"/>
      <c r="F11" s="52"/>
      <c r="G11" s="52"/>
      <c r="H11" s="52"/>
      <c r="I11" s="52"/>
      <c r="J11" s="52"/>
      <c r="K11" s="53" t="s">
        <v>6</v>
      </c>
      <c r="L11" s="54"/>
      <c r="M11" s="52"/>
      <c r="N11" s="52"/>
      <c r="O11" s="52"/>
      <c r="P11" s="52"/>
      <c r="Q11" s="52"/>
      <c r="R11" s="55"/>
    </row>
    <row r="12" spans="2:18" s="26" customFormat="1" ht="24.95" customHeight="1" x14ac:dyDescent="0.2">
      <c r="B12" s="81"/>
      <c r="C12" s="77"/>
      <c r="D12" s="20">
        <v>2</v>
      </c>
      <c r="E12" s="35"/>
      <c r="F12" s="19"/>
      <c r="G12" s="19"/>
      <c r="H12" s="19"/>
      <c r="I12" s="19"/>
      <c r="J12" s="19"/>
      <c r="K12" s="27" t="s">
        <v>6</v>
      </c>
      <c r="L12" s="36"/>
      <c r="M12" s="19"/>
      <c r="N12" s="19"/>
      <c r="O12" s="19"/>
      <c r="P12" s="19"/>
      <c r="Q12" s="19"/>
      <c r="R12" s="28"/>
    </row>
    <row r="13" spans="2:18" s="26" customFormat="1" ht="24.95" customHeight="1" x14ac:dyDescent="0.2">
      <c r="B13" s="81"/>
      <c r="C13" s="77"/>
      <c r="D13" s="29">
        <v>3</v>
      </c>
      <c r="E13" s="30"/>
      <c r="F13" s="31"/>
      <c r="G13" s="31"/>
      <c r="H13" s="31"/>
      <c r="I13" s="31"/>
      <c r="J13" s="31"/>
      <c r="K13" s="32" t="s">
        <v>6</v>
      </c>
      <c r="L13" s="33"/>
      <c r="M13" s="31"/>
      <c r="N13" s="31"/>
      <c r="O13" s="31"/>
      <c r="P13" s="31"/>
      <c r="Q13" s="31"/>
      <c r="R13" s="34"/>
    </row>
    <row r="14" spans="2:18" s="26" customFormat="1" ht="24.95" customHeight="1" x14ac:dyDescent="0.2">
      <c r="B14" s="81"/>
      <c r="C14" s="77"/>
      <c r="D14" s="20">
        <v>4</v>
      </c>
      <c r="E14" s="35"/>
      <c r="F14" s="19"/>
      <c r="G14" s="19"/>
      <c r="H14" s="19"/>
      <c r="I14" s="19"/>
      <c r="J14" s="19"/>
      <c r="K14" s="27" t="s">
        <v>6</v>
      </c>
      <c r="L14" s="36"/>
      <c r="M14" s="19"/>
      <c r="N14" s="19"/>
      <c r="O14" s="19"/>
      <c r="P14" s="19"/>
      <c r="Q14" s="19"/>
      <c r="R14" s="28"/>
    </row>
    <row r="15" spans="2:18" s="26" customFormat="1" ht="24.95" customHeight="1" x14ac:dyDescent="0.2">
      <c r="B15" s="81"/>
      <c r="C15" s="77"/>
      <c r="D15" s="29">
        <v>5</v>
      </c>
      <c r="E15" s="30"/>
      <c r="F15" s="31"/>
      <c r="G15" s="31"/>
      <c r="H15" s="31"/>
      <c r="I15" s="31"/>
      <c r="J15" s="31"/>
      <c r="K15" s="32" t="s">
        <v>6</v>
      </c>
      <c r="L15" s="33"/>
      <c r="M15" s="31"/>
      <c r="N15" s="31"/>
      <c r="O15" s="31"/>
      <c r="P15" s="31"/>
      <c r="Q15" s="31"/>
      <c r="R15" s="34"/>
    </row>
    <row r="16" spans="2:18" s="26" customFormat="1" ht="30" customHeight="1" x14ac:dyDescent="0.2">
      <c r="B16" s="81"/>
      <c r="C16" s="77"/>
      <c r="D16" s="56" t="s">
        <v>27</v>
      </c>
      <c r="E16" s="35"/>
      <c r="F16" s="19"/>
      <c r="G16" s="57" t="e">
        <f>(G11*J11+G12*J12+G13*J13+G14*J14+G15*J15)/J16</f>
        <v>#DIV/0!</v>
      </c>
      <c r="H16" s="19"/>
      <c r="I16" s="19"/>
      <c r="J16" s="19">
        <f>SUM(J11:J15)</f>
        <v>0</v>
      </c>
      <c r="K16" s="27">
        <f>SUM(K11:K15)</f>
        <v>0</v>
      </c>
      <c r="L16" s="36"/>
      <c r="M16" s="19"/>
      <c r="N16" s="57" t="e">
        <f>(N11*Q11+N12*Q12+N13*Q13+N14*Q14+N15*Q15)/Q16</f>
        <v>#DIV/0!</v>
      </c>
      <c r="O16" s="19"/>
      <c r="P16" s="19"/>
      <c r="Q16" s="19">
        <f>SUM(Q11:Q14)</f>
        <v>0</v>
      </c>
      <c r="R16" s="28">
        <f>SUM(R11:R14)</f>
        <v>0</v>
      </c>
    </row>
    <row r="17" spans="2:18" s="26" customFormat="1" ht="24.95" customHeight="1" thickBot="1" x14ac:dyDescent="0.25">
      <c r="B17" s="82"/>
      <c r="C17" s="79" t="s">
        <v>23</v>
      </c>
      <c r="D17" s="80"/>
      <c r="E17" s="59"/>
      <c r="F17" s="58"/>
      <c r="G17" s="58"/>
      <c r="H17" s="58"/>
      <c r="I17" s="58"/>
      <c r="J17" s="58"/>
      <c r="K17" s="60">
        <f>K10+K16</f>
        <v>0</v>
      </c>
      <c r="L17" s="61"/>
      <c r="M17" s="58"/>
      <c r="N17" s="58"/>
      <c r="O17" s="58"/>
      <c r="P17" s="58"/>
      <c r="Q17" s="58">
        <f>Q10+Q16</f>
        <v>0</v>
      </c>
      <c r="R17" s="62">
        <f>R10+R16</f>
        <v>0</v>
      </c>
    </row>
  </sheetData>
  <mergeCells count="11">
    <mergeCell ref="L2:R2"/>
    <mergeCell ref="L3:M3"/>
    <mergeCell ref="C11:C16"/>
    <mergeCell ref="C17:D17"/>
    <mergeCell ref="B5:B17"/>
    <mergeCell ref="E2:K2"/>
    <mergeCell ref="E3:F3"/>
    <mergeCell ref="B3:B4"/>
    <mergeCell ref="C3:C4"/>
    <mergeCell ref="D3:D4"/>
    <mergeCell ref="C5:C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A46F-A699-47EB-B7B0-409145BFFF0B}">
  <dimension ref="B1:I15"/>
  <sheetViews>
    <sheetView workbookViewId="0">
      <selection activeCell="K10" sqref="K10"/>
    </sheetView>
  </sheetViews>
  <sheetFormatPr defaultRowHeight="14.25" x14ac:dyDescent="0.2"/>
  <cols>
    <col min="1" max="1" width="2.625" style="1" customWidth="1"/>
    <col min="2" max="10" width="9" style="1"/>
    <col min="11" max="11" width="93.125" style="1" customWidth="1"/>
    <col min="12" max="16384" width="9" style="1"/>
  </cols>
  <sheetData>
    <row r="1" spans="2:9" ht="15" thickBot="1" x14ac:dyDescent="0.25"/>
    <row r="2" spans="2:9" s="16" customFormat="1" ht="30" customHeight="1" x14ac:dyDescent="0.2">
      <c r="B2" s="17">
        <v>2025</v>
      </c>
      <c r="C2" s="73" t="s">
        <v>41</v>
      </c>
      <c r="D2" s="73"/>
      <c r="E2" s="73"/>
      <c r="F2" s="73"/>
      <c r="G2" s="73"/>
      <c r="H2" s="73"/>
      <c r="I2" s="74"/>
    </row>
    <row r="3" spans="2:9" ht="24.95" customHeight="1" x14ac:dyDescent="0.2">
      <c r="B3" s="64" t="s">
        <v>16</v>
      </c>
      <c r="C3" s="69" t="s">
        <v>17</v>
      </c>
      <c r="D3" s="69" t="s">
        <v>18</v>
      </c>
      <c r="E3" s="69" t="s">
        <v>7</v>
      </c>
      <c r="F3" s="69"/>
      <c r="G3" s="69" t="s">
        <v>8</v>
      </c>
      <c r="H3" s="69"/>
      <c r="I3" s="3" t="s">
        <v>37</v>
      </c>
    </row>
    <row r="4" spans="2:9" ht="30.75" customHeight="1" x14ac:dyDescent="0.2">
      <c r="B4" s="66"/>
      <c r="C4" s="70"/>
      <c r="D4" s="70"/>
      <c r="E4" s="18" t="s">
        <v>11</v>
      </c>
      <c r="F4" s="18" t="s">
        <v>12</v>
      </c>
      <c r="G4" s="8" t="s">
        <v>9</v>
      </c>
      <c r="H4" s="8" t="s">
        <v>10</v>
      </c>
      <c r="I4" s="9" t="s">
        <v>34</v>
      </c>
    </row>
    <row r="5" spans="2:9" ht="24.95" customHeight="1" x14ac:dyDescent="0.2">
      <c r="B5" s="63">
        <v>1201</v>
      </c>
      <c r="C5" s="71" t="s">
        <v>15</v>
      </c>
      <c r="D5" s="10">
        <v>1</v>
      </c>
      <c r="E5" s="10"/>
      <c r="F5" s="10"/>
      <c r="G5" s="10"/>
      <c r="H5" s="10"/>
      <c r="I5" s="11"/>
    </row>
    <row r="6" spans="2:9" ht="24.95" customHeight="1" x14ac:dyDescent="0.2">
      <c r="B6" s="64"/>
      <c r="C6" s="69"/>
      <c r="D6" s="2">
        <v>2</v>
      </c>
      <c r="E6" s="2"/>
      <c r="F6" s="2"/>
      <c r="G6" s="2"/>
      <c r="H6" s="2"/>
      <c r="I6" s="3"/>
    </row>
    <row r="7" spans="2:9" ht="24.95" customHeight="1" x14ac:dyDescent="0.2">
      <c r="B7" s="64"/>
      <c r="C7" s="69"/>
      <c r="D7" s="6">
        <v>3</v>
      </c>
      <c r="E7" s="6"/>
      <c r="F7" s="6"/>
      <c r="G7" s="6"/>
      <c r="H7" s="6"/>
      <c r="I7" s="7"/>
    </row>
    <row r="8" spans="2:9" ht="24.95" customHeight="1" x14ac:dyDescent="0.2">
      <c r="B8" s="64"/>
      <c r="C8" s="69"/>
      <c r="D8" s="2">
        <v>4</v>
      </c>
      <c r="E8" s="2"/>
      <c r="F8" s="2"/>
      <c r="G8" s="2"/>
      <c r="H8" s="2"/>
      <c r="I8" s="3"/>
    </row>
    <row r="9" spans="2:9" ht="24.95" customHeight="1" x14ac:dyDescent="0.2">
      <c r="B9" s="64"/>
      <c r="C9" s="69" t="s">
        <v>19</v>
      </c>
      <c r="D9" s="6">
        <v>1</v>
      </c>
      <c r="E9" s="6"/>
      <c r="F9" s="6"/>
      <c r="G9" s="6"/>
      <c r="H9" s="6"/>
      <c r="I9" s="7"/>
    </row>
    <row r="10" spans="2:9" ht="24.95" customHeight="1" x14ac:dyDescent="0.2">
      <c r="B10" s="64"/>
      <c r="C10" s="69"/>
      <c r="D10" s="2">
        <v>2</v>
      </c>
      <c r="E10" s="2"/>
      <c r="F10" s="2"/>
      <c r="G10" s="2"/>
      <c r="H10" s="2"/>
      <c r="I10" s="3"/>
    </row>
    <row r="11" spans="2:9" ht="24.95" customHeight="1" x14ac:dyDescent="0.2">
      <c r="B11" s="64"/>
      <c r="C11" s="69"/>
      <c r="D11" s="6">
        <v>3</v>
      </c>
      <c r="E11" s="6"/>
      <c r="F11" s="6"/>
      <c r="G11" s="6"/>
      <c r="H11" s="6"/>
      <c r="I11" s="7"/>
    </row>
    <row r="12" spans="2:9" ht="24.95" customHeight="1" thickBot="1" x14ac:dyDescent="0.25">
      <c r="B12" s="65"/>
      <c r="C12" s="72"/>
      <c r="D12" s="4">
        <v>4</v>
      </c>
      <c r="E12" s="4"/>
      <c r="F12" s="4"/>
      <c r="G12" s="4"/>
      <c r="H12" s="4"/>
      <c r="I12" s="5"/>
    </row>
    <row r="13" spans="2:9" ht="24.95" customHeight="1" x14ac:dyDescent="0.2"/>
    <row r="14" spans="2:9" ht="24.95" customHeight="1" x14ac:dyDescent="0.2"/>
    <row r="15" spans="2:9" ht="24.95" customHeight="1" x14ac:dyDescent="0.2"/>
  </sheetData>
  <mergeCells count="9">
    <mergeCell ref="B5:B12"/>
    <mergeCell ref="C5:C8"/>
    <mergeCell ref="C9:C12"/>
    <mergeCell ref="C2:I2"/>
    <mergeCell ref="B3:B4"/>
    <mergeCell ref="C3:C4"/>
    <mergeCell ref="D3:D4"/>
    <mergeCell ref="E3:F3"/>
    <mergeCell ref="G3:H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C705-E0A1-4D55-A34F-5FE17FEB9514}">
  <dimension ref="B1:P15"/>
  <sheetViews>
    <sheetView workbookViewId="0">
      <selection activeCell="R4" sqref="R4"/>
    </sheetView>
  </sheetViews>
  <sheetFormatPr defaultRowHeight="14.25" x14ac:dyDescent="0.2"/>
  <cols>
    <col min="1" max="1" width="2.625" style="1" customWidth="1"/>
    <col min="2" max="16384" width="9" style="1"/>
  </cols>
  <sheetData>
    <row r="1" spans="2:16" ht="15" thickBot="1" x14ac:dyDescent="0.25"/>
    <row r="2" spans="2:16" s="16" customFormat="1" ht="30" customHeight="1" x14ac:dyDescent="0.2">
      <c r="B2" s="17">
        <v>2025</v>
      </c>
      <c r="C2" s="73" t="s">
        <v>42</v>
      </c>
      <c r="D2" s="73"/>
      <c r="E2" s="73"/>
      <c r="F2" s="73"/>
      <c r="G2" s="73"/>
      <c r="H2" s="73"/>
      <c r="I2" s="88"/>
      <c r="J2" s="88"/>
      <c r="K2" s="96" t="s">
        <v>43</v>
      </c>
      <c r="L2" s="94"/>
      <c r="M2" s="94"/>
      <c r="N2" s="94"/>
      <c r="O2" s="94"/>
      <c r="P2" s="95"/>
    </row>
    <row r="3" spans="2:16" ht="24.95" customHeight="1" x14ac:dyDescent="0.2">
      <c r="B3" s="64" t="s">
        <v>16</v>
      </c>
      <c r="C3" s="69" t="s">
        <v>17</v>
      </c>
      <c r="D3" s="69" t="s">
        <v>18</v>
      </c>
      <c r="E3" s="69" t="s">
        <v>7</v>
      </c>
      <c r="F3" s="69"/>
      <c r="G3" s="69" t="s">
        <v>8</v>
      </c>
      <c r="H3" s="69"/>
      <c r="I3" s="89" t="s">
        <v>36</v>
      </c>
      <c r="J3" s="89" t="s">
        <v>38</v>
      </c>
      <c r="K3" s="97" t="s">
        <v>7</v>
      </c>
      <c r="L3" s="69"/>
      <c r="M3" s="69" t="s">
        <v>8</v>
      </c>
      <c r="N3" s="69"/>
      <c r="O3" s="89" t="s">
        <v>36</v>
      </c>
      <c r="P3" s="3" t="s">
        <v>38</v>
      </c>
    </row>
    <row r="4" spans="2:16" ht="30.75" customHeight="1" x14ac:dyDescent="0.2">
      <c r="B4" s="66"/>
      <c r="C4" s="70"/>
      <c r="D4" s="70"/>
      <c r="E4" s="18" t="s">
        <v>11</v>
      </c>
      <c r="F4" s="18" t="s">
        <v>12</v>
      </c>
      <c r="G4" s="8" t="s">
        <v>9</v>
      </c>
      <c r="H4" s="8" t="s">
        <v>10</v>
      </c>
      <c r="I4" s="90" t="s">
        <v>34</v>
      </c>
      <c r="J4" s="90" t="s">
        <v>9</v>
      </c>
      <c r="K4" s="98" t="s">
        <v>11</v>
      </c>
      <c r="L4" s="18" t="s">
        <v>12</v>
      </c>
      <c r="M4" s="8" t="s">
        <v>9</v>
      </c>
      <c r="N4" s="8" t="s">
        <v>10</v>
      </c>
      <c r="O4" s="90" t="s">
        <v>34</v>
      </c>
      <c r="P4" s="9" t="s">
        <v>9</v>
      </c>
    </row>
    <row r="5" spans="2:16" ht="24.95" customHeight="1" x14ac:dyDescent="0.2">
      <c r="B5" s="63">
        <v>1201</v>
      </c>
      <c r="C5" s="71" t="s">
        <v>15</v>
      </c>
      <c r="D5" s="10">
        <v>1</v>
      </c>
      <c r="E5" s="10"/>
      <c r="F5" s="10"/>
      <c r="G5" s="10"/>
      <c r="H5" s="10"/>
      <c r="I5" s="91"/>
      <c r="J5" s="91"/>
      <c r="K5" s="99"/>
      <c r="L5" s="10"/>
      <c r="M5" s="10"/>
      <c r="N5" s="10"/>
      <c r="O5" s="91"/>
      <c r="P5" s="11"/>
    </row>
    <row r="6" spans="2:16" ht="24.95" customHeight="1" x14ac:dyDescent="0.2">
      <c r="B6" s="64"/>
      <c r="C6" s="69"/>
      <c r="D6" s="2">
        <v>2</v>
      </c>
      <c r="E6" s="2"/>
      <c r="F6" s="2"/>
      <c r="G6" s="2"/>
      <c r="H6" s="2"/>
      <c r="I6" s="89"/>
      <c r="J6" s="89"/>
      <c r="K6" s="100"/>
      <c r="L6" s="2"/>
      <c r="M6" s="2"/>
      <c r="N6" s="2"/>
      <c r="O6" s="89"/>
      <c r="P6" s="3"/>
    </row>
    <row r="7" spans="2:16" ht="24.95" customHeight="1" x14ac:dyDescent="0.2">
      <c r="B7" s="64"/>
      <c r="C7" s="69"/>
      <c r="D7" s="6">
        <v>3</v>
      </c>
      <c r="E7" s="6"/>
      <c r="F7" s="6"/>
      <c r="G7" s="6"/>
      <c r="H7" s="6"/>
      <c r="I7" s="92"/>
      <c r="J7" s="92"/>
      <c r="K7" s="101"/>
      <c r="L7" s="6"/>
      <c r="M7" s="6"/>
      <c r="N7" s="6"/>
      <c r="O7" s="92"/>
      <c r="P7" s="7"/>
    </row>
    <row r="8" spans="2:16" ht="24.95" customHeight="1" x14ac:dyDescent="0.2">
      <c r="B8" s="64"/>
      <c r="C8" s="69"/>
      <c r="D8" s="2">
        <v>4</v>
      </c>
      <c r="E8" s="2"/>
      <c r="F8" s="2"/>
      <c r="G8" s="2"/>
      <c r="H8" s="2"/>
      <c r="I8" s="89"/>
      <c r="J8" s="89"/>
      <c r="K8" s="100"/>
      <c r="L8" s="2"/>
      <c r="M8" s="2"/>
      <c r="N8" s="2"/>
      <c r="O8" s="89"/>
      <c r="P8" s="3"/>
    </row>
    <row r="9" spans="2:16" ht="24.95" customHeight="1" x14ac:dyDescent="0.2">
      <c r="B9" s="64"/>
      <c r="C9" s="69" t="s">
        <v>19</v>
      </c>
      <c r="D9" s="6">
        <v>1</v>
      </c>
      <c r="E9" s="6"/>
      <c r="F9" s="6"/>
      <c r="G9" s="6"/>
      <c r="H9" s="6"/>
      <c r="I9" s="92"/>
      <c r="J9" s="92"/>
      <c r="K9" s="101"/>
      <c r="L9" s="6"/>
      <c r="M9" s="6"/>
      <c r="N9" s="6"/>
      <c r="O9" s="92"/>
      <c r="P9" s="7"/>
    </row>
    <row r="10" spans="2:16" ht="24.95" customHeight="1" x14ac:dyDescent="0.2">
      <c r="B10" s="64"/>
      <c r="C10" s="69"/>
      <c r="D10" s="2">
        <v>2</v>
      </c>
      <c r="E10" s="2"/>
      <c r="F10" s="2"/>
      <c r="G10" s="2"/>
      <c r="H10" s="2"/>
      <c r="I10" s="89"/>
      <c r="J10" s="89"/>
      <c r="K10" s="100"/>
      <c r="L10" s="2"/>
      <c r="M10" s="2"/>
      <c r="N10" s="2"/>
      <c r="O10" s="89"/>
      <c r="P10" s="3"/>
    </row>
    <row r="11" spans="2:16" ht="24.95" customHeight="1" x14ac:dyDescent="0.2">
      <c r="B11" s="64"/>
      <c r="C11" s="69"/>
      <c r="D11" s="6">
        <v>3</v>
      </c>
      <c r="E11" s="6"/>
      <c r="F11" s="6"/>
      <c r="G11" s="6"/>
      <c r="H11" s="6"/>
      <c r="I11" s="92"/>
      <c r="J11" s="92"/>
      <c r="K11" s="101"/>
      <c r="L11" s="6"/>
      <c r="M11" s="6"/>
      <c r="N11" s="6"/>
      <c r="O11" s="92"/>
      <c r="P11" s="7"/>
    </row>
    <row r="12" spans="2:16" ht="24.95" customHeight="1" thickBot="1" x14ac:dyDescent="0.25">
      <c r="B12" s="65"/>
      <c r="C12" s="72"/>
      <c r="D12" s="4">
        <v>4</v>
      </c>
      <c r="E12" s="4"/>
      <c r="F12" s="4"/>
      <c r="G12" s="4"/>
      <c r="H12" s="4"/>
      <c r="I12" s="93"/>
      <c r="J12" s="93"/>
      <c r="K12" s="102"/>
      <c r="L12" s="4"/>
      <c r="M12" s="4"/>
      <c r="N12" s="4"/>
      <c r="O12" s="93"/>
      <c r="P12" s="5"/>
    </row>
    <row r="13" spans="2:16" ht="24.95" customHeight="1" x14ac:dyDescent="0.2"/>
    <row r="14" spans="2:16" ht="24.95" customHeight="1" x14ac:dyDescent="0.2"/>
    <row r="15" spans="2:16" ht="24.95" customHeight="1" x14ac:dyDescent="0.2"/>
  </sheetData>
  <mergeCells count="12">
    <mergeCell ref="B5:B12"/>
    <mergeCell ref="C5:C8"/>
    <mergeCell ref="C9:C12"/>
    <mergeCell ref="K3:L3"/>
    <mergeCell ref="M3:N3"/>
    <mergeCell ref="K2:P2"/>
    <mergeCell ref="C2:J2"/>
    <mergeCell ref="B3:B4"/>
    <mergeCell ref="C3:C4"/>
    <mergeCell ref="D3:D4"/>
    <mergeCell ref="E3:F3"/>
    <mergeCell ref="G3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闪发器冷凝液检测数据</vt:lpstr>
      <vt:lpstr>反应液检测数据</vt:lpstr>
      <vt:lpstr>结晶检测数据</vt:lpstr>
      <vt:lpstr>一次母液检测数据</vt:lpstr>
      <vt:lpstr>母液脱色检测数据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熊茂盛</dc:creator>
  <cp:lastModifiedBy>猫 熊</cp:lastModifiedBy>
  <dcterms:created xsi:type="dcterms:W3CDTF">2015-06-05T18:19:34Z</dcterms:created>
  <dcterms:modified xsi:type="dcterms:W3CDTF">2026-01-16T05:54:02Z</dcterms:modified>
</cp:coreProperties>
</file>